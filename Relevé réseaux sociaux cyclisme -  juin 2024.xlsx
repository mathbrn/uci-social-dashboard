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. Cyclisme\1. Tour de France\0. Documents communs\0. Observatoire\Observatoire Cyclisme\Relevés Réseaux Sociaux\Hommes\Juin 2024\"/>
    </mc:Choice>
  </mc:AlternateContent>
  <xr:revisionPtr revIDLastSave="0" documentId="13_ncr:1_{ED8E4219-E75E-473F-B47C-87F9E610572E}" xr6:coauthVersionLast="47" xr6:coauthVersionMax="47" xr10:uidLastSave="{00000000-0000-0000-0000-000000000000}"/>
  <bookViews>
    <workbookView xWindow="-80" yWindow="-80" windowWidth="19360" windowHeight="10240" tabRatio="705" activeTab="2" xr2:uid="{00000000-000D-0000-FFFF-FFFF00000000}"/>
  </bookViews>
  <sheets>
    <sheet name="Réseaux sociaux courses" sheetId="6" r:id="rId1"/>
    <sheet name="Réseaux sociaux équipes" sheetId="7" r:id="rId2"/>
    <sheet name="Réseaux sociaux coureurs" sheetId="9" r:id="rId3"/>
  </sheets>
  <definedNames>
    <definedName name="_xlnm._FilterDatabase" localSheetId="2" hidden="1">'Réseaux sociaux coureurs'!#REF!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86" i="9" l="1"/>
  <c r="AW386" i="9"/>
  <c r="AV387" i="9"/>
  <c r="AW387" i="9"/>
  <c r="AV388" i="9"/>
  <c r="AW388" i="9"/>
  <c r="AV389" i="9"/>
  <c r="AW389" i="9"/>
  <c r="AV390" i="9"/>
  <c r="AW390" i="9"/>
  <c r="AV391" i="9"/>
  <c r="AW391" i="9"/>
  <c r="AV392" i="9"/>
  <c r="AW392" i="9"/>
  <c r="AV393" i="9"/>
  <c r="AW393" i="9"/>
  <c r="AV394" i="9"/>
  <c r="AW394" i="9"/>
  <c r="AV395" i="9"/>
  <c r="AW395" i="9"/>
  <c r="AV396" i="9"/>
  <c r="AW396" i="9"/>
  <c r="AV397" i="9"/>
  <c r="AW397" i="9"/>
  <c r="AV398" i="9"/>
  <c r="AW398" i="9"/>
  <c r="AV399" i="9"/>
  <c r="AW399" i="9"/>
  <c r="AV400" i="9"/>
  <c r="AW400" i="9"/>
  <c r="AV401" i="9"/>
  <c r="AW401" i="9"/>
  <c r="AV402" i="9"/>
  <c r="AW402" i="9"/>
  <c r="AV403" i="9"/>
  <c r="AW403" i="9"/>
  <c r="AV404" i="9"/>
  <c r="AW404" i="9"/>
  <c r="AV405" i="9"/>
  <c r="AW405" i="9"/>
  <c r="AV406" i="9"/>
  <c r="AW406" i="9"/>
  <c r="AV407" i="9"/>
  <c r="AW407" i="9"/>
  <c r="AV408" i="9"/>
  <c r="AW408" i="9"/>
  <c r="AV409" i="9"/>
  <c r="AW409" i="9"/>
  <c r="AV410" i="9"/>
  <c r="AW410" i="9"/>
  <c r="AV411" i="9"/>
  <c r="AW411" i="9"/>
  <c r="AV412" i="9"/>
  <c r="AW412" i="9"/>
  <c r="AV413" i="9"/>
  <c r="AW413" i="9"/>
  <c r="AV414" i="9"/>
  <c r="AW414" i="9"/>
  <c r="AV415" i="9"/>
  <c r="AW415" i="9"/>
  <c r="AV416" i="9"/>
  <c r="AW416" i="9"/>
  <c r="AV417" i="9"/>
  <c r="AW417" i="9"/>
  <c r="AV418" i="9"/>
  <c r="AW418" i="9"/>
  <c r="AV419" i="9"/>
  <c r="AW419" i="9"/>
  <c r="AV420" i="9"/>
  <c r="AW420" i="9"/>
  <c r="AV421" i="9"/>
  <c r="AW421" i="9"/>
  <c r="AV422" i="9"/>
  <c r="AW422" i="9"/>
  <c r="AV423" i="9"/>
  <c r="AW423" i="9"/>
  <c r="AV424" i="9"/>
  <c r="AW424" i="9"/>
  <c r="AV425" i="9"/>
  <c r="AW425" i="9"/>
  <c r="AV426" i="9"/>
  <c r="AW426" i="9"/>
  <c r="AV427" i="9"/>
  <c r="AW427" i="9"/>
  <c r="AV428" i="9"/>
  <c r="AW428" i="9"/>
  <c r="AV429" i="9"/>
  <c r="AW429" i="9"/>
  <c r="AV430" i="9"/>
  <c r="AW430" i="9"/>
  <c r="AV431" i="9"/>
  <c r="AW431" i="9"/>
  <c r="AV432" i="9"/>
  <c r="AW432" i="9"/>
  <c r="AV433" i="9"/>
  <c r="AW433" i="9"/>
  <c r="AV434" i="9"/>
  <c r="AW434" i="9"/>
  <c r="AV435" i="9"/>
  <c r="AW435" i="9"/>
  <c r="AV436" i="9"/>
  <c r="AW436" i="9"/>
  <c r="AV437" i="9"/>
  <c r="AW437" i="9"/>
  <c r="AV438" i="9"/>
  <c r="AW438" i="9"/>
  <c r="AV439" i="9"/>
  <c r="AW439" i="9"/>
  <c r="AV440" i="9"/>
  <c r="AW440" i="9"/>
  <c r="AV441" i="9"/>
  <c r="AW441" i="9"/>
  <c r="AV442" i="9"/>
  <c r="AW442" i="9"/>
  <c r="AV443" i="9"/>
  <c r="AW443" i="9"/>
  <c r="AW385" i="9"/>
  <c r="AV385" i="9"/>
  <c r="AT385" i="9" l="1"/>
  <c r="AT386" i="9"/>
  <c r="AT387" i="9"/>
  <c r="AT388" i="9"/>
  <c r="AT389" i="9"/>
  <c r="AT390" i="9"/>
  <c r="AT391" i="9"/>
  <c r="AT392" i="9"/>
  <c r="AT393" i="9"/>
  <c r="AT394" i="9"/>
  <c r="AT395" i="9"/>
  <c r="AT396" i="9"/>
  <c r="AT397" i="9"/>
  <c r="AT398" i="9"/>
  <c r="AT399" i="9"/>
  <c r="AT400" i="9"/>
  <c r="AT401" i="9"/>
  <c r="AT402" i="9"/>
  <c r="AT403" i="9"/>
  <c r="AT404" i="9"/>
  <c r="AT405" i="9"/>
  <c r="AT406" i="9"/>
  <c r="AT407" i="9"/>
  <c r="AT408" i="9"/>
  <c r="AT409" i="9"/>
  <c r="AT410" i="9"/>
  <c r="AT411" i="9"/>
  <c r="AT412" i="9"/>
  <c r="AT413" i="9"/>
  <c r="AT414" i="9"/>
  <c r="AT415" i="9"/>
  <c r="AT416" i="9"/>
  <c r="AT417" i="9"/>
  <c r="AT418" i="9"/>
  <c r="AT419" i="9"/>
  <c r="AT420" i="9"/>
  <c r="AT421" i="9"/>
  <c r="AT422" i="9"/>
  <c r="AT423" i="9"/>
  <c r="AT424" i="9"/>
  <c r="AT425" i="9"/>
  <c r="AT426" i="9"/>
  <c r="AT427" i="9"/>
  <c r="AT428" i="9"/>
  <c r="AT429" i="9"/>
  <c r="AT430" i="9"/>
  <c r="AT431" i="9"/>
  <c r="AT432" i="9"/>
  <c r="AT433" i="9"/>
  <c r="AT434" i="9"/>
  <c r="AT435" i="9"/>
  <c r="AT436" i="9"/>
  <c r="AT437" i="9"/>
  <c r="AT438" i="9"/>
  <c r="AT439" i="9"/>
  <c r="AT440" i="9"/>
  <c r="AT441" i="9"/>
  <c r="AT442" i="9"/>
  <c r="AT443" i="9"/>
  <c r="AW269" i="9"/>
  <c r="AW270" i="9"/>
  <c r="AW271" i="9"/>
  <c r="AW272" i="9"/>
  <c r="AW273" i="9"/>
  <c r="AW274" i="9"/>
  <c r="AW275" i="9"/>
  <c r="AW276" i="9"/>
  <c r="AW277" i="9"/>
  <c r="AW278" i="9"/>
  <c r="AW279" i="9"/>
  <c r="AW280" i="9"/>
  <c r="AW281" i="9"/>
  <c r="AW282" i="9"/>
  <c r="AW283" i="9"/>
  <c r="AW284" i="9"/>
  <c r="AW285" i="9"/>
  <c r="AW286" i="9"/>
  <c r="AW287" i="9"/>
  <c r="AW288" i="9"/>
  <c r="AW289" i="9"/>
  <c r="AW290" i="9"/>
  <c r="AW291" i="9"/>
  <c r="AW292" i="9"/>
  <c r="AW293" i="9"/>
  <c r="AW294" i="9"/>
  <c r="AW295" i="9"/>
  <c r="AW296" i="9"/>
  <c r="AW297" i="9"/>
  <c r="AW298" i="9"/>
  <c r="AW299" i="9"/>
  <c r="AW300" i="9"/>
  <c r="AW301" i="9"/>
  <c r="AW302" i="9"/>
  <c r="AW303" i="9"/>
  <c r="AW304" i="9"/>
  <c r="AW305" i="9"/>
  <c r="AW306" i="9"/>
  <c r="AW307" i="9"/>
  <c r="AW308" i="9"/>
  <c r="AW309" i="9"/>
  <c r="AW310" i="9"/>
  <c r="AW311" i="9"/>
  <c r="AW312" i="9"/>
  <c r="AW313" i="9"/>
  <c r="AW314" i="9"/>
  <c r="AW315" i="9"/>
  <c r="AW316" i="9"/>
  <c r="AW317" i="9"/>
  <c r="AW318" i="9"/>
  <c r="AW319" i="9"/>
  <c r="AW320" i="9"/>
  <c r="AW321" i="9"/>
  <c r="AW322" i="9"/>
  <c r="AW323" i="9"/>
  <c r="AW324" i="9"/>
  <c r="AW325" i="9"/>
  <c r="AW326" i="9"/>
  <c r="AW327" i="9"/>
  <c r="AW328" i="9"/>
  <c r="AW329" i="9"/>
  <c r="AW330" i="9"/>
  <c r="AW331" i="9"/>
  <c r="AW332" i="9"/>
  <c r="AW333" i="9"/>
  <c r="AW334" i="9"/>
  <c r="AW335" i="9"/>
  <c r="AW336" i="9"/>
  <c r="AW337" i="9"/>
  <c r="AW338" i="9"/>
  <c r="AW339" i="9"/>
  <c r="AW340" i="9"/>
  <c r="AW341" i="9"/>
  <c r="AW342" i="9"/>
  <c r="AW343" i="9"/>
  <c r="AW344" i="9"/>
  <c r="AW345" i="9"/>
  <c r="AW346" i="9"/>
  <c r="AW347" i="9"/>
  <c r="AW348" i="9"/>
  <c r="AW349" i="9"/>
  <c r="AW350" i="9"/>
  <c r="AW351" i="9"/>
  <c r="AW352" i="9"/>
  <c r="AW353" i="9"/>
  <c r="AW354" i="9"/>
  <c r="AW355" i="9"/>
  <c r="AW356" i="9"/>
  <c r="AW357" i="9"/>
  <c r="AW358" i="9"/>
  <c r="AW359" i="9"/>
  <c r="AW360" i="9"/>
  <c r="AW361" i="9"/>
  <c r="AW362" i="9"/>
  <c r="AW363" i="9"/>
  <c r="AW364" i="9"/>
  <c r="AW365" i="9"/>
  <c r="AW366" i="9"/>
  <c r="AW367" i="9"/>
  <c r="AW368" i="9"/>
  <c r="AW369" i="9"/>
  <c r="AW370" i="9"/>
  <c r="AW371" i="9"/>
  <c r="AW372" i="9"/>
  <c r="AW373" i="9"/>
  <c r="AW374" i="9"/>
  <c r="AW375" i="9"/>
  <c r="AW376" i="9"/>
  <c r="AW377" i="9"/>
  <c r="AW378" i="9"/>
  <c r="AW379" i="9"/>
  <c r="AW380" i="9"/>
  <c r="AV380" i="9"/>
  <c r="AV379" i="9"/>
  <c r="AV378" i="9"/>
  <c r="AV377" i="9"/>
  <c r="AV376" i="9"/>
  <c r="AV375" i="9"/>
  <c r="AV374" i="9"/>
  <c r="AV373" i="9"/>
  <c r="AV372" i="9"/>
  <c r="AV371" i="9"/>
  <c r="AV370" i="9"/>
  <c r="AV369" i="9"/>
  <c r="AV368" i="9"/>
  <c r="AV367" i="9"/>
  <c r="AV366" i="9"/>
  <c r="AV365" i="9"/>
  <c r="AV364" i="9"/>
  <c r="AV363" i="9"/>
  <c r="AV362" i="9"/>
  <c r="AV361" i="9"/>
  <c r="AV360" i="9"/>
  <c r="AV359" i="9"/>
  <c r="AV358" i="9"/>
  <c r="AV357" i="9"/>
  <c r="AV356" i="9"/>
  <c r="AV355" i="9"/>
  <c r="AV354" i="9"/>
  <c r="AV353" i="9"/>
  <c r="AV352" i="9"/>
  <c r="AV351" i="9"/>
  <c r="AV350" i="9"/>
  <c r="AV349" i="9"/>
  <c r="AV348" i="9"/>
  <c r="AV347" i="9"/>
  <c r="AV346" i="9"/>
  <c r="AV345" i="9"/>
  <c r="AV344" i="9"/>
  <c r="AV343" i="9"/>
  <c r="AV342" i="9"/>
  <c r="AV341" i="9"/>
  <c r="AV340" i="9"/>
  <c r="AV339" i="9"/>
  <c r="AV338" i="9"/>
  <c r="AV337" i="9"/>
  <c r="AV336" i="9"/>
  <c r="AV335" i="9"/>
  <c r="AV334" i="9"/>
  <c r="AV333" i="9"/>
  <c r="AV332" i="9"/>
  <c r="AV331" i="9"/>
  <c r="AV330" i="9"/>
  <c r="AV329" i="9"/>
  <c r="AV328" i="9"/>
  <c r="AV327" i="9"/>
  <c r="AV326" i="9"/>
  <c r="AV325" i="9"/>
  <c r="AV324" i="9"/>
  <c r="AV323" i="9"/>
  <c r="AV322" i="9"/>
  <c r="AV321" i="9"/>
  <c r="AV320" i="9"/>
  <c r="AV319" i="9"/>
  <c r="AV318" i="9"/>
  <c r="AV317" i="9"/>
  <c r="AV316" i="9"/>
  <c r="AV315" i="9"/>
  <c r="AV314" i="9"/>
  <c r="AV313" i="9"/>
  <c r="AV312" i="9"/>
  <c r="AV311" i="9"/>
  <c r="AV310" i="9"/>
  <c r="AV309" i="9"/>
  <c r="AV308" i="9"/>
  <c r="AV307" i="9"/>
  <c r="AV306" i="9"/>
  <c r="AV305" i="9"/>
  <c r="AV304" i="9"/>
  <c r="AV303" i="9"/>
  <c r="AV302" i="9"/>
  <c r="AV301" i="9"/>
  <c r="AV300" i="9"/>
  <c r="AV299" i="9"/>
  <c r="AV298" i="9"/>
  <c r="AV297" i="9"/>
  <c r="AV296" i="9"/>
  <c r="AV295" i="9"/>
  <c r="AV294" i="9"/>
  <c r="AV293" i="9"/>
  <c r="AV292" i="9"/>
  <c r="AV291" i="9"/>
  <c r="AV290" i="9"/>
  <c r="AV289" i="9"/>
  <c r="AV288" i="9"/>
  <c r="AV287" i="9"/>
  <c r="AV286" i="9"/>
  <c r="AV285" i="9"/>
  <c r="AV284" i="9"/>
  <c r="AV283" i="9"/>
  <c r="AV282" i="9"/>
  <c r="AV281" i="9"/>
  <c r="AV280" i="9"/>
  <c r="AV279" i="9"/>
  <c r="AV278" i="9"/>
  <c r="AV277" i="9"/>
  <c r="AV276" i="9"/>
  <c r="AV275" i="9"/>
  <c r="AV274" i="9"/>
  <c r="AV273" i="9"/>
  <c r="AV272" i="9"/>
  <c r="AV271" i="9"/>
  <c r="AV270" i="9"/>
  <c r="AV269" i="9"/>
  <c r="AW207" i="9"/>
  <c r="AW208" i="9"/>
  <c r="AW209" i="9"/>
  <c r="AW210" i="9"/>
  <c r="AW211" i="9"/>
  <c r="AW212" i="9"/>
  <c r="AW213" i="9"/>
  <c r="AW214" i="9"/>
  <c r="AW215" i="9"/>
  <c r="AW216" i="9"/>
  <c r="AW217" i="9"/>
  <c r="AW218" i="9"/>
  <c r="AW219" i="9"/>
  <c r="AW220" i="9"/>
  <c r="AW221" i="9"/>
  <c r="AW222" i="9"/>
  <c r="AW223" i="9"/>
  <c r="AW224" i="9"/>
  <c r="AW225" i="9"/>
  <c r="AW226" i="9"/>
  <c r="AW227" i="9"/>
  <c r="AW228" i="9"/>
  <c r="AW229" i="9"/>
  <c r="AW230" i="9"/>
  <c r="AW231" i="9"/>
  <c r="AW232" i="9"/>
  <c r="AW233" i="9"/>
  <c r="AW234" i="9"/>
  <c r="AW235" i="9"/>
  <c r="AW236" i="9"/>
  <c r="AW237" i="9"/>
  <c r="AW238" i="9"/>
  <c r="AW239" i="9"/>
  <c r="AW240" i="9"/>
  <c r="AW241" i="9"/>
  <c r="AW242" i="9"/>
  <c r="AW243" i="9"/>
  <c r="AW244" i="9"/>
  <c r="AW245" i="9"/>
  <c r="AW246" i="9"/>
  <c r="AW247" i="9"/>
  <c r="AW248" i="9"/>
  <c r="AW249" i="9"/>
  <c r="AW250" i="9"/>
  <c r="AW251" i="9"/>
  <c r="AW252" i="9"/>
  <c r="AW253" i="9"/>
  <c r="AW254" i="9"/>
  <c r="AW255" i="9"/>
  <c r="AW256" i="9"/>
  <c r="AW257" i="9"/>
  <c r="AW258" i="9"/>
  <c r="AW259" i="9"/>
  <c r="AW260" i="9"/>
  <c r="AW261" i="9"/>
  <c r="AW262" i="9"/>
  <c r="AW206" i="9"/>
  <c r="AV207" i="9"/>
  <c r="AV208" i="9"/>
  <c r="AV209" i="9"/>
  <c r="AV210" i="9"/>
  <c r="AV211" i="9"/>
  <c r="AV212" i="9"/>
  <c r="AV213" i="9"/>
  <c r="AV214" i="9"/>
  <c r="AV215" i="9"/>
  <c r="AV216" i="9"/>
  <c r="AV217" i="9"/>
  <c r="AV218" i="9"/>
  <c r="AV219" i="9"/>
  <c r="AV220" i="9"/>
  <c r="AV221" i="9"/>
  <c r="AV222" i="9"/>
  <c r="AV223" i="9"/>
  <c r="AV224" i="9"/>
  <c r="AV225" i="9"/>
  <c r="AV226" i="9"/>
  <c r="AV227" i="9"/>
  <c r="AV228" i="9"/>
  <c r="AV229" i="9"/>
  <c r="AV230" i="9"/>
  <c r="AV231" i="9"/>
  <c r="AV232" i="9"/>
  <c r="AV233" i="9"/>
  <c r="AV234" i="9"/>
  <c r="AV235" i="9"/>
  <c r="AV236" i="9"/>
  <c r="AV237" i="9"/>
  <c r="AV238" i="9"/>
  <c r="AV239" i="9"/>
  <c r="AV240" i="9"/>
  <c r="AV241" i="9"/>
  <c r="AV242" i="9"/>
  <c r="AV243" i="9"/>
  <c r="AV244" i="9"/>
  <c r="AV245" i="9"/>
  <c r="AV246" i="9"/>
  <c r="AV247" i="9"/>
  <c r="AV248" i="9"/>
  <c r="AV249" i="9"/>
  <c r="AV250" i="9"/>
  <c r="AV251" i="9"/>
  <c r="AV252" i="9"/>
  <c r="AV253" i="9"/>
  <c r="AV254" i="9"/>
  <c r="AV255" i="9"/>
  <c r="AV256" i="9"/>
  <c r="AV257" i="9"/>
  <c r="AV258" i="9"/>
  <c r="AV259" i="9"/>
  <c r="AV260" i="9"/>
  <c r="AV261" i="9"/>
  <c r="AV262" i="9"/>
  <c r="AV206" i="9"/>
  <c r="AW112" i="9"/>
  <c r="AW113" i="9"/>
  <c r="AW114" i="9"/>
  <c r="AW115" i="9"/>
  <c r="AW116" i="9"/>
  <c r="AW117" i="9"/>
  <c r="AW118" i="9"/>
  <c r="AW119" i="9"/>
  <c r="AW120" i="9"/>
  <c r="AW121" i="9"/>
  <c r="AW122" i="9"/>
  <c r="AW123" i="9"/>
  <c r="AW124" i="9"/>
  <c r="AW125" i="9"/>
  <c r="AW126" i="9"/>
  <c r="AW127" i="9"/>
  <c r="AW128" i="9"/>
  <c r="AW129" i="9"/>
  <c r="AW130" i="9"/>
  <c r="AW131" i="9"/>
  <c r="AW132" i="9"/>
  <c r="AW133" i="9"/>
  <c r="AW134" i="9"/>
  <c r="AW135" i="9"/>
  <c r="AW136" i="9"/>
  <c r="AW137" i="9"/>
  <c r="AW138" i="9"/>
  <c r="AW139" i="9"/>
  <c r="AW140" i="9"/>
  <c r="AW141" i="9"/>
  <c r="AW142" i="9"/>
  <c r="AW143" i="9"/>
  <c r="AW144" i="9"/>
  <c r="AW145" i="9"/>
  <c r="AW146" i="9"/>
  <c r="AW147" i="9"/>
  <c r="AW148" i="9"/>
  <c r="AW149" i="9"/>
  <c r="AW150" i="9"/>
  <c r="AW151" i="9"/>
  <c r="AW152" i="9"/>
  <c r="AW153" i="9"/>
  <c r="AW154" i="9"/>
  <c r="AW155" i="9"/>
  <c r="AW156" i="9"/>
  <c r="AW157" i="9"/>
  <c r="AW158" i="9"/>
  <c r="AW159" i="9"/>
  <c r="AW160" i="9"/>
  <c r="AW161" i="9"/>
  <c r="AW162" i="9"/>
  <c r="AW163" i="9"/>
  <c r="AW164" i="9"/>
  <c r="AW165" i="9"/>
  <c r="AW166" i="9"/>
  <c r="AW167" i="9"/>
  <c r="AW168" i="9"/>
  <c r="AW169" i="9"/>
  <c r="AW170" i="9"/>
  <c r="AW171" i="9"/>
  <c r="AW172" i="9"/>
  <c r="AW173" i="9"/>
  <c r="AW174" i="9"/>
  <c r="AW175" i="9"/>
  <c r="AW176" i="9"/>
  <c r="AW177" i="9"/>
  <c r="AW178" i="9"/>
  <c r="AW179" i="9"/>
  <c r="AW180" i="9"/>
  <c r="AW181" i="9"/>
  <c r="AW182" i="9"/>
  <c r="AW183" i="9"/>
  <c r="AW184" i="9"/>
  <c r="AW185" i="9"/>
  <c r="AW186" i="9"/>
  <c r="AW187" i="9"/>
  <c r="AW188" i="9"/>
  <c r="AW189" i="9"/>
  <c r="AW190" i="9"/>
  <c r="AW191" i="9"/>
  <c r="AW192" i="9"/>
  <c r="AW193" i="9"/>
  <c r="AW194" i="9"/>
  <c r="AW195" i="9"/>
  <c r="AW196" i="9"/>
  <c r="AW197" i="9"/>
  <c r="AW198" i="9"/>
  <c r="AW199" i="9"/>
  <c r="AW200" i="9"/>
  <c r="AW201" i="9"/>
  <c r="AW111" i="9"/>
  <c r="AV112" i="9"/>
  <c r="AV113" i="9"/>
  <c r="AV114" i="9"/>
  <c r="AV115" i="9"/>
  <c r="AV116" i="9"/>
  <c r="AV117" i="9"/>
  <c r="AV118" i="9"/>
  <c r="AV119" i="9"/>
  <c r="AV120" i="9"/>
  <c r="AV121" i="9"/>
  <c r="AV122" i="9"/>
  <c r="AV123" i="9"/>
  <c r="AV124" i="9"/>
  <c r="AV125" i="9"/>
  <c r="AV126" i="9"/>
  <c r="AV127" i="9"/>
  <c r="AV128" i="9"/>
  <c r="AV129" i="9"/>
  <c r="AV130" i="9"/>
  <c r="AV131" i="9"/>
  <c r="AV132" i="9"/>
  <c r="AV133" i="9"/>
  <c r="AV134" i="9"/>
  <c r="AV135" i="9"/>
  <c r="AV136" i="9"/>
  <c r="AV137" i="9"/>
  <c r="AV138" i="9"/>
  <c r="AV139" i="9"/>
  <c r="AV140" i="9"/>
  <c r="AV141" i="9"/>
  <c r="AV142" i="9"/>
  <c r="AV143" i="9"/>
  <c r="AV144" i="9"/>
  <c r="AV145" i="9"/>
  <c r="AV146" i="9"/>
  <c r="AV147" i="9"/>
  <c r="AV148" i="9"/>
  <c r="AV149" i="9"/>
  <c r="AV150" i="9"/>
  <c r="AV151" i="9"/>
  <c r="AV152" i="9"/>
  <c r="AV153" i="9"/>
  <c r="AV154" i="9"/>
  <c r="AV155" i="9"/>
  <c r="AV156" i="9"/>
  <c r="AV157" i="9"/>
  <c r="AV158" i="9"/>
  <c r="AV159" i="9"/>
  <c r="AV160" i="9"/>
  <c r="AV161" i="9"/>
  <c r="AV162" i="9"/>
  <c r="AV163" i="9"/>
  <c r="AV164" i="9"/>
  <c r="AV165" i="9"/>
  <c r="AV166" i="9"/>
  <c r="AV167" i="9"/>
  <c r="AV168" i="9"/>
  <c r="AV169" i="9"/>
  <c r="AV170" i="9"/>
  <c r="AV171" i="9"/>
  <c r="AV172" i="9"/>
  <c r="AV173" i="9"/>
  <c r="AV174" i="9"/>
  <c r="AV175" i="9"/>
  <c r="AV176" i="9"/>
  <c r="AV177" i="9"/>
  <c r="AV178" i="9"/>
  <c r="AV179" i="9"/>
  <c r="AV180" i="9"/>
  <c r="AV181" i="9"/>
  <c r="AV182" i="9"/>
  <c r="AV183" i="9"/>
  <c r="AV184" i="9"/>
  <c r="AV185" i="9"/>
  <c r="AV186" i="9"/>
  <c r="AV187" i="9"/>
  <c r="AV188" i="9"/>
  <c r="AV189" i="9"/>
  <c r="AV190" i="9"/>
  <c r="AV191" i="9"/>
  <c r="AV192" i="9"/>
  <c r="AV193" i="9"/>
  <c r="AV194" i="9"/>
  <c r="AV195" i="9"/>
  <c r="AV196" i="9"/>
  <c r="AV197" i="9"/>
  <c r="AV198" i="9"/>
  <c r="AV199" i="9"/>
  <c r="AV200" i="9"/>
  <c r="AV201" i="9"/>
  <c r="AV111" i="9"/>
  <c r="AW3" i="9"/>
  <c r="AW4" i="9"/>
  <c r="AW5" i="9"/>
  <c r="AW6" i="9"/>
  <c r="AW7" i="9"/>
  <c r="AW8" i="9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W27" i="9"/>
  <c r="AW28" i="9"/>
  <c r="AW29" i="9"/>
  <c r="AW30" i="9"/>
  <c r="AW31" i="9"/>
  <c r="AW32" i="9"/>
  <c r="AW33" i="9"/>
  <c r="AW34" i="9"/>
  <c r="AW35" i="9"/>
  <c r="AW36" i="9"/>
  <c r="AW37" i="9"/>
  <c r="AW38" i="9"/>
  <c r="AW39" i="9"/>
  <c r="AW40" i="9"/>
  <c r="AW41" i="9"/>
  <c r="AW42" i="9"/>
  <c r="AW43" i="9"/>
  <c r="AW44" i="9"/>
  <c r="AW45" i="9"/>
  <c r="AW46" i="9"/>
  <c r="AW47" i="9"/>
  <c r="AW48" i="9"/>
  <c r="AW49" i="9"/>
  <c r="AW50" i="9"/>
  <c r="AW51" i="9"/>
  <c r="AW52" i="9"/>
  <c r="AW53" i="9"/>
  <c r="AW54" i="9"/>
  <c r="AW55" i="9"/>
  <c r="AW56" i="9"/>
  <c r="AW57" i="9"/>
  <c r="AW58" i="9"/>
  <c r="AW59" i="9"/>
  <c r="AW60" i="9"/>
  <c r="AW61" i="9"/>
  <c r="AW62" i="9"/>
  <c r="AW63" i="9"/>
  <c r="AW64" i="9"/>
  <c r="AW65" i="9"/>
  <c r="AW66" i="9"/>
  <c r="AW67" i="9"/>
  <c r="AW68" i="9"/>
  <c r="AW69" i="9"/>
  <c r="AW70" i="9"/>
  <c r="AW71" i="9"/>
  <c r="AW72" i="9"/>
  <c r="AW73" i="9"/>
  <c r="AW74" i="9"/>
  <c r="AW75" i="9"/>
  <c r="AW76" i="9"/>
  <c r="AW77" i="9"/>
  <c r="AW78" i="9"/>
  <c r="AW79" i="9"/>
  <c r="AW80" i="9"/>
  <c r="AW81" i="9"/>
  <c r="AW82" i="9"/>
  <c r="AW83" i="9"/>
  <c r="AW84" i="9"/>
  <c r="AW85" i="9"/>
  <c r="AW86" i="9"/>
  <c r="AW87" i="9"/>
  <c r="AW88" i="9"/>
  <c r="AW89" i="9"/>
  <c r="AW90" i="9"/>
  <c r="AW91" i="9"/>
  <c r="AW92" i="9"/>
  <c r="AW93" i="9"/>
  <c r="AW94" i="9"/>
  <c r="AW95" i="9"/>
  <c r="AW96" i="9"/>
  <c r="AW97" i="9"/>
  <c r="AW98" i="9"/>
  <c r="AW99" i="9"/>
  <c r="AW100" i="9"/>
  <c r="AW101" i="9"/>
  <c r="AW102" i="9"/>
  <c r="AW103" i="9"/>
  <c r="AW104" i="9"/>
  <c r="AW105" i="9"/>
  <c r="AW106" i="9"/>
  <c r="AW2" i="9"/>
  <c r="AV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V29" i="9"/>
  <c r="AV30" i="9"/>
  <c r="AV31" i="9"/>
  <c r="AV32" i="9"/>
  <c r="AV33" i="9"/>
  <c r="AV34" i="9"/>
  <c r="AV35" i="9"/>
  <c r="AV36" i="9"/>
  <c r="AV37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59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0" i="9"/>
  <c r="AV101" i="9"/>
  <c r="AV102" i="9"/>
  <c r="AV103" i="9"/>
  <c r="AV104" i="9"/>
  <c r="AV105" i="9"/>
  <c r="AV106" i="9"/>
  <c r="AV2" i="9"/>
  <c r="BZ198" i="7"/>
  <c r="BY198" i="7"/>
  <c r="BY203" i="7"/>
  <c r="BZ195" i="7"/>
  <c r="BY170" i="7"/>
  <c r="BY169" i="7"/>
  <c r="BY168" i="7"/>
  <c r="BY195" i="7"/>
  <c r="BY197" i="7"/>
  <c r="BW197" i="7"/>
  <c r="BU197" i="7"/>
  <c r="BV197" i="7"/>
  <c r="BV207" i="7" s="1"/>
  <c r="BW195" i="7"/>
  <c r="BW184" i="7"/>
  <c r="BZ184" i="7" s="1"/>
  <c r="BV201" i="7"/>
  <c r="BZ168" i="7"/>
  <c r="BZ169" i="7"/>
  <c r="BZ170" i="7"/>
  <c r="BZ171" i="7"/>
  <c r="BZ172" i="7"/>
  <c r="BZ173" i="7"/>
  <c r="BZ174" i="7"/>
  <c r="BZ175" i="7"/>
  <c r="BZ176" i="7"/>
  <c r="BZ177" i="7"/>
  <c r="BZ178" i="7"/>
  <c r="BZ179" i="7"/>
  <c r="BZ180" i="7"/>
  <c r="BZ181" i="7"/>
  <c r="BZ182" i="7"/>
  <c r="BZ183" i="7"/>
  <c r="BZ185" i="7"/>
  <c r="BZ186" i="7"/>
  <c r="BZ187" i="7"/>
  <c r="BZ188" i="7"/>
  <c r="BZ189" i="7"/>
  <c r="BZ190" i="7"/>
  <c r="BZ191" i="7"/>
  <c r="BZ192" i="7"/>
  <c r="BZ193" i="7"/>
  <c r="BZ194" i="7"/>
  <c r="BZ196" i="7"/>
  <c r="BZ197" i="7"/>
  <c r="BZ199" i="7"/>
  <c r="BZ200" i="7"/>
  <c r="BZ201" i="7"/>
  <c r="BZ202" i="7"/>
  <c r="BZ203" i="7"/>
  <c r="BZ204" i="7"/>
  <c r="BZ205" i="7"/>
  <c r="BZ206" i="7"/>
  <c r="BY171" i="7"/>
  <c r="BY172" i="7"/>
  <c r="BY173" i="7"/>
  <c r="BY174" i="7"/>
  <c r="BY175" i="7"/>
  <c r="BY176" i="7"/>
  <c r="BY177" i="7"/>
  <c r="BY178" i="7"/>
  <c r="BY179" i="7"/>
  <c r="BY180" i="7"/>
  <c r="BY181" i="7"/>
  <c r="BY182" i="7"/>
  <c r="BY183" i="7"/>
  <c r="BY184" i="7"/>
  <c r="BY185" i="7"/>
  <c r="BY186" i="7"/>
  <c r="BY187" i="7"/>
  <c r="BY188" i="7"/>
  <c r="BY189" i="7"/>
  <c r="BY190" i="7"/>
  <c r="BY191" i="7"/>
  <c r="BY192" i="7"/>
  <c r="BY193" i="7"/>
  <c r="BY194" i="7"/>
  <c r="BY196" i="7"/>
  <c r="BY199" i="7"/>
  <c r="BY202" i="7"/>
  <c r="BY204" i="7"/>
  <c r="BY205" i="7"/>
  <c r="BY206" i="7"/>
  <c r="BW207" i="7"/>
  <c r="BU207" i="7"/>
  <c r="BU206" i="7"/>
  <c r="BV206" i="7"/>
  <c r="BW206" i="7"/>
  <c r="BV205" i="7"/>
  <c r="BW205" i="7"/>
  <c r="BW204" i="7"/>
  <c r="BV204" i="7"/>
  <c r="BW203" i="7"/>
  <c r="BU202" i="7"/>
  <c r="BV202" i="7"/>
  <c r="BW202" i="7"/>
  <c r="BW201" i="7"/>
  <c r="BW200" i="7"/>
  <c r="BW199" i="7"/>
  <c r="BU198" i="7"/>
  <c r="BV198" i="7"/>
  <c r="BW198" i="7"/>
  <c r="BW196" i="7"/>
  <c r="BW194" i="7"/>
  <c r="BW193" i="7"/>
  <c r="BW192" i="7"/>
  <c r="BW191" i="7"/>
  <c r="BW190" i="7"/>
  <c r="BW188" i="7"/>
  <c r="BW187" i="7"/>
  <c r="BW186" i="7"/>
  <c r="BW185" i="7"/>
  <c r="BW183" i="7"/>
  <c r="BW182" i="7"/>
  <c r="BW181" i="7"/>
  <c r="BW180" i="7"/>
  <c r="BW179" i="7"/>
  <c r="BW178" i="7"/>
  <c r="BW177" i="7"/>
  <c r="BW176" i="7"/>
  <c r="BW175" i="7"/>
  <c r="BW174" i="7"/>
  <c r="BW173" i="7"/>
  <c r="BW172" i="7"/>
  <c r="BW170" i="7"/>
  <c r="BW169" i="7"/>
  <c r="BW168" i="7"/>
  <c r="BV168" i="7"/>
  <c r="BZ164" i="7"/>
  <c r="BY164" i="7"/>
  <c r="BZ163" i="7"/>
  <c r="BY163" i="7"/>
  <c r="BZ151" i="7"/>
  <c r="BY151" i="7"/>
  <c r="BZ146" i="7"/>
  <c r="BY146" i="7"/>
  <c r="BZ139" i="7"/>
  <c r="BY139" i="7"/>
  <c r="BZ128" i="7"/>
  <c r="BZ129" i="7"/>
  <c r="BZ130" i="7"/>
  <c r="BZ131" i="7"/>
  <c r="BZ132" i="7"/>
  <c r="BZ133" i="7"/>
  <c r="BZ134" i="7"/>
  <c r="BZ135" i="7"/>
  <c r="BZ136" i="7"/>
  <c r="BZ137" i="7"/>
  <c r="BZ138" i="7"/>
  <c r="BZ140" i="7"/>
  <c r="BZ141" i="7"/>
  <c r="BZ142" i="7"/>
  <c r="BZ143" i="7"/>
  <c r="BZ144" i="7"/>
  <c r="BZ145" i="7"/>
  <c r="BZ147" i="7"/>
  <c r="BZ148" i="7"/>
  <c r="BZ149" i="7"/>
  <c r="BZ150" i="7"/>
  <c r="BZ152" i="7"/>
  <c r="BZ153" i="7"/>
  <c r="BZ154" i="7"/>
  <c r="BZ155" i="7"/>
  <c r="BZ156" i="7"/>
  <c r="BZ157" i="7"/>
  <c r="BZ158" i="7"/>
  <c r="BZ159" i="7"/>
  <c r="BZ160" i="7"/>
  <c r="BZ161" i="7"/>
  <c r="BZ162" i="7"/>
  <c r="BZ127" i="7"/>
  <c r="BY128" i="7"/>
  <c r="BY129" i="7"/>
  <c r="BY130" i="7"/>
  <c r="BY131" i="7"/>
  <c r="BY132" i="7"/>
  <c r="BY133" i="7"/>
  <c r="BY134" i="7"/>
  <c r="BY135" i="7"/>
  <c r="BY136" i="7"/>
  <c r="BY137" i="7"/>
  <c r="BY138" i="7"/>
  <c r="BY140" i="7"/>
  <c r="BY141" i="7"/>
  <c r="BY142" i="7"/>
  <c r="BY143" i="7"/>
  <c r="BY144" i="7"/>
  <c r="BY145" i="7"/>
  <c r="BY147" i="7"/>
  <c r="BY148" i="7"/>
  <c r="BY149" i="7"/>
  <c r="BY150" i="7"/>
  <c r="BY152" i="7"/>
  <c r="BY153" i="7"/>
  <c r="BY154" i="7"/>
  <c r="BY155" i="7"/>
  <c r="BY156" i="7"/>
  <c r="BY157" i="7"/>
  <c r="BY158" i="7"/>
  <c r="BY159" i="7"/>
  <c r="BY160" i="7"/>
  <c r="BY161" i="7"/>
  <c r="BY162" i="7"/>
  <c r="BY127" i="7"/>
  <c r="BV164" i="7"/>
  <c r="BW164" i="7"/>
  <c r="BU164" i="7"/>
  <c r="BV123" i="7"/>
  <c r="BW123" i="7"/>
  <c r="BZ86" i="7"/>
  <c r="BZ87" i="7"/>
  <c r="BZ88" i="7"/>
  <c r="BZ89" i="7"/>
  <c r="BZ90" i="7"/>
  <c r="BZ91" i="7"/>
  <c r="BZ92" i="7"/>
  <c r="BZ93" i="7"/>
  <c r="BZ94" i="7"/>
  <c r="BZ95" i="7"/>
  <c r="BZ96" i="7"/>
  <c r="BZ97" i="7"/>
  <c r="BZ98" i="7"/>
  <c r="BZ99" i="7"/>
  <c r="BZ100" i="7"/>
  <c r="BZ101" i="7"/>
  <c r="BZ102" i="7"/>
  <c r="BZ103" i="7"/>
  <c r="BZ104" i="7"/>
  <c r="BZ105" i="7"/>
  <c r="BZ106" i="7"/>
  <c r="BZ107" i="7"/>
  <c r="BZ108" i="7"/>
  <c r="BZ109" i="7"/>
  <c r="BZ110" i="7"/>
  <c r="BZ111" i="7"/>
  <c r="BZ112" i="7"/>
  <c r="BZ113" i="7"/>
  <c r="BZ114" i="7"/>
  <c r="BZ115" i="7"/>
  <c r="BZ116" i="7"/>
  <c r="BZ117" i="7"/>
  <c r="BZ118" i="7"/>
  <c r="BZ119" i="7"/>
  <c r="BZ120" i="7"/>
  <c r="BZ121" i="7"/>
  <c r="BZ122" i="7"/>
  <c r="BZ85" i="7"/>
  <c r="BY118" i="7"/>
  <c r="BY119" i="7"/>
  <c r="BY120" i="7"/>
  <c r="BY121" i="7"/>
  <c r="BY99" i="7"/>
  <c r="BY86" i="7"/>
  <c r="BY87" i="7"/>
  <c r="BY88" i="7"/>
  <c r="BY89" i="7"/>
  <c r="BY90" i="7"/>
  <c r="BY91" i="7"/>
  <c r="BY92" i="7"/>
  <c r="BY93" i="7"/>
  <c r="BY94" i="7"/>
  <c r="BY95" i="7"/>
  <c r="BY96" i="7"/>
  <c r="BY97" i="7"/>
  <c r="BY98" i="7"/>
  <c r="BY100" i="7"/>
  <c r="BY101" i="7"/>
  <c r="BY102" i="7"/>
  <c r="BY103" i="7"/>
  <c r="BY104" i="7"/>
  <c r="BY105" i="7"/>
  <c r="BY106" i="7"/>
  <c r="BY107" i="7"/>
  <c r="BY108" i="7"/>
  <c r="BY109" i="7"/>
  <c r="BY110" i="7"/>
  <c r="BY111" i="7"/>
  <c r="BY112" i="7"/>
  <c r="BY113" i="7"/>
  <c r="BY114" i="7"/>
  <c r="BY115" i="7"/>
  <c r="BY116" i="7"/>
  <c r="BY117" i="7"/>
  <c r="BY85" i="7"/>
  <c r="BZ75" i="7"/>
  <c r="BY75" i="7"/>
  <c r="BZ77" i="7"/>
  <c r="BZ78" i="7"/>
  <c r="BZ79" i="7"/>
  <c r="BZ80" i="7"/>
  <c r="BY77" i="7"/>
  <c r="BY78" i="7"/>
  <c r="BY79" i="7"/>
  <c r="BY80" i="7"/>
  <c r="BZ57" i="7"/>
  <c r="BY57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8" i="7"/>
  <c r="BZ59" i="7"/>
  <c r="BZ60" i="7"/>
  <c r="BZ61" i="7"/>
  <c r="BZ62" i="7"/>
  <c r="BZ63" i="7"/>
  <c r="BZ64" i="7"/>
  <c r="BZ65" i="7"/>
  <c r="BZ66" i="7"/>
  <c r="BZ67" i="7"/>
  <c r="BZ68" i="7"/>
  <c r="BZ69" i="7"/>
  <c r="BZ70" i="7"/>
  <c r="BZ71" i="7"/>
  <c r="BZ72" i="7"/>
  <c r="BZ73" i="7"/>
  <c r="BZ74" i="7"/>
  <c r="BZ76" i="7"/>
  <c r="BZ43" i="7"/>
  <c r="BY44" i="7"/>
  <c r="BY45" i="7"/>
  <c r="BY46" i="7"/>
  <c r="BY47" i="7"/>
  <c r="BY48" i="7"/>
  <c r="BY49" i="7"/>
  <c r="BY50" i="7"/>
  <c r="BY51" i="7"/>
  <c r="BY52" i="7"/>
  <c r="BY53" i="7"/>
  <c r="BY54" i="7"/>
  <c r="BY55" i="7"/>
  <c r="BY56" i="7"/>
  <c r="BY58" i="7"/>
  <c r="BY59" i="7"/>
  <c r="BY60" i="7"/>
  <c r="BY61" i="7"/>
  <c r="BY62" i="7"/>
  <c r="BY63" i="7"/>
  <c r="BY64" i="7"/>
  <c r="BY65" i="7"/>
  <c r="BY66" i="7"/>
  <c r="BY67" i="7"/>
  <c r="BY68" i="7"/>
  <c r="BY69" i="7"/>
  <c r="BY70" i="7"/>
  <c r="BY71" i="7"/>
  <c r="BY72" i="7"/>
  <c r="BY73" i="7"/>
  <c r="BY74" i="7"/>
  <c r="BY76" i="7"/>
  <c r="BY43" i="7"/>
  <c r="BV81" i="7"/>
  <c r="BW81" i="7"/>
  <c r="BZ81" i="7" s="1"/>
  <c r="BY25" i="7"/>
  <c r="BZ16" i="7"/>
  <c r="BY16" i="7"/>
  <c r="BZ32" i="7"/>
  <c r="BZ31" i="7"/>
  <c r="BY32" i="7"/>
  <c r="BY31" i="7"/>
  <c r="BZ35" i="7"/>
  <c r="BZ34" i="7"/>
  <c r="BY35" i="7"/>
  <c r="BY34" i="7"/>
  <c r="BV39" i="7"/>
  <c r="BW39" i="7"/>
  <c r="BZ36" i="7"/>
  <c r="BZ37" i="7"/>
  <c r="BZ38" i="7"/>
  <c r="BZ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3" i="7"/>
  <c r="BZ2" i="7"/>
  <c r="BY3" i="7"/>
  <c r="BY2" i="7"/>
  <c r="BY36" i="7"/>
  <c r="BY37" i="7"/>
  <c r="BY38" i="7"/>
  <c r="BY4" i="7"/>
  <c r="BY5" i="7"/>
  <c r="BY6" i="7"/>
  <c r="BY7" i="7"/>
  <c r="BY8" i="7"/>
  <c r="BY9" i="7"/>
  <c r="BY10" i="7"/>
  <c r="BY11" i="7"/>
  <c r="BY12" i="7"/>
  <c r="BY13" i="7"/>
  <c r="BY14" i="7"/>
  <c r="BY15" i="7"/>
  <c r="BY17" i="7"/>
  <c r="BY18" i="7"/>
  <c r="BY19" i="7"/>
  <c r="BY20" i="7"/>
  <c r="BY21" i="7"/>
  <c r="BY22" i="7"/>
  <c r="BY23" i="7"/>
  <c r="BY24" i="7"/>
  <c r="BY26" i="7"/>
  <c r="BY27" i="7"/>
  <c r="BY28" i="7"/>
  <c r="BY29" i="7"/>
  <c r="BY30" i="7"/>
  <c r="BY33" i="7"/>
  <c r="BW163" i="6"/>
  <c r="BX163" i="6"/>
  <c r="CA163" i="6" s="1"/>
  <c r="BV163" i="6"/>
  <c r="BX184" i="6"/>
  <c r="BX168" i="6"/>
  <c r="AW207" i="6"/>
  <c r="AX207" i="6"/>
  <c r="AZ207" i="6"/>
  <c r="BD207" i="6"/>
  <c r="BE207" i="6"/>
  <c r="BF207" i="6"/>
  <c r="BG207" i="6"/>
  <c r="BH207" i="6"/>
  <c r="BI207" i="6"/>
  <c r="BJ207" i="6"/>
  <c r="BK207" i="6"/>
  <c r="BL207" i="6"/>
  <c r="BT207" i="6"/>
  <c r="BX206" i="6"/>
  <c r="BX205" i="6"/>
  <c r="BX204" i="6"/>
  <c r="BX203" i="6"/>
  <c r="BV202" i="6"/>
  <c r="BW202" i="6"/>
  <c r="BX202" i="6"/>
  <c r="BX201" i="6"/>
  <c r="BX200" i="6"/>
  <c r="BX199" i="6"/>
  <c r="BX198" i="6"/>
  <c r="BX197" i="6"/>
  <c r="BX196" i="6"/>
  <c r="BX195" i="6"/>
  <c r="BX194" i="6"/>
  <c r="BX193" i="6"/>
  <c r="BX192" i="6"/>
  <c r="BX191" i="6"/>
  <c r="BX190" i="6"/>
  <c r="BX189" i="6"/>
  <c r="BX188" i="6"/>
  <c r="BX187" i="6"/>
  <c r="BX186" i="6"/>
  <c r="BX185" i="6"/>
  <c r="BX183" i="6"/>
  <c r="BX182" i="6"/>
  <c r="BX181" i="6"/>
  <c r="BX180" i="6"/>
  <c r="BX179" i="6"/>
  <c r="BX178" i="6"/>
  <c r="BX177" i="6"/>
  <c r="BX176" i="6"/>
  <c r="BX175" i="6"/>
  <c r="BX174" i="6"/>
  <c r="BX173" i="6"/>
  <c r="BX172" i="6"/>
  <c r="BX171" i="6"/>
  <c r="BX170" i="6"/>
  <c r="BX169" i="6"/>
  <c r="BW168" i="6"/>
  <c r="BX167" i="6"/>
  <c r="CA157" i="6"/>
  <c r="CA158" i="6"/>
  <c r="CA159" i="6"/>
  <c r="CA160" i="6"/>
  <c r="CA161" i="6"/>
  <c r="CA162" i="6"/>
  <c r="CA156" i="6"/>
  <c r="BZ157" i="6"/>
  <c r="BZ158" i="6"/>
  <c r="BZ159" i="6"/>
  <c r="BZ160" i="6"/>
  <c r="BZ161" i="6"/>
  <c r="BZ162" i="6"/>
  <c r="BZ156" i="6"/>
  <c r="CA146" i="6"/>
  <c r="CA113" i="6"/>
  <c r="CA114" i="6"/>
  <c r="CA115" i="6"/>
  <c r="CA116" i="6"/>
  <c r="CA117" i="6"/>
  <c r="CA118" i="6"/>
  <c r="CA119" i="6"/>
  <c r="CA120" i="6"/>
  <c r="CA121" i="6"/>
  <c r="CA122" i="6"/>
  <c r="CA123" i="6"/>
  <c r="CA124" i="6"/>
  <c r="CA125" i="6"/>
  <c r="CA126" i="6"/>
  <c r="CA127" i="6"/>
  <c r="CA128" i="6"/>
  <c r="CA129" i="6"/>
  <c r="CA130" i="6"/>
  <c r="CA131" i="6"/>
  <c r="CA132" i="6"/>
  <c r="CA133" i="6"/>
  <c r="CA134" i="6"/>
  <c r="CA135" i="6"/>
  <c r="CA136" i="6"/>
  <c r="CA137" i="6"/>
  <c r="CA138" i="6"/>
  <c r="CA139" i="6"/>
  <c r="CA140" i="6"/>
  <c r="CA141" i="6"/>
  <c r="CA142" i="6"/>
  <c r="CA143" i="6"/>
  <c r="CA144" i="6"/>
  <c r="CA145" i="6"/>
  <c r="CA147" i="6"/>
  <c r="CA148" i="6"/>
  <c r="CA149" i="6"/>
  <c r="CA150" i="6"/>
  <c r="CA151" i="6"/>
  <c r="CA112" i="6"/>
  <c r="BZ148" i="6"/>
  <c r="BZ149" i="6"/>
  <c r="BZ150" i="6"/>
  <c r="BZ151" i="6"/>
  <c r="BZ147" i="6"/>
  <c r="BZ113" i="6"/>
  <c r="BZ114" i="6"/>
  <c r="BZ115" i="6"/>
  <c r="BZ116" i="6"/>
  <c r="BZ117" i="6"/>
  <c r="BZ118" i="6"/>
  <c r="BZ119" i="6"/>
  <c r="BZ120" i="6"/>
  <c r="BZ121" i="6"/>
  <c r="BZ122" i="6"/>
  <c r="BZ123" i="6"/>
  <c r="BZ124" i="6"/>
  <c r="BZ125" i="6"/>
  <c r="BZ126" i="6"/>
  <c r="BZ127" i="6"/>
  <c r="BZ128" i="6"/>
  <c r="BZ129" i="6"/>
  <c r="BZ130" i="6"/>
  <c r="BZ131" i="6"/>
  <c r="BZ132" i="6"/>
  <c r="BZ133" i="6"/>
  <c r="BZ134" i="6"/>
  <c r="BZ135" i="6"/>
  <c r="BZ136" i="6"/>
  <c r="BZ137" i="6"/>
  <c r="BZ138" i="6"/>
  <c r="BZ139" i="6"/>
  <c r="BZ140" i="6"/>
  <c r="BZ141" i="6"/>
  <c r="BZ142" i="6"/>
  <c r="BZ143" i="6"/>
  <c r="BZ144" i="6"/>
  <c r="BZ145" i="6"/>
  <c r="BZ112" i="6"/>
  <c r="BZ146" i="6"/>
  <c r="CA99" i="6"/>
  <c r="BZ99" i="6"/>
  <c r="CA15" i="6"/>
  <c r="BZ15" i="6"/>
  <c r="BX152" i="6"/>
  <c r="CA52" i="6"/>
  <c r="CA53" i="6"/>
  <c r="CA54" i="6"/>
  <c r="CA55" i="6"/>
  <c r="CA56" i="6"/>
  <c r="CA57" i="6"/>
  <c r="CA58" i="6"/>
  <c r="CA59" i="6"/>
  <c r="CA60" i="6"/>
  <c r="CA61" i="6"/>
  <c r="CA62" i="6"/>
  <c r="CA63" i="6"/>
  <c r="CA64" i="6"/>
  <c r="CA65" i="6"/>
  <c r="CA66" i="6"/>
  <c r="CA67" i="6"/>
  <c r="CA68" i="6"/>
  <c r="CA69" i="6"/>
  <c r="CA70" i="6"/>
  <c r="CA71" i="6"/>
  <c r="CA72" i="6"/>
  <c r="CA73" i="6"/>
  <c r="CA74" i="6"/>
  <c r="CA75" i="6"/>
  <c r="CA76" i="6"/>
  <c r="CA77" i="6"/>
  <c r="CA78" i="6"/>
  <c r="CA79" i="6"/>
  <c r="CA80" i="6"/>
  <c r="CA81" i="6"/>
  <c r="CA82" i="6"/>
  <c r="CA83" i="6"/>
  <c r="CA84" i="6"/>
  <c r="CA85" i="6"/>
  <c r="CA86" i="6"/>
  <c r="CA87" i="6"/>
  <c r="CA88" i="6"/>
  <c r="CA89" i="6"/>
  <c r="CA90" i="6"/>
  <c r="CA91" i="6"/>
  <c r="CA92" i="6"/>
  <c r="CA93" i="6"/>
  <c r="CA94" i="6"/>
  <c r="CA95" i="6"/>
  <c r="CA96" i="6"/>
  <c r="CA97" i="6"/>
  <c r="CA98" i="6"/>
  <c r="CA100" i="6"/>
  <c r="CA101" i="6"/>
  <c r="CA102" i="6"/>
  <c r="CA103" i="6"/>
  <c r="CA104" i="6"/>
  <c r="CA105" i="6"/>
  <c r="CA106" i="6"/>
  <c r="CA107" i="6"/>
  <c r="CA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68" i="6"/>
  <c r="BZ69" i="6"/>
  <c r="BZ70" i="6"/>
  <c r="BZ71" i="6"/>
  <c r="BZ72" i="6"/>
  <c r="BZ73" i="6"/>
  <c r="BZ74" i="6"/>
  <c r="BZ75" i="6"/>
  <c r="BZ76" i="6"/>
  <c r="BZ77" i="6"/>
  <c r="BZ78" i="6"/>
  <c r="BZ79" i="6"/>
  <c r="BZ80" i="6"/>
  <c r="BZ81" i="6"/>
  <c r="BZ82" i="6"/>
  <c r="BZ83" i="6"/>
  <c r="BZ84" i="6"/>
  <c r="BZ85" i="6"/>
  <c r="BZ86" i="6"/>
  <c r="BZ87" i="6"/>
  <c r="BZ88" i="6"/>
  <c r="BZ89" i="6"/>
  <c r="BZ90" i="6"/>
  <c r="BZ91" i="6"/>
  <c r="BZ92" i="6"/>
  <c r="BZ93" i="6"/>
  <c r="BZ94" i="6"/>
  <c r="BZ95" i="6"/>
  <c r="BZ96" i="6"/>
  <c r="BZ97" i="6"/>
  <c r="BZ98" i="6"/>
  <c r="BZ100" i="6"/>
  <c r="BZ101" i="6"/>
  <c r="BZ102" i="6"/>
  <c r="BZ103" i="6"/>
  <c r="BZ104" i="6"/>
  <c r="BZ105" i="6"/>
  <c r="BZ106" i="6"/>
  <c r="BZ107" i="6"/>
  <c r="BZ51" i="6"/>
  <c r="CA3" i="6"/>
  <c r="CA4" i="6"/>
  <c r="CA5" i="6"/>
  <c r="CA6" i="6"/>
  <c r="CA7" i="6"/>
  <c r="CA8" i="6"/>
  <c r="CA9" i="6"/>
  <c r="CA10" i="6"/>
  <c r="CA11" i="6"/>
  <c r="CA12" i="6"/>
  <c r="CA13" i="6"/>
  <c r="CA14" i="6"/>
  <c r="CA16" i="6"/>
  <c r="CA17" i="6"/>
  <c r="CA18" i="6"/>
  <c r="CA19" i="6"/>
  <c r="CA20" i="6"/>
  <c r="CA21" i="6"/>
  <c r="CA22" i="6"/>
  <c r="CA23" i="6"/>
  <c r="CA24" i="6"/>
  <c r="CA25" i="6"/>
  <c r="CA26" i="6"/>
  <c r="CA27" i="6"/>
  <c r="CA28" i="6"/>
  <c r="CA29" i="6"/>
  <c r="CA30" i="6"/>
  <c r="CA31" i="6"/>
  <c r="CA32" i="6"/>
  <c r="CA33" i="6"/>
  <c r="CA34" i="6"/>
  <c r="CA35" i="6"/>
  <c r="CA36" i="6"/>
  <c r="CA37" i="6"/>
  <c r="CA38" i="6"/>
  <c r="CA39" i="6"/>
  <c r="CA40" i="6"/>
  <c r="CA41" i="6"/>
  <c r="CA42" i="6"/>
  <c r="CA43" i="6"/>
  <c r="CA44" i="6"/>
  <c r="CA45" i="6"/>
  <c r="CA46" i="6"/>
  <c r="CA2" i="6"/>
  <c r="BX108" i="6"/>
  <c r="BZ46" i="6"/>
  <c r="BZ3" i="6"/>
  <c r="BZ4" i="6"/>
  <c r="BZ5" i="6"/>
  <c r="BZ6" i="6"/>
  <c r="BZ7" i="6"/>
  <c r="BZ8" i="6"/>
  <c r="BZ9" i="6"/>
  <c r="BZ10" i="6"/>
  <c r="BZ11" i="6"/>
  <c r="BZ12" i="6"/>
  <c r="BZ13" i="6"/>
  <c r="BZ14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2" i="6"/>
  <c r="BX47" i="6"/>
  <c r="BB399" i="9"/>
  <c r="BB398" i="9"/>
  <c r="BB396" i="9"/>
  <c r="BB397" i="9"/>
  <c r="BB395" i="9"/>
  <c r="BB394" i="9"/>
  <c r="BB392" i="9"/>
  <c r="BB391" i="9"/>
  <c r="AI130" i="9"/>
  <c r="AJ130" i="9"/>
  <c r="AJ20" i="9"/>
  <c r="AN20" i="9"/>
  <c r="AI252" i="9"/>
  <c r="AJ252" i="9"/>
  <c r="AI182" i="9"/>
  <c r="AJ182" i="9"/>
  <c r="AJ85" i="9"/>
  <c r="AN85" i="9"/>
  <c r="AI233" i="9"/>
  <c r="AJ233" i="9"/>
  <c r="AI215" i="9"/>
  <c r="AJ215" i="9"/>
  <c r="AI128" i="9"/>
  <c r="AJ128" i="9"/>
  <c r="AJ17" i="9"/>
  <c r="AN17" i="9"/>
  <c r="AI257" i="9"/>
  <c r="AJ257" i="9"/>
  <c r="AI187" i="9"/>
  <c r="AJ187" i="9"/>
  <c r="AI236" i="9"/>
  <c r="AJ236" i="9"/>
  <c r="AI154" i="9"/>
  <c r="AJ154" i="9"/>
  <c r="AJ50" i="9"/>
  <c r="AN50" i="9"/>
  <c r="AI210" i="9"/>
  <c r="AJ210" i="9"/>
  <c r="AI120" i="9"/>
  <c r="AJ120" i="9"/>
  <c r="AJ12" i="9"/>
  <c r="AN12" i="9"/>
  <c r="AI242" i="9"/>
  <c r="AJ242" i="9"/>
  <c r="AI162" i="9"/>
  <c r="AJ162" i="9"/>
  <c r="AI151" i="9"/>
  <c r="AJ151" i="9"/>
  <c r="AJ58" i="9"/>
  <c r="AN58" i="9"/>
  <c r="AJ47" i="9"/>
  <c r="AN47" i="9"/>
  <c r="BB390" i="9"/>
  <c r="BB389" i="9"/>
  <c r="BB386" i="9"/>
  <c r="BB388" i="9"/>
  <c r="BB387" i="9"/>
  <c r="BB385" i="9"/>
  <c r="BC394" i="9" l="1"/>
  <c r="BC399" i="9"/>
  <c r="BC398" i="9"/>
  <c r="BC395" i="9"/>
  <c r="BC396" i="9"/>
  <c r="BC397" i="9"/>
  <c r="BZ207" i="7"/>
  <c r="BY207" i="7"/>
  <c r="BZ123" i="7"/>
  <c r="BY123" i="7"/>
  <c r="BY39" i="7"/>
  <c r="BZ39" i="7"/>
  <c r="BY81" i="7"/>
  <c r="BZ163" i="6"/>
  <c r="CA168" i="6"/>
  <c r="BX207" i="6"/>
  <c r="BZ168" i="6"/>
  <c r="BC392" i="9"/>
  <c r="BC391" i="9"/>
  <c r="BC386" i="9"/>
  <c r="BC388" i="9"/>
  <c r="BC390" i="9"/>
  <c r="BC389" i="9"/>
  <c r="BC387" i="9"/>
  <c r="BC385" i="9"/>
  <c r="CA202" i="6" l="1"/>
  <c r="BZ202" i="6"/>
  <c r="BV191" i="7"/>
  <c r="BU191" i="7"/>
  <c r="BV187" i="7"/>
  <c r="BV188" i="7"/>
  <c r="BU187" i="7"/>
  <c r="BV185" i="7"/>
  <c r="BU185" i="7"/>
  <c r="BU186" i="7"/>
  <c r="BU168" i="7"/>
  <c r="BV190" i="7"/>
  <c r="BV184" i="7"/>
  <c r="BU184" i="7"/>
  <c r="BT171" i="7"/>
  <c r="BV176" i="7"/>
  <c r="BU176" i="7"/>
  <c r="BU180" i="7"/>
  <c r="BV180" i="7"/>
  <c r="BV169" i="7"/>
  <c r="BV170" i="7"/>
  <c r="BV172" i="7"/>
  <c r="BV173" i="7"/>
  <c r="BV174" i="7"/>
  <c r="BV175" i="7"/>
  <c r="BV177" i="7"/>
  <c r="BV178" i="7"/>
  <c r="BV179" i="7"/>
  <c r="BV181" i="7"/>
  <c r="BV182" i="7"/>
  <c r="BV183" i="7"/>
  <c r="BV186" i="7"/>
  <c r="BV189" i="7"/>
  <c r="BV192" i="7"/>
  <c r="BV193" i="7"/>
  <c r="BV194" i="7"/>
  <c r="BV195" i="7"/>
  <c r="BV196" i="7"/>
  <c r="BV199" i="7"/>
  <c r="BV200" i="7"/>
  <c r="BV203" i="7"/>
  <c r="CU196" i="6"/>
  <c r="CU195" i="6"/>
  <c r="CU194" i="6"/>
  <c r="CU193" i="6"/>
  <c r="CU192" i="6"/>
  <c r="CU191" i="6"/>
  <c r="CU190" i="6"/>
  <c r="CU189" i="6"/>
  <c r="CU188" i="6"/>
  <c r="CU187" i="6"/>
  <c r="BW185" i="6"/>
  <c r="BZ185" i="6" s="1"/>
  <c r="BW206" i="6"/>
  <c r="BW205" i="6"/>
  <c r="BW204" i="6"/>
  <c r="BW203" i="6"/>
  <c r="BW201" i="6"/>
  <c r="CA201" i="6" s="1"/>
  <c r="BW200" i="6"/>
  <c r="BW199" i="6"/>
  <c r="BW198" i="6"/>
  <c r="BW197" i="6"/>
  <c r="CR187" i="6" s="1"/>
  <c r="BW196" i="6"/>
  <c r="BW195" i="6"/>
  <c r="BW193" i="6"/>
  <c r="BW192" i="6"/>
  <c r="BW191" i="6"/>
  <c r="BZ191" i="6" s="1"/>
  <c r="BW190" i="6"/>
  <c r="CA190" i="6" s="1"/>
  <c r="BW189" i="6"/>
  <c r="BZ189" i="6" s="1"/>
  <c r="BW188" i="6"/>
  <c r="BW187" i="6"/>
  <c r="CA187" i="6" s="1"/>
  <c r="BW186" i="6"/>
  <c r="BW184" i="6"/>
  <c r="BW183" i="6"/>
  <c r="BW182" i="6"/>
  <c r="BW181" i="6"/>
  <c r="BW180" i="6"/>
  <c r="BW179" i="6"/>
  <c r="BZ179" i="6" s="1"/>
  <c r="BW178" i="6"/>
  <c r="BW177" i="6"/>
  <c r="BW176" i="6"/>
  <c r="BZ176" i="6" s="1"/>
  <c r="BW175" i="6"/>
  <c r="BW174" i="6"/>
  <c r="BW173" i="6"/>
  <c r="BW172" i="6"/>
  <c r="BW171" i="6"/>
  <c r="BW170" i="6"/>
  <c r="BW169" i="6"/>
  <c r="BW167" i="6"/>
  <c r="BW152" i="6"/>
  <c r="BV152" i="6"/>
  <c r="BW108" i="6"/>
  <c r="BW47" i="6"/>
  <c r="BU205" i="7"/>
  <c r="AT205" i="7"/>
  <c r="AU205" i="7"/>
  <c r="AV205" i="7"/>
  <c r="AW205" i="7"/>
  <c r="AY205" i="7"/>
  <c r="BC205" i="7"/>
  <c r="BD205" i="7"/>
  <c r="BE205" i="7"/>
  <c r="BF205" i="7"/>
  <c r="BG205" i="7"/>
  <c r="BH205" i="7"/>
  <c r="BI205" i="7"/>
  <c r="BJ205" i="7"/>
  <c r="BK205" i="7"/>
  <c r="BO205" i="7"/>
  <c r="BP205" i="7"/>
  <c r="BQ205" i="7"/>
  <c r="BR205" i="7"/>
  <c r="BS205" i="7"/>
  <c r="BT205" i="7"/>
  <c r="BK121" i="7"/>
  <c r="BL121" i="7" s="1"/>
  <c r="BL79" i="7"/>
  <c r="BM79" i="7"/>
  <c r="BU204" i="7"/>
  <c r="AT204" i="7"/>
  <c r="AU204" i="7"/>
  <c r="AV204" i="7"/>
  <c r="AW204" i="7"/>
  <c r="AY204" i="7"/>
  <c r="BC204" i="7"/>
  <c r="BD204" i="7"/>
  <c r="BE204" i="7"/>
  <c r="BF204" i="7"/>
  <c r="BG204" i="7"/>
  <c r="BH204" i="7"/>
  <c r="BI204" i="7"/>
  <c r="BJ204" i="7"/>
  <c r="BK204" i="7"/>
  <c r="BO204" i="7"/>
  <c r="BP204" i="7"/>
  <c r="BQ204" i="7"/>
  <c r="BR204" i="7"/>
  <c r="BS204" i="7"/>
  <c r="BT204" i="7"/>
  <c r="BK120" i="7"/>
  <c r="BM120" i="7" s="1"/>
  <c r="BL37" i="7"/>
  <c r="BM37" i="7"/>
  <c r="BU203" i="7"/>
  <c r="AT203" i="7"/>
  <c r="AU203" i="7"/>
  <c r="AV203" i="7"/>
  <c r="AW203" i="7"/>
  <c r="AY203" i="7"/>
  <c r="BC203" i="7"/>
  <c r="BD203" i="7"/>
  <c r="BE203" i="7"/>
  <c r="BF203" i="7"/>
  <c r="BG203" i="7"/>
  <c r="BH203" i="7"/>
  <c r="BI203" i="7"/>
  <c r="BJ203" i="7"/>
  <c r="BK203" i="7"/>
  <c r="BO203" i="7"/>
  <c r="BP203" i="7"/>
  <c r="BQ203" i="7"/>
  <c r="BR203" i="7"/>
  <c r="BS203" i="7"/>
  <c r="BT203" i="7"/>
  <c r="BK119" i="7"/>
  <c r="BL119" i="7" s="1"/>
  <c r="BL77" i="7"/>
  <c r="BM77" i="7"/>
  <c r="AT202" i="7"/>
  <c r="AU202" i="7"/>
  <c r="AV202" i="7"/>
  <c r="AW202" i="7"/>
  <c r="AY202" i="7"/>
  <c r="BC202" i="7"/>
  <c r="BD202" i="7"/>
  <c r="BE202" i="7"/>
  <c r="BF202" i="7"/>
  <c r="BG202" i="7"/>
  <c r="BH202" i="7"/>
  <c r="BI202" i="7"/>
  <c r="BJ202" i="7"/>
  <c r="BK202" i="7"/>
  <c r="BO202" i="7"/>
  <c r="BP202" i="7"/>
  <c r="BQ202" i="7"/>
  <c r="BR202" i="7"/>
  <c r="BS202" i="7"/>
  <c r="BT202" i="7"/>
  <c r="BL78" i="7"/>
  <c r="BM78" i="7"/>
  <c r="BL36" i="7"/>
  <c r="BM36" i="7"/>
  <c r="BL38" i="7"/>
  <c r="BM38" i="7"/>
  <c r="BU169" i="7"/>
  <c r="BU170" i="7"/>
  <c r="BU172" i="7"/>
  <c r="BU173" i="7"/>
  <c r="BU174" i="7"/>
  <c r="BU175" i="7"/>
  <c r="BU177" i="7"/>
  <c r="BU178" i="7"/>
  <c r="BU179" i="7"/>
  <c r="BU181" i="7"/>
  <c r="BU182" i="7"/>
  <c r="BU183" i="7"/>
  <c r="BU188" i="7"/>
  <c r="BU189" i="7"/>
  <c r="BU190" i="7"/>
  <c r="BU192" i="7"/>
  <c r="BU193" i="7"/>
  <c r="BU194" i="7"/>
  <c r="BU195" i="7"/>
  <c r="BU196" i="7"/>
  <c r="BU199" i="7"/>
  <c r="BU200" i="7"/>
  <c r="BU201" i="7"/>
  <c r="BT168" i="7"/>
  <c r="BU123" i="7"/>
  <c r="BY122" i="7"/>
  <c r="BT39" i="7"/>
  <c r="BU39" i="7"/>
  <c r="BU81" i="7"/>
  <c r="BV206" i="6"/>
  <c r="BV205" i="6"/>
  <c r="BV204" i="6"/>
  <c r="CW196" i="6" s="1"/>
  <c r="BV203" i="6"/>
  <c r="BV201" i="6"/>
  <c r="BV200" i="6"/>
  <c r="BV199" i="6"/>
  <c r="BV198" i="6"/>
  <c r="BV197" i="6"/>
  <c r="CQ187" i="6" s="1"/>
  <c r="BV196" i="6"/>
  <c r="BV195" i="6"/>
  <c r="BV193" i="6"/>
  <c r="BV192" i="6"/>
  <c r="BV191" i="6"/>
  <c r="BV190" i="6"/>
  <c r="BU189" i="6"/>
  <c r="BV189" i="6"/>
  <c r="CW194" i="6" s="1"/>
  <c r="BV188" i="6"/>
  <c r="BV187" i="6"/>
  <c r="BV186" i="6"/>
  <c r="BV185" i="6"/>
  <c r="BV184" i="6"/>
  <c r="BV183" i="6"/>
  <c r="CW192" i="6" s="1"/>
  <c r="BV182" i="6"/>
  <c r="BV181" i="6"/>
  <c r="BV180" i="6"/>
  <c r="BV179" i="6"/>
  <c r="BV178" i="6"/>
  <c r="CW191" i="6" s="1"/>
  <c r="BV177" i="6"/>
  <c r="CW190" i="6" s="1"/>
  <c r="BV176" i="6"/>
  <c r="BV175" i="6"/>
  <c r="BV174" i="6"/>
  <c r="BV173" i="6"/>
  <c r="BV172" i="6"/>
  <c r="BV171" i="6"/>
  <c r="CW189" i="6" s="1"/>
  <c r="BV170" i="6"/>
  <c r="CW188" i="6" s="1"/>
  <c r="BV169" i="6"/>
  <c r="BV168" i="6"/>
  <c r="BV167" i="6"/>
  <c r="BU167" i="6"/>
  <c r="BV108" i="6"/>
  <c r="BV47" i="6"/>
  <c r="BT200" i="7"/>
  <c r="BT192" i="7"/>
  <c r="BT191" i="7"/>
  <c r="BT188" i="7"/>
  <c r="BT193" i="7"/>
  <c r="BT187" i="7"/>
  <c r="BT186" i="7"/>
  <c r="BT185" i="7"/>
  <c r="BT184" i="7"/>
  <c r="BT183" i="7"/>
  <c r="BT182" i="7"/>
  <c r="BT181" i="7"/>
  <c r="BT180" i="7"/>
  <c r="BT179" i="7"/>
  <c r="BT178" i="7"/>
  <c r="BT177" i="7"/>
  <c r="BT176" i="7"/>
  <c r="BT174" i="7"/>
  <c r="BT173" i="7"/>
  <c r="BT172" i="7"/>
  <c r="BT170" i="7"/>
  <c r="BT169" i="7"/>
  <c r="BT167" i="6"/>
  <c r="BU168" i="6"/>
  <c r="CX195" i="6" l="1"/>
  <c r="BZ198" i="6"/>
  <c r="CW187" i="6"/>
  <c r="BV207" i="6"/>
  <c r="BW207" i="6"/>
  <c r="CA191" i="6"/>
  <c r="CA179" i="6"/>
  <c r="BZ190" i="6"/>
  <c r="CA184" i="6"/>
  <c r="BZ184" i="6"/>
  <c r="CA173" i="6"/>
  <c r="BZ173" i="6"/>
  <c r="CA174" i="6"/>
  <c r="BZ174" i="6"/>
  <c r="CA175" i="6"/>
  <c r="BZ175" i="6"/>
  <c r="BZ187" i="6"/>
  <c r="CX190" i="6"/>
  <c r="CA177" i="6"/>
  <c r="BZ177" i="6"/>
  <c r="CA176" i="6"/>
  <c r="CR188" i="6"/>
  <c r="BZ178" i="6"/>
  <c r="CA178" i="6"/>
  <c r="CA192" i="6"/>
  <c r="BZ192" i="6"/>
  <c r="BZ167" i="6"/>
  <c r="CA167" i="6"/>
  <c r="BZ180" i="6"/>
  <c r="CA180" i="6"/>
  <c r="CA193" i="6"/>
  <c r="BZ193" i="6"/>
  <c r="CX187" i="6"/>
  <c r="BZ201" i="6"/>
  <c r="CX193" i="6"/>
  <c r="BZ186" i="6"/>
  <c r="BZ169" i="6"/>
  <c r="CA169" i="6"/>
  <c r="BZ181" i="6"/>
  <c r="CA181" i="6"/>
  <c r="CX188" i="6"/>
  <c r="BZ170" i="6"/>
  <c r="CA170" i="6"/>
  <c r="CA182" i="6"/>
  <c r="BZ182" i="6"/>
  <c r="CA172" i="6"/>
  <c r="BZ172" i="6"/>
  <c r="CX189" i="6"/>
  <c r="CA171" i="6"/>
  <c r="BZ171" i="6"/>
  <c r="CX192" i="6"/>
  <c r="BZ183" i="6"/>
  <c r="CA183" i="6"/>
  <c r="CA186" i="6"/>
  <c r="CA189" i="6"/>
  <c r="CA185" i="6"/>
  <c r="BZ200" i="6"/>
  <c r="CA200" i="6"/>
  <c r="CA196" i="6"/>
  <c r="BZ196" i="6"/>
  <c r="BZ195" i="6"/>
  <c r="CA195" i="6"/>
  <c r="BZ199" i="6"/>
  <c r="CA199" i="6"/>
  <c r="CA188" i="6"/>
  <c r="BZ188" i="6"/>
  <c r="CA198" i="6"/>
  <c r="BZ152" i="6"/>
  <c r="CA152" i="6"/>
  <c r="BZ108" i="6"/>
  <c r="CA108" i="6"/>
  <c r="BZ47" i="6"/>
  <c r="CA47" i="6"/>
  <c r="CQ176" i="6"/>
  <c r="CX194" i="6"/>
  <c r="CQ177" i="6"/>
  <c r="CW193" i="6"/>
  <c r="CQ178" i="6"/>
  <c r="CX196" i="6"/>
  <c r="CW195" i="6"/>
  <c r="CQ188" i="6"/>
  <c r="CX191" i="6"/>
  <c r="BL205" i="7"/>
  <c r="BM205" i="7"/>
  <c r="BM121" i="7"/>
  <c r="BL120" i="7"/>
  <c r="BL204" i="7"/>
  <c r="BM204" i="7"/>
  <c r="BL203" i="7"/>
  <c r="BM203" i="7"/>
  <c r="BM119" i="7"/>
  <c r="BL202" i="7"/>
  <c r="BM202" i="7"/>
  <c r="BS39" i="7"/>
  <c r="BR39" i="7"/>
  <c r="BT175" i="7"/>
  <c r="BT189" i="7"/>
  <c r="BT190" i="7"/>
  <c r="BT194" i="7"/>
  <c r="BT195" i="7"/>
  <c r="BT196" i="7"/>
  <c r="BT197" i="7"/>
  <c r="BT198" i="7"/>
  <c r="BT199" i="7"/>
  <c r="BT201" i="7"/>
  <c r="BT206" i="7"/>
  <c r="BS123" i="7"/>
  <c r="BR123" i="7"/>
  <c r="BQ123" i="7"/>
  <c r="BP123" i="7"/>
  <c r="BO123" i="7"/>
  <c r="BN123" i="7"/>
  <c r="BT123" i="7"/>
  <c r="BS81" i="7"/>
  <c r="BT81" i="7"/>
  <c r="BR81" i="7"/>
  <c r="BL80" i="7"/>
  <c r="BM80" i="7"/>
  <c r="BZ207" i="6" l="1"/>
  <c r="CA207" i="6"/>
  <c r="CW197" i="6"/>
  <c r="CV201" i="6" s="1"/>
  <c r="CA204" i="6"/>
  <c r="BZ204" i="6"/>
  <c r="CA205" i="6"/>
  <c r="BZ205" i="6"/>
  <c r="CA197" i="6"/>
  <c r="BZ197" i="6"/>
  <c r="CA194" i="6"/>
  <c r="BZ194" i="6"/>
  <c r="CX197" i="6"/>
  <c r="BT207" i="7"/>
  <c r="BU193" i="6"/>
  <c r="BH206" i="6"/>
  <c r="BI206" i="6"/>
  <c r="BJ206" i="6"/>
  <c r="BK206" i="6"/>
  <c r="BH205" i="6"/>
  <c r="BI205" i="6"/>
  <c r="BJ205" i="6"/>
  <c r="BK205" i="6"/>
  <c r="BL205" i="6"/>
  <c r="BH201" i="6"/>
  <c r="BI201" i="6"/>
  <c r="BJ201" i="6"/>
  <c r="BK201" i="6"/>
  <c r="BL201" i="6"/>
  <c r="BH203" i="6"/>
  <c r="BI203" i="6"/>
  <c r="BJ203" i="6"/>
  <c r="BK203" i="6"/>
  <c r="BL203" i="6"/>
  <c r="BH199" i="6"/>
  <c r="BI199" i="6"/>
  <c r="BJ199" i="6"/>
  <c r="BK199" i="6"/>
  <c r="BL199" i="6"/>
  <c r="BH202" i="6"/>
  <c r="BI202" i="6"/>
  <c r="BJ202" i="6"/>
  <c r="BK202" i="6"/>
  <c r="BL202" i="6"/>
  <c r="BK185" i="6"/>
  <c r="BJ185" i="6"/>
  <c r="BI185" i="6"/>
  <c r="BH185" i="6"/>
  <c r="BH190" i="6"/>
  <c r="BI190" i="6"/>
  <c r="BJ190" i="6"/>
  <c r="BK190" i="6"/>
  <c r="BP194" i="6"/>
  <c r="BP172" i="6"/>
  <c r="BP191" i="6"/>
  <c r="BP193" i="6"/>
  <c r="BP167" i="6"/>
  <c r="BL190" i="6"/>
  <c r="BL185" i="6"/>
  <c r="BO181" i="6"/>
  <c r="BP177" i="6"/>
  <c r="BP182" i="6"/>
  <c r="BP195" i="6"/>
  <c r="BP196" i="6"/>
  <c r="BP197" i="6"/>
  <c r="BO189" i="6"/>
  <c r="BO184" i="6"/>
  <c r="BO175" i="6"/>
  <c r="BO188" i="6"/>
  <c r="BO200" i="6"/>
  <c r="BO174" i="6"/>
  <c r="BO198" i="6"/>
  <c r="BO176" i="6"/>
  <c r="BO169" i="6"/>
  <c r="BO183" i="6"/>
  <c r="BO187" i="6"/>
  <c r="BO173" i="6"/>
  <c r="BO171" i="6"/>
  <c r="BO180" i="6"/>
  <c r="BO204" i="6"/>
  <c r="BO179" i="6"/>
  <c r="BO178" i="6"/>
  <c r="BO168" i="6"/>
  <c r="BO186" i="6"/>
  <c r="BO192" i="6"/>
  <c r="BO170" i="6"/>
  <c r="BO172" i="6"/>
  <c r="BO191" i="6"/>
  <c r="BO193" i="6"/>
  <c r="BO167" i="6"/>
  <c r="BO197" i="6"/>
  <c r="BO177" i="6"/>
  <c r="BO182" i="6"/>
  <c r="BO195" i="6"/>
  <c r="BO196" i="6"/>
  <c r="BO194" i="6"/>
  <c r="BM181" i="6"/>
  <c r="BN181" i="6"/>
  <c r="BM175" i="6"/>
  <c r="BN175" i="6"/>
  <c r="BM188" i="6"/>
  <c r="BN188" i="6"/>
  <c r="BM200" i="6"/>
  <c r="BN200" i="6"/>
  <c r="BM174" i="6"/>
  <c r="BN174" i="6"/>
  <c r="BM198" i="6"/>
  <c r="BN198" i="6"/>
  <c r="BM176" i="6"/>
  <c r="BN176" i="6"/>
  <c r="BM169" i="6"/>
  <c r="BN169" i="6"/>
  <c r="BM183" i="6"/>
  <c r="BN183" i="6"/>
  <c r="BM187" i="6"/>
  <c r="BN187" i="6"/>
  <c r="BM173" i="6"/>
  <c r="BN173" i="6"/>
  <c r="BM171" i="6"/>
  <c r="BN171" i="6"/>
  <c r="BM180" i="6"/>
  <c r="BN180" i="6"/>
  <c r="BM204" i="6"/>
  <c r="BN204" i="6"/>
  <c r="BM179" i="6"/>
  <c r="BN179" i="6"/>
  <c r="BM178" i="6"/>
  <c r="BN178" i="6"/>
  <c r="BM168" i="6"/>
  <c r="BN168" i="6"/>
  <c r="BM186" i="6"/>
  <c r="BN186" i="6"/>
  <c r="BM189" i="6"/>
  <c r="BN189" i="6"/>
  <c r="BM192" i="6"/>
  <c r="BN192" i="6"/>
  <c r="BM170" i="6"/>
  <c r="BN170" i="6"/>
  <c r="BM172" i="6"/>
  <c r="BN172" i="6"/>
  <c r="BM193" i="6"/>
  <c r="BN193" i="6"/>
  <c r="BM167" i="6"/>
  <c r="BN167" i="6"/>
  <c r="BM197" i="6"/>
  <c r="BN197" i="6"/>
  <c r="BM177" i="6"/>
  <c r="BN177" i="6"/>
  <c r="BM182" i="6"/>
  <c r="BN182" i="6"/>
  <c r="BM195" i="6"/>
  <c r="BN195" i="6"/>
  <c r="BM196" i="6"/>
  <c r="BN196" i="6"/>
  <c r="BM194" i="6"/>
  <c r="BN194" i="6"/>
  <c r="BL189" i="6"/>
  <c r="BL167" i="6"/>
  <c r="BL168" i="6"/>
  <c r="BL169" i="6"/>
  <c r="BL170" i="6"/>
  <c r="BL172" i="6"/>
  <c r="BL196" i="6"/>
  <c r="BL171" i="6"/>
  <c r="BL175" i="6"/>
  <c r="BL173" i="6"/>
  <c r="BL181" i="6"/>
  <c r="BL177" i="6"/>
  <c r="BL178" i="6"/>
  <c r="BL176" i="6"/>
  <c r="BL183" i="6"/>
  <c r="BL174" i="6"/>
  <c r="BL182" i="6"/>
  <c r="BL180" i="6"/>
  <c r="BL179" i="6"/>
  <c r="BL200" i="6"/>
  <c r="BL187" i="6"/>
  <c r="BL188" i="6"/>
  <c r="BL186" i="6"/>
  <c r="BL192" i="6"/>
  <c r="BL195" i="6"/>
  <c r="BL194" i="6"/>
  <c r="BL193" i="6"/>
  <c r="BL197" i="6"/>
  <c r="BL198" i="6"/>
  <c r="BL204" i="6"/>
  <c r="BK167" i="6"/>
  <c r="BI167" i="6"/>
  <c r="BJ167" i="6"/>
  <c r="BK168" i="6"/>
  <c r="BK169" i="6"/>
  <c r="BK170" i="6"/>
  <c r="BK196" i="6"/>
  <c r="BK172" i="6"/>
  <c r="BK171" i="6"/>
  <c r="BK175" i="6"/>
  <c r="BK173" i="6"/>
  <c r="BK177" i="6"/>
  <c r="BK178" i="6"/>
  <c r="BK176" i="6"/>
  <c r="BK183" i="6"/>
  <c r="BK181" i="6"/>
  <c r="BK182" i="6"/>
  <c r="BK174" i="6"/>
  <c r="BK180" i="6"/>
  <c r="BK179" i="6"/>
  <c r="BK187" i="6"/>
  <c r="BK200" i="6"/>
  <c r="BK184" i="6"/>
  <c r="BK186" i="6"/>
  <c r="BK188" i="6"/>
  <c r="BK192" i="6"/>
  <c r="BK195" i="6"/>
  <c r="BK194" i="6"/>
  <c r="BK193" i="6"/>
  <c r="BK191" i="6"/>
  <c r="BK189" i="6"/>
  <c r="BK197" i="6"/>
  <c r="BK198" i="6"/>
  <c r="BK204" i="6"/>
  <c r="BJ189" i="6"/>
  <c r="BJ168" i="6"/>
  <c r="BJ169" i="6"/>
  <c r="BJ170" i="6"/>
  <c r="BJ196" i="6"/>
  <c r="BJ172" i="6"/>
  <c r="BJ171" i="6"/>
  <c r="BJ175" i="6"/>
  <c r="BJ173" i="6"/>
  <c r="BJ177" i="6"/>
  <c r="BJ178" i="6"/>
  <c r="BJ176" i="6"/>
  <c r="BJ183" i="6"/>
  <c r="BJ182" i="6"/>
  <c r="BJ181" i="6"/>
  <c r="BJ174" i="6"/>
  <c r="BJ180" i="6"/>
  <c r="BJ179" i="6"/>
  <c r="BJ187" i="6"/>
  <c r="BJ200" i="6"/>
  <c r="BJ184" i="6"/>
  <c r="BJ188" i="6"/>
  <c r="BJ186" i="6"/>
  <c r="BJ192" i="6"/>
  <c r="BJ195" i="6"/>
  <c r="BJ194" i="6"/>
  <c r="BJ193" i="6"/>
  <c r="BJ191" i="6"/>
  <c r="BJ197" i="6"/>
  <c r="BJ198" i="6"/>
  <c r="BJ204" i="6"/>
  <c r="BI168" i="6"/>
  <c r="BI169" i="6"/>
  <c r="BI170" i="6"/>
  <c r="BI196" i="6"/>
  <c r="BI172" i="6"/>
  <c r="BI171" i="6"/>
  <c r="BI175" i="6"/>
  <c r="BI173" i="6"/>
  <c r="BI177" i="6"/>
  <c r="BI178" i="6"/>
  <c r="BI176" i="6"/>
  <c r="BI183" i="6"/>
  <c r="BI182" i="6"/>
  <c r="BI181" i="6"/>
  <c r="BI174" i="6"/>
  <c r="BI180" i="6"/>
  <c r="BI179" i="6"/>
  <c r="BI187" i="6"/>
  <c r="BI200" i="6"/>
  <c r="BI184" i="6"/>
  <c r="BI188" i="6"/>
  <c r="BI186" i="6"/>
  <c r="BI192" i="6"/>
  <c r="BI195" i="6"/>
  <c r="BI194" i="6"/>
  <c r="BI193" i="6"/>
  <c r="BI191" i="6"/>
  <c r="BI189" i="6"/>
  <c r="BI197" i="6"/>
  <c r="BI198" i="6"/>
  <c r="BI204" i="6"/>
  <c r="BH189" i="6"/>
  <c r="BH186" i="6"/>
  <c r="BH170" i="6"/>
  <c r="BH167" i="6"/>
  <c r="BH183" i="6"/>
  <c r="BH169" i="6"/>
  <c r="BH182" i="6"/>
  <c r="BH198" i="6"/>
  <c r="BH168" i="6"/>
  <c r="BH187" i="6"/>
  <c r="BH194" i="6"/>
  <c r="BH200" i="6"/>
  <c r="BH173" i="6"/>
  <c r="BH181" i="6"/>
  <c r="BH188" i="6"/>
  <c r="BH204" i="6"/>
  <c r="BH178" i="6"/>
  <c r="BH179" i="6"/>
  <c r="BH174" i="6"/>
  <c r="BH192" i="6"/>
  <c r="BH180" i="6"/>
  <c r="BH197" i="6"/>
  <c r="BH193" i="6"/>
  <c r="BH191" i="6"/>
  <c r="BH176" i="6"/>
  <c r="BH195" i="6"/>
  <c r="BH177" i="6"/>
  <c r="BH171" i="6"/>
  <c r="BH172" i="6"/>
  <c r="BH175" i="6"/>
  <c r="BH196" i="6"/>
  <c r="BH184" i="6"/>
  <c r="BL107" i="6"/>
  <c r="BM107" i="6"/>
  <c r="CA203" i="6" l="1"/>
  <c r="BZ203" i="6"/>
  <c r="CA206" i="6"/>
  <c r="BZ206" i="6"/>
  <c r="CY197" i="6"/>
  <c r="CV202" i="6"/>
  <c r="BU152" i="6"/>
  <c r="BT152" i="6"/>
  <c r="BU108" i="6"/>
  <c r="BU207" i="6" s="1"/>
  <c r="BU47" i="6"/>
  <c r="BT47" i="6"/>
  <c r="CX201" i="6" l="1"/>
  <c r="BU169" i="6"/>
  <c r="BU170" i="6"/>
  <c r="BU171" i="6"/>
  <c r="BU172" i="6"/>
  <c r="BU173" i="6"/>
  <c r="BU174" i="6"/>
  <c r="BU175" i="6"/>
  <c r="BU176" i="6"/>
  <c r="BU177" i="6"/>
  <c r="BU178" i="6"/>
  <c r="BU179" i="6"/>
  <c r="BU180" i="6"/>
  <c r="BU181" i="6"/>
  <c r="BU182" i="6"/>
  <c r="BU183" i="6"/>
  <c r="BU184" i="6"/>
  <c r="BU185" i="6"/>
  <c r="BU186" i="6"/>
  <c r="BU187" i="6"/>
  <c r="BU188" i="6"/>
  <c r="BU190" i="6"/>
  <c r="BU191" i="6"/>
  <c r="BU192" i="6"/>
  <c r="BU194" i="6"/>
  <c r="BU195" i="6"/>
  <c r="BU196" i="6"/>
  <c r="BU197" i="6"/>
  <c r="BU198" i="6"/>
  <c r="BU199" i="6"/>
  <c r="BU200" i="6"/>
  <c r="BU201" i="6"/>
  <c r="BU202" i="6"/>
  <c r="BU203" i="6"/>
  <c r="BU204" i="6"/>
  <c r="BU205" i="6"/>
  <c r="BU206" i="6"/>
  <c r="BL71" i="7"/>
  <c r="BL72" i="7"/>
  <c r="BL73" i="7"/>
  <c r="BL74" i="7"/>
  <c r="BL75" i="7"/>
  <c r="BL76" i="7"/>
  <c r="BM71" i="7"/>
  <c r="BM72" i="7"/>
  <c r="BM73" i="7"/>
  <c r="BM74" i="7"/>
  <c r="BM75" i="7"/>
  <c r="BM76" i="7"/>
  <c r="BS196" i="7" l="1"/>
  <c r="BS197" i="7"/>
  <c r="BS198" i="7"/>
  <c r="BS199" i="7"/>
  <c r="BS200" i="7"/>
  <c r="BS201" i="7"/>
  <c r="AW207" i="7"/>
  <c r="AY207" i="7"/>
  <c r="BP168" i="7"/>
  <c r="BP169" i="7"/>
  <c r="BP170" i="7"/>
  <c r="BP171" i="7"/>
  <c r="BP172" i="7"/>
  <c r="BP173" i="7"/>
  <c r="BP174" i="7"/>
  <c r="BP175" i="7"/>
  <c r="BP176" i="7"/>
  <c r="BP177" i="7"/>
  <c r="BP178" i="7"/>
  <c r="BP179" i="7"/>
  <c r="BP180" i="7"/>
  <c r="BP181" i="7"/>
  <c r="BP182" i="7"/>
  <c r="BP183" i="7"/>
  <c r="BP184" i="7"/>
  <c r="BP185" i="7"/>
  <c r="BP186" i="7"/>
  <c r="BP187" i="7"/>
  <c r="BP188" i="7"/>
  <c r="BP189" i="7"/>
  <c r="BP190" i="7"/>
  <c r="BP191" i="7"/>
  <c r="BP192" i="7"/>
  <c r="BP193" i="7"/>
  <c r="BP194" i="7"/>
  <c r="BP195" i="7"/>
  <c r="BP196" i="7"/>
  <c r="BP197" i="7"/>
  <c r="BP198" i="7"/>
  <c r="BP199" i="7"/>
  <c r="BP200" i="7"/>
  <c r="BS189" i="6"/>
  <c r="CV194" i="6" s="1"/>
  <c r="CY194" i="6" s="1"/>
  <c r="BS167" i="6"/>
  <c r="BS184" i="6"/>
  <c r="BS175" i="6"/>
  <c r="BS188" i="6"/>
  <c r="BS200" i="6"/>
  <c r="BS174" i="6"/>
  <c r="BS198" i="6"/>
  <c r="CV195" i="6" s="1"/>
  <c r="CY195" i="6" s="1"/>
  <c r="BS176" i="6"/>
  <c r="BS169" i="6"/>
  <c r="BS183" i="6"/>
  <c r="CV192" i="6" s="1"/>
  <c r="CY192" i="6" s="1"/>
  <c r="BS187" i="6"/>
  <c r="BS173" i="6"/>
  <c r="BS171" i="6"/>
  <c r="CV189" i="6" s="1"/>
  <c r="CY189" i="6" s="1"/>
  <c r="BS180" i="6"/>
  <c r="BS204" i="6"/>
  <c r="CV196" i="6" s="1"/>
  <c r="CY196" i="6" s="1"/>
  <c r="BS179" i="6"/>
  <c r="BS190" i="6"/>
  <c r="BS178" i="6"/>
  <c r="BS168" i="6"/>
  <c r="CP177" i="6" s="1"/>
  <c r="BS186" i="6"/>
  <c r="CV193" i="6" s="1"/>
  <c r="CY193" i="6" s="1"/>
  <c r="BS192" i="6"/>
  <c r="BS170" i="6"/>
  <c r="BS172" i="6"/>
  <c r="BS191" i="6"/>
  <c r="BS193" i="6"/>
  <c r="BS197" i="6"/>
  <c r="CP187" i="6" s="1"/>
  <c r="BS177" i="6"/>
  <c r="CV190" i="6" s="1"/>
  <c r="CY190" i="6" s="1"/>
  <c r="BS182" i="6"/>
  <c r="BS195" i="6"/>
  <c r="BS196" i="6"/>
  <c r="BS185" i="6"/>
  <c r="BS194" i="6"/>
  <c r="BT202" i="6"/>
  <c r="BT206" i="6"/>
  <c r="BL151" i="6"/>
  <c r="BT201" i="6"/>
  <c r="BT199" i="6"/>
  <c r="BT203" i="6"/>
  <c r="BT205" i="6"/>
  <c r="AW206" i="6"/>
  <c r="AX206" i="6"/>
  <c r="AZ206" i="6"/>
  <c r="BD206" i="6"/>
  <c r="BE206" i="6"/>
  <c r="BF206" i="6"/>
  <c r="BG206" i="6"/>
  <c r="AW205" i="6"/>
  <c r="AX205" i="6"/>
  <c r="AZ205" i="6"/>
  <c r="BD205" i="6"/>
  <c r="BE205" i="6"/>
  <c r="BF205" i="6"/>
  <c r="BG205" i="6"/>
  <c r="AW201" i="6"/>
  <c r="AX201" i="6"/>
  <c r="AZ201" i="6"/>
  <c r="BD201" i="6"/>
  <c r="BE201" i="6"/>
  <c r="BF201" i="6"/>
  <c r="BG201" i="6"/>
  <c r="AW203" i="6"/>
  <c r="AX203" i="6"/>
  <c r="AZ203" i="6"/>
  <c r="BD203" i="6"/>
  <c r="BE203" i="6"/>
  <c r="BF203" i="6"/>
  <c r="BG203" i="6"/>
  <c r="AW199" i="6"/>
  <c r="AX199" i="6"/>
  <c r="AZ199" i="6"/>
  <c r="BD199" i="6"/>
  <c r="BE199" i="6"/>
  <c r="BF199" i="6"/>
  <c r="BG199" i="6"/>
  <c r="AW202" i="6"/>
  <c r="AX202" i="6"/>
  <c r="AZ202" i="6"/>
  <c r="BD202" i="6"/>
  <c r="BE202" i="6"/>
  <c r="BF202" i="6"/>
  <c r="BG202" i="6"/>
  <c r="BT189" i="6"/>
  <c r="BS181" i="6"/>
  <c r="AN92" i="9"/>
  <c r="BS195" i="7"/>
  <c r="BS194" i="7"/>
  <c r="BS193" i="7"/>
  <c r="BS192" i="7"/>
  <c r="BS191" i="7"/>
  <c r="BS190" i="7"/>
  <c r="BS189" i="7"/>
  <c r="BS188" i="7"/>
  <c r="BS187" i="7"/>
  <c r="BS186" i="7"/>
  <c r="BS185" i="7"/>
  <c r="BS184" i="7"/>
  <c r="BS183" i="7"/>
  <c r="BS182" i="7"/>
  <c r="BS181" i="7"/>
  <c r="BS180" i="7"/>
  <c r="BS179" i="7"/>
  <c r="BS178" i="7"/>
  <c r="BS177" i="7"/>
  <c r="BS176" i="7"/>
  <c r="BS175" i="7"/>
  <c r="BS174" i="7"/>
  <c r="BS173" i="7"/>
  <c r="BS172" i="7"/>
  <c r="BS171" i="7"/>
  <c r="BS170" i="7"/>
  <c r="BS169" i="7"/>
  <c r="BS168" i="7"/>
  <c r="BM35" i="7"/>
  <c r="BC201" i="7"/>
  <c r="AT200" i="7"/>
  <c r="AU200" i="7"/>
  <c r="AV200" i="7"/>
  <c r="BC200" i="7"/>
  <c r="BQ200" i="7"/>
  <c r="BR200" i="7"/>
  <c r="AT199" i="7"/>
  <c r="AU199" i="7"/>
  <c r="AV199" i="7"/>
  <c r="BC199" i="7"/>
  <c r="BQ199" i="7"/>
  <c r="BR199" i="7"/>
  <c r="AT198" i="7"/>
  <c r="AU198" i="7"/>
  <c r="AV198" i="7"/>
  <c r="BC198" i="7"/>
  <c r="BQ198" i="7"/>
  <c r="BR198" i="7"/>
  <c r="AT197" i="7"/>
  <c r="AU197" i="7"/>
  <c r="AV197" i="7"/>
  <c r="BC197" i="7"/>
  <c r="BQ197" i="7"/>
  <c r="BR197" i="7"/>
  <c r="BM32" i="7"/>
  <c r="BM31" i="7"/>
  <c r="BM33" i="7"/>
  <c r="BM34" i="7"/>
  <c r="AT196" i="7"/>
  <c r="AU196" i="7"/>
  <c r="AV196" i="7"/>
  <c r="BC196" i="7"/>
  <c r="BQ196" i="7"/>
  <c r="BR196" i="7"/>
  <c r="BM30" i="7"/>
  <c r="BT173" i="6"/>
  <c r="BT182" i="6"/>
  <c r="BT195" i="6"/>
  <c r="BT196" i="6"/>
  <c r="BT185" i="6"/>
  <c r="BT194" i="6"/>
  <c r="BT188" i="6"/>
  <c r="BT200" i="6"/>
  <c r="BT174" i="6"/>
  <c r="BT198" i="6"/>
  <c r="BT176" i="6"/>
  <c r="BT169" i="6"/>
  <c r="BT183" i="6"/>
  <c r="BT187" i="6"/>
  <c r="BT171" i="6"/>
  <c r="BT180" i="6"/>
  <c r="BT204" i="6"/>
  <c r="BT179" i="6"/>
  <c r="BT190" i="6"/>
  <c r="BT178" i="6"/>
  <c r="BT168" i="6"/>
  <c r="BT186" i="6"/>
  <c r="BT192" i="6"/>
  <c r="BT170" i="6"/>
  <c r="BT172" i="6"/>
  <c r="BT191" i="6"/>
  <c r="BT193" i="6"/>
  <c r="BT197" i="6"/>
  <c r="BT177" i="6"/>
  <c r="BT181" i="6"/>
  <c r="BT184" i="6"/>
  <c r="BT175" i="6"/>
  <c r="BL42" i="6"/>
  <c r="BT108" i="6"/>
  <c r="BM45" i="6"/>
  <c r="BN45" i="6"/>
  <c r="CP188" i="6" l="1"/>
  <c r="CV191" i="6"/>
  <c r="CY191" i="6" s="1"/>
  <c r="CP176" i="6"/>
  <c r="CS176" i="6" s="1"/>
  <c r="CV187" i="6"/>
  <c r="CP178" i="6"/>
  <c r="CR178" i="6" s="1"/>
  <c r="CV188" i="6"/>
  <c r="CY188" i="6" s="1"/>
  <c r="CS177" i="6"/>
  <c r="CR177" i="6"/>
  <c r="BS207" i="7"/>
  <c r="BP207" i="7"/>
  <c r="BN41" i="6"/>
  <c r="BN40" i="6"/>
  <c r="BG185" i="6"/>
  <c r="BF185" i="6"/>
  <c r="BE185" i="6"/>
  <c r="BD185" i="6"/>
  <c r="AZ185" i="6"/>
  <c r="AX185" i="6"/>
  <c r="AW185" i="6"/>
  <c r="BF190" i="6"/>
  <c r="BG190" i="6"/>
  <c r="AM47" i="6"/>
  <c r="AN47" i="6"/>
  <c r="AO47" i="6"/>
  <c r="AP47" i="6"/>
  <c r="AQ47" i="6"/>
  <c r="AR47" i="6"/>
  <c r="AS47" i="6"/>
  <c r="BR168" i="7"/>
  <c r="BR169" i="7"/>
  <c r="BR170" i="7"/>
  <c r="BR171" i="7"/>
  <c r="BR172" i="7"/>
  <c r="BR173" i="7"/>
  <c r="BR174" i="7"/>
  <c r="BR175" i="7"/>
  <c r="BR176" i="7"/>
  <c r="BR177" i="7"/>
  <c r="BR178" i="7"/>
  <c r="BR179" i="7"/>
  <c r="BR180" i="7"/>
  <c r="BR181" i="7"/>
  <c r="BR182" i="7"/>
  <c r="BR183" i="7"/>
  <c r="BR184" i="7"/>
  <c r="BR185" i="7"/>
  <c r="BR186" i="7"/>
  <c r="BR187" i="7"/>
  <c r="BR188" i="7"/>
  <c r="BR189" i="7"/>
  <c r="BR190" i="7"/>
  <c r="BR191" i="7"/>
  <c r="BR192" i="7"/>
  <c r="BR193" i="7"/>
  <c r="BR194" i="7"/>
  <c r="BR195" i="7"/>
  <c r="BR172" i="6"/>
  <c r="BR152" i="6"/>
  <c r="BS152" i="6"/>
  <c r="BR47" i="6"/>
  <c r="BR200" i="6" s="1"/>
  <c r="BS47" i="6"/>
  <c r="BR108" i="6"/>
  <c r="BS108" i="6"/>
  <c r="BR189" i="6"/>
  <c r="BR186" i="6"/>
  <c r="BQ169" i="7"/>
  <c r="BQ170" i="7"/>
  <c r="BQ171" i="7"/>
  <c r="BQ172" i="7"/>
  <c r="BQ173" i="7"/>
  <c r="BQ174" i="7"/>
  <c r="BQ175" i="7"/>
  <c r="BQ176" i="7"/>
  <c r="BQ177" i="7"/>
  <c r="BQ178" i="7"/>
  <c r="BQ179" i="7"/>
  <c r="BQ180" i="7"/>
  <c r="BQ181" i="7"/>
  <c r="BQ182" i="7"/>
  <c r="BQ183" i="7"/>
  <c r="BQ184" i="7"/>
  <c r="BQ185" i="7"/>
  <c r="BQ186" i="7"/>
  <c r="BQ187" i="7"/>
  <c r="BQ188" i="7"/>
  <c r="BQ189" i="7"/>
  <c r="BQ190" i="7"/>
  <c r="BQ191" i="7"/>
  <c r="BQ192" i="7"/>
  <c r="BQ193" i="7"/>
  <c r="BQ194" i="7"/>
  <c r="BQ195" i="7"/>
  <c r="BQ168" i="7"/>
  <c r="BR190" i="6"/>
  <c r="AW190" i="6"/>
  <c r="AX190" i="6"/>
  <c r="AZ190" i="6"/>
  <c r="BD190" i="6"/>
  <c r="BE190" i="6"/>
  <c r="BK188" i="7"/>
  <c r="BN188" i="7"/>
  <c r="BO188" i="7"/>
  <c r="BQ186" i="6"/>
  <c r="BQ189" i="6"/>
  <c r="BR181" i="6"/>
  <c r="BR184" i="6"/>
  <c r="BR175" i="6"/>
  <c r="BR188" i="6"/>
  <c r="BR174" i="6"/>
  <c r="BR198" i="6"/>
  <c r="BR176" i="6"/>
  <c r="BR169" i="6"/>
  <c r="BR183" i="6"/>
  <c r="BR187" i="6"/>
  <c r="BR173" i="6"/>
  <c r="BR171" i="6"/>
  <c r="BR180" i="6"/>
  <c r="BR179" i="6"/>
  <c r="BR178" i="6"/>
  <c r="BR168" i="6"/>
  <c r="BR192" i="6"/>
  <c r="BR170" i="6"/>
  <c r="BR191" i="6"/>
  <c r="BR193" i="6"/>
  <c r="BR167" i="6"/>
  <c r="BR204" i="6" s="1"/>
  <c r="BR197" i="6"/>
  <c r="BR177" i="6"/>
  <c r="BR182" i="6"/>
  <c r="BR195" i="6"/>
  <c r="BR196" i="6"/>
  <c r="BR194" i="6"/>
  <c r="BL86" i="7"/>
  <c r="BL87" i="7"/>
  <c r="BL88" i="7"/>
  <c r="BL89" i="7"/>
  <c r="BL90" i="7"/>
  <c r="BL91" i="7"/>
  <c r="BL92" i="7"/>
  <c r="BL93" i="7"/>
  <c r="BL94" i="7"/>
  <c r="BL95" i="7"/>
  <c r="BL96" i="7"/>
  <c r="BL97" i="7"/>
  <c r="BL98" i="7"/>
  <c r="BL99" i="7"/>
  <c r="BL100" i="7"/>
  <c r="BL101" i="7"/>
  <c r="BL102" i="7"/>
  <c r="BL103" i="7"/>
  <c r="BL104" i="7"/>
  <c r="BL105" i="7"/>
  <c r="BL106" i="7"/>
  <c r="BL107" i="7"/>
  <c r="BL108" i="7"/>
  <c r="BL44" i="7"/>
  <c r="BL45" i="7"/>
  <c r="BL46" i="7"/>
  <c r="BL47" i="7"/>
  <c r="BL48" i="7"/>
  <c r="BL49" i="7"/>
  <c r="BL50" i="7"/>
  <c r="BL51" i="7"/>
  <c r="BL52" i="7"/>
  <c r="BL53" i="7"/>
  <c r="BL54" i="7"/>
  <c r="BL55" i="7"/>
  <c r="BL56" i="7"/>
  <c r="BL57" i="7"/>
  <c r="BL58" i="7"/>
  <c r="BL59" i="7"/>
  <c r="BL60" i="7"/>
  <c r="BL61" i="7"/>
  <c r="BL62" i="7"/>
  <c r="BL63" i="7"/>
  <c r="BL64" i="7"/>
  <c r="BL65" i="7"/>
  <c r="BL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O191" i="7"/>
  <c r="BN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BO190" i="7"/>
  <c r="BN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BO189" i="7"/>
  <c r="BN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J206" i="9"/>
  <c r="AJ261" i="9"/>
  <c r="AJ237" i="9"/>
  <c r="AJ230" i="9"/>
  <c r="AJ255" i="9"/>
  <c r="AJ224" i="9"/>
  <c r="AJ254" i="9"/>
  <c r="AJ209" i="9"/>
  <c r="AJ214" i="9"/>
  <c r="AJ244" i="9"/>
  <c r="AJ223" i="9"/>
  <c r="AJ251" i="9"/>
  <c r="AJ260" i="9"/>
  <c r="AJ243" i="9"/>
  <c r="AJ220" i="9"/>
  <c r="AJ117" i="9"/>
  <c r="AI117" i="9"/>
  <c r="AJ125" i="9"/>
  <c r="AI125" i="9"/>
  <c r="AJ194" i="9"/>
  <c r="AI194" i="9"/>
  <c r="AJ148" i="9"/>
  <c r="AI148" i="9"/>
  <c r="AJ138" i="9"/>
  <c r="AI138" i="9"/>
  <c r="AJ172" i="9"/>
  <c r="AI172" i="9"/>
  <c r="AJ174" i="9"/>
  <c r="AI174" i="9"/>
  <c r="AJ127" i="9"/>
  <c r="AI127" i="9"/>
  <c r="AJ134" i="9"/>
  <c r="AI134" i="9"/>
  <c r="AJ185" i="9"/>
  <c r="AI185" i="9"/>
  <c r="AJ115" i="9"/>
  <c r="AI115" i="9"/>
  <c r="AJ180" i="9"/>
  <c r="AI180" i="9"/>
  <c r="AJ121" i="9"/>
  <c r="AI121" i="9"/>
  <c r="AJ150" i="9"/>
  <c r="AI150" i="9"/>
  <c r="AJ137" i="9"/>
  <c r="AI137" i="9"/>
  <c r="AJ196" i="9"/>
  <c r="AI196" i="9"/>
  <c r="AJ146" i="9"/>
  <c r="AI146" i="9"/>
  <c r="AJ198" i="9"/>
  <c r="AI198" i="9"/>
  <c r="AJ188" i="9"/>
  <c r="AI188" i="9"/>
  <c r="AJ175" i="9"/>
  <c r="AI175" i="9"/>
  <c r="AJ173" i="9"/>
  <c r="AI173" i="9"/>
  <c r="AJ201" i="9"/>
  <c r="AI201" i="9"/>
  <c r="AJ192" i="9"/>
  <c r="AI192" i="9"/>
  <c r="AJ168" i="9"/>
  <c r="AI168" i="9"/>
  <c r="AJ179" i="9"/>
  <c r="AI179" i="9"/>
  <c r="AJ153" i="9"/>
  <c r="AI153" i="9"/>
  <c r="AJ144" i="9"/>
  <c r="AI144" i="9"/>
  <c r="AJ191" i="9"/>
  <c r="AI191" i="9"/>
  <c r="AJ177" i="9"/>
  <c r="AI177" i="9"/>
  <c r="AJ164" i="9"/>
  <c r="AI164" i="9"/>
  <c r="AJ163" i="9"/>
  <c r="AI163" i="9"/>
  <c r="AJ160" i="9"/>
  <c r="AI160" i="9"/>
  <c r="AJ83" i="9"/>
  <c r="AI83" i="9"/>
  <c r="AJ94" i="9"/>
  <c r="AI94" i="9"/>
  <c r="AJ8" i="9"/>
  <c r="AI8" i="9"/>
  <c r="AJ24" i="9"/>
  <c r="AI24" i="9"/>
  <c r="AJ97" i="9"/>
  <c r="AI97" i="9"/>
  <c r="AJ91" i="9"/>
  <c r="AI91" i="9"/>
  <c r="AJ63" i="9"/>
  <c r="AI63" i="9"/>
  <c r="BM67" i="7"/>
  <c r="BM68" i="7"/>
  <c r="BM69" i="7"/>
  <c r="BM70" i="7"/>
  <c r="BM27" i="7"/>
  <c r="BM28" i="7"/>
  <c r="BM29" i="7"/>
  <c r="BM26" i="7"/>
  <c r="BQ39" i="7"/>
  <c r="BQ81" i="7"/>
  <c r="BQ182" i="6"/>
  <c r="BQ177" i="6"/>
  <c r="BQ197" i="6"/>
  <c r="BQ167" i="6"/>
  <c r="BQ193" i="6"/>
  <c r="BQ191" i="6"/>
  <c r="BP169" i="6"/>
  <c r="BQ169" i="6"/>
  <c r="CV197" i="6" l="1"/>
  <c r="CY187" i="6"/>
  <c r="CS178" i="6"/>
  <c r="CR176" i="6"/>
  <c r="BR207" i="7"/>
  <c r="BQ207" i="7"/>
  <c r="BL190" i="7"/>
  <c r="BN15" i="6"/>
  <c r="BL188" i="7"/>
  <c r="BL189" i="7"/>
  <c r="BL191" i="7"/>
  <c r="BN23" i="6"/>
  <c r="BM66" i="7"/>
  <c r="BP81" i="7"/>
  <c r="BO81" i="7"/>
  <c r="BN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O81" i="7"/>
  <c r="N81" i="7"/>
  <c r="CV200" i="6" l="1"/>
  <c r="CX200" i="6" s="1"/>
  <c r="CZ197" i="6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N169" i="7"/>
  <c r="BO169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N170" i="7"/>
  <c r="BO170" i="7"/>
  <c r="AT171" i="7"/>
  <c r="AU171" i="7"/>
  <c r="AV171" i="7"/>
  <c r="AW171" i="7"/>
  <c r="AX171" i="7"/>
  <c r="AY171" i="7"/>
  <c r="AZ171" i="7"/>
  <c r="BA171" i="7"/>
  <c r="BB171" i="7"/>
  <c r="BC171" i="7"/>
  <c r="BD171" i="7"/>
  <c r="BE171" i="7"/>
  <c r="BF171" i="7"/>
  <c r="BG171" i="7"/>
  <c r="BH171" i="7"/>
  <c r="BI171" i="7"/>
  <c r="BJ171" i="7"/>
  <c r="BK171" i="7"/>
  <c r="BN171" i="7"/>
  <c r="BO171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N172" i="7"/>
  <c r="BO172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N173" i="7"/>
  <c r="BO173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N174" i="7"/>
  <c r="BO174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N175" i="7"/>
  <c r="BO175" i="7"/>
  <c r="AT176" i="7"/>
  <c r="AU176" i="7"/>
  <c r="AV176" i="7"/>
  <c r="AW176" i="7"/>
  <c r="AX176" i="7"/>
  <c r="AY176" i="7"/>
  <c r="AZ176" i="7"/>
  <c r="BA176" i="7"/>
  <c r="BB176" i="7"/>
  <c r="BC176" i="7"/>
  <c r="BD176" i="7"/>
  <c r="BE176" i="7"/>
  <c r="BF176" i="7"/>
  <c r="BG176" i="7"/>
  <c r="BH176" i="7"/>
  <c r="BI176" i="7"/>
  <c r="BJ176" i="7"/>
  <c r="BK176" i="7"/>
  <c r="BN176" i="7"/>
  <c r="BO176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N177" i="7"/>
  <c r="BO177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N178" i="7"/>
  <c r="BO178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N179" i="7"/>
  <c r="BO179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N180" i="7"/>
  <c r="BO180" i="7"/>
  <c r="AT181" i="7"/>
  <c r="AU181" i="7"/>
  <c r="AV181" i="7"/>
  <c r="AW181" i="7"/>
  <c r="AX181" i="7"/>
  <c r="AY181" i="7"/>
  <c r="AZ181" i="7"/>
  <c r="BA181" i="7"/>
  <c r="BB181" i="7"/>
  <c r="BC181" i="7"/>
  <c r="BD181" i="7"/>
  <c r="BE181" i="7"/>
  <c r="BF181" i="7"/>
  <c r="BG181" i="7"/>
  <c r="BH181" i="7"/>
  <c r="BI181" i="7"/>
  <c r="BJ181" i="7"/>
  <c r="BK181" i="7"/>
  <c r="BN181" i="7"/>
  <c r="BO181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N182" i="7"/>
  <c r="BO182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N183" i="7"/>
  <c r="BO183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N184" i="7"/>
  <c r="BO184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N185" i="7"/>
  <c r="BO185" i="7"/>
  <c r="AT186" i="7"/>
  <c r="AU186" i="7"/>
  <c r="AV186" i="7"/>
  <c r="AW186" i="7"/>
  <c r="AX186" i="7"/>
  <c r="AY186" i="7"/>
  <c r="AZ186" i="7"/>
  <c r="BA186" i="7"/>
  <c r="BB186" i="7"/>
  <c r="BC186" i="7"/>
  <c r="BD186" i="7"/>
  <c r="BE186" i="7"/>
  <c r="BF186" i="7"/>
  <c r="BG186" i="7"/>
  <c r="BH186" i="7"/>
  <c r="BI186" i="7"/>
  <c r="BJ186" i="7"/>
  <c r="BK186" i="7"/>
  <c r="BN186" i="7"/>
  <c r="BO186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N187" i="7"/>
  <c r="BO187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N168" i="7"/>
  <c r="BO168" i="7"/>
  <c r="BM8" i="7"/>
  <c r="AJ95" i="9"/>
  <c r="BM44" i="7"/>
  <c r="BP39" i="7"/>
  <c r="BM25" i="7"/>
  <c r="BM3" i="7"/>
  <c r="BQ195" i="6"/>
  <c r="BQ196" i="6"/>
  <c r="BQ194" i="6"/>
  <c r="BQ172" i="6"/>
  <c r="BB207" i="7" l="1"/>
  <c r="BN207" i="7"/>
  <c r="BC207" i="7"/>
  <c r="BM86" i="7"/>
  <c r="BQ181" i="6" l="1"/>
  <c r="BQ184" i="6"/>
  <c r="BQ175" i="6"/>
  <c r="BQ188" i="6"/>
  <c r="BQ174" i="6"/>
  <c r="BQ198" i="6"/>
  <c r="BQ176" i="6"/>
  <c r="BQ183" i="6"/>
  <c r="BQ187" i="6"/>
  <c r="BQ173" i="6"/>
  <c r="BQ171" i="6"/>
  <c r="BQ180" i="6"/>
  <c r="BQ204" i="6"/>
  <c r="BQ179" i="6"/>
  <c r="BQ178" i="6"/>
  <c r="BQ168" i="6"/>
  <c r="BQ192" i="6"/>
  <c r="BQ170" i="6"/>
  <c r="BQ152" i="6"/>
  <c r="BQ108" i="6"/>
  <c r="BQ47" i="6"/>
  <c r="BQ200" i="6" s="1"/>
  <c r="BO39" i="7" l="1"/>
  <c r="BP171" i="6"/>
  <c r="BP180" i="6"/>
  <c r="BP179" i="6"/>
  <c r="BP178" i="6"/>
  <c r="BP168" i="6"/>
  <c r="BP186" i="6"/>
  <c r="BP189" i="6"/>
  <c r="BP192" i="6"/>
  <c r="BP170" i="6"/>
  <c r="BP204" i="6"/>
  <c r="BP173" i="6"/>
  <c r="BP198" i="6" s="1"/>
  <c r="BP187" i="6"/>
  <c r="BP183" i="6"/>
  <c r="BP176" i="6"/>
  <c r="BP174" i="6"/>
  <c r="BP188" i="6"/>
  <c r="BP175" i="6"/>
  <c r="BP184" i="6"/>
  <c r="BP181" i="6"/>
  <c r="BP152" i="6"/>
  <c r="BP108" i="6"/>
  <c r="BO108" i="6"/>
  <c r="BP47" i="6"/>
  <c r="BP200" i="6" s="1"/>
  <c r="BO47" i="6"/>
  <c r="BM184" i="6" l="1"/>
  <c r="BN184" i="6"/>
  <c r="BM191" i="6"/>
  <c r="BN191" i="6"/>
  <c r="BO152" i="6" l="1"/>
  <c r="BN39" i="7"/>
  <c r="BK39" i="7"/>
  <c r="AJ258" i="9" l="1"/>
  <c r="AJ239" i="9"/>
  <c r="AJ246" i="9"/>
  <c r="AJ216" i="9"/>
  <c r="AJ250" i="9"/>
  <c r="AJ235" i="9"/>
  <c r="AJ222" i="9"/>
  <c r="AJ226" i="9"/>
  <c r="AJ249" i="9"/>
  <c r="AJ247" i="9"/>
  <c r="AJ262" i="9"/>
  <c r="AJ241" i="9"/>
  <c r="AJ248" i="9"/>
  <c r="AJ176" i="9"/>
  <c r="AI176" i="9"/>
  <c r="AJ200" i="9"/>
  <c r="AI200" i="9"/>
  <c r="AJ140" i="9"/>
  <c r="AI140" i="9"/>
  <c r="AJ122" i="9"/>
  <c r="AI122" i="9"/>
  <c r="AJ195" i="9"/>
  <c r="AI195" i="9"/>
  <c r="AJ136" i="9"/>
  <c r="AI136" i="9"/>
  <c r="AJ119" i="9"/>
  <c r="AI119" i="9"/>
  <c r="AJ199" i="9"/>
  <c r="AI199" i="9"/>
  <c r="AJ171" i="9"/>
  <c r="AI171" i="9"/>
  <c r="AJ139" i="9"/>
  <c r="AI139" i="9"/>
  <c r="AJ114" i="9"/>
  <c r="AI114" i="9"/>
  <c r="AJ142" i="9"/>
  <c r="AI142" i="9"/>
  <c r="AJ197" i="9"/>
  <c r="AI197" i="9"/>
  <c r="AJ170" i="9"/>
  <c r="AI170" i="9"/>
  <c r="AJ167" i="9"/>
  <c r="AI167" i="9"/>
  <c r="AJ178" i="9"/>
  <c r="AI178" i="9"/>
  <c r="AJ158" i="9"/>
  <c r="AI158" i="9"/>
  <c r="AJ129" i="9"/>
  <c r="AI129" i="9"/>
  <c r="AJ48" i="9"/>
  <c r="AJ30" i="9"/>
  <c r="AI30" i="9"/>
  <c r="AJ59" i="9"/>
  <c r="AI59" i="9"/>
  <c r="AJ43" i="9"/>
  <c r="AI43" i="9"/>
  <c r="AJ28" i="9"/>
  <c r="AI28" i="9"/>
  <c r="AJ16" i="9"/>
  <c r="AI16" i="9"/>
  <c r="AJ76" i="9"/>
  <c r="AI76" i="9"/>
  <c r="AJ31" i="9"/>
  <c r="AI31" i="9"/>
  <c r="AJ78" i="9"/>
  <c r="AI78" i="9"/>
  <c r="AJ13" i="9"/>
  <c r="AI13" i="9"/>
  <c r="AJ5" i="9"/>
  <c r="AI5" i="9"/>
  <c r="AJ45" i="9"/>
  <c r="AI45" i="9"/>
  <c r="AJ104" i="9"/>
  <c r="AI104" i="9"/>
  <c r="AJ38" i="9"/>
  <c r="AI38" i="9"/>
  <c r="AJ102" i="9"/>
  <c r="AI102" i="9"/>
  <c r="AJ93" i="9"/>
  <c r="AI93" i="9"/>
  <c r="AJ68" i="9"/>
  <c r="AI68" i="9"/>
  <c r="AJ106" i="9"/>
  <c r="AI106" i="9"/>
  <c r="AJ98" i="9"/>
  <c r="AI98" i="9"/>
  <c r="AJ14" i="9"/>
  <c r="AI14" i="9"/>
  <c r="AJ75" i="9"/>
  <c r="AI75" i="9"/>
  <c r="AJ79" i="9"/>
  <c r="AI79" i="9"/>
  <c r="AJ77" i="9"/>
  <c r="AI77" i="9"/>
  <c r="AJ56" i="9"/>
  <c r="AI56" i="9"/>
  <c r="AJ80" i="9"/>
  <c r="AI80" i="9"/>
  <c r="AJ74" i="9"/>
  <c r="AI74" i="9"/>
  <c r="AJ62" i="9"/>
  <c r="AI62" i="9"/>
  <c r="AJ10" i="9"/>
  <c r="AI10" i="9"/>
  <c r="AJ35" i="9"/>
  <c r="AI35" i="9"/>
  <c r="AJ101" i="9"/>
  <c r="AI101" i="9"/>
  <c r="AJ81" i="9"/>
  <c r="AI81" i="9"/>
  <c r="AJ54" i="9"/>
  <c r="AI54" i="9"/>
  <c r="AJ66" i="9"/>
  <c r="AI66" i="9"/>
  <c r="AJ73" i="9"/>
  <c r="AI73" i="9"/>
  <c r="BL191" i="6"/>
  <c r="BL184" i="6"/>
  <c r="BM100" i="7" l="1"/>
  <c r="BM103" i="7"/>
  <c r="BM85" i="7"/>
  <c r="BM96" i="7"/>
  <c r="BM106" i="7"/>
  <c r="BM95" i="7"/>
  <c r="BM87" i="7"/>
  <c r="BM102" i="7"/>
  <c r="BM107" i="7"/>
  <c r="BM93" i="7"/>
  <c r="BM105" i="7"/>
  <c r="BM90" i="7"/>
  <c r="BM91" i="7"/>
  <c r="BM99" i="7"/>
  <c r="BM94" i="7"/>
  <c r="BM88" i="7"/>
  <c r="BM89" i="7"/>
  <c r="BM92" i="7"/>
  <c r="BM97" i="7"/>
  <c r="BM108" i="7"/>
  <c r="BM104" i="7"/>
  <c r="BM98" i="7"/>
  <c r="BM101" i="7"/>
  <c r="BL85" i="7"/>
  <c r="BK123" i="7"/>
  <c r="BM53" i="7"/>
  <c r="BM59" i="7"/>
  <c r="BM47" i="7"/>
  <c r="BM46" i="7"/>
  <c r="BM55" i="7"/>
  <c r="BM48" i="7"/>
  <c r="BM62" i="7"/>
  <c r="BM50" i="7"/>
  <c r="BM49" i="7"/>
  <c r="BM51" i="7"/>
  <c r="BM64" i="7"/>
  <c r="BM57" i="7"/>
  <c r="BM52" i="7"/>
  <c r="BM43" i="7"/>
  <c r="BM60" i="7"/>
  <c r="BM65" i="7"/>
  <c r="BM45" i="7"/>
  <c r="BM61" i="7"/>
  <c r="BM54" i="7"/>
  <c r="BM58" i="7"/>
  <c r="BM63" i="7"/>
  <c r="BM56" i="7"/>
  <c r="BL43" i="7"/>
  <c r="BM18" i="7"/>
  <c r="BM5" i="7"/>
  <c r="BM6" i="7"/>
  <c r="BM14" i="7"/>
  <c r="BM12" i="7"/>
  <c r="BM7" i="7"/>
  <c r="BM9" i="7"/>
  <c r="BM11" i="7"/>
  <c r="BM21" i="7"/>
  <c r="BM16" i="7"/>
  <c r="BM20" i="7"/>
  <c r="BM23" i="7"/>
  <c r="BM19" i="7"/>
  <c r="BM10" i="7"/>
  <c r="BM24" i="7"/>
  <c r="BM4" i="7"/>
  <c r="BM2" i="7"/>
  <c r="BM17" i="7"/>
  <c r="BM15" i="7"/>
  <c r="BM13" i="7"/>
  <c r="BM22" i="7"/>
  <c r="BL2" i="7"/>
  <c r="BM190" i="7" l="1"/>
  <c r="BM191" i="7"/>
  <c r="BM188" i="7"/>
  <c r="BM189" i="7"/>
  <c r="BM185" i="7"/>
  <c r="BL176" i="7"/>
  <c r="BM179" i="7"/>
  <c r="BL170" i="7"/>
  <c r="BL177" i="7"/>
  <c r="BM181" i="7"/>
  <c r="BL172" i="7"/>
  <c r="BM169" i="7"/>
  <c r="BL173" i="7"/>
  <c r="BM178" i="7"/>
  <c r="BL178" i="7"/>
  <c r="BM173" i="7"/>
  <c r="BL186" i="7"/>
  <c r="BL180" i="7"/>
  <c r="BL184" i="7"/>
  <c r="BM182" i="7"/>
  <c r="BM171" i="7"/>
  <c r="BL175" i="7"/>
  <c r="BM176" i="7"/>
  <c r="BM186" i="7"/>
  <c r="BM172" i="7"/>
  <c r="BL181" i="7"/>
  <c r="BL183" i="7"/>
  <c r="BL182" i="7"/>
  <c r="BM168" i="7"/>
  <c r="BM184" i="7"/>
  <c r="BL187" i="7"/>
  <c r="BM170" i="7"/>
  <c r="BM180" i="7"/>
  <c r="BL185" i="7"/>
  <c r="BL179" i="7"/>
  <c r="BM183" i="7"/>
  <c r="BM174" i="7"/>
  <c r="BL171" i="7"/>
  <c r="BM187" i="7"/>
  <c r="BM177" i="7"/>
  <c r="BM175" i="7"/>
  <c r="BL168" i="7"/>
  <c r="BM2" i="6"/>
  <c r="BM3" i="6"/>
  <c r="BN2" i="6"/>
  <c r="BN3" i="6" l="1"/>
  <c r="BN4" i="6"/>
  <c r="BN5" i="6"/>
  <c r="BN43" i="6"/>
  <c r="BN6" i="6"/>
  <c r="BN8" i="6"/>
  <c r="BN11" i="6"/>
  <c r="BN42" i="6"/>
  <c r="BN13" i="6"/>
  <c r="BN12" i="6"/>
  <c r="BN17" i="6"/>
  <c r="BN7" i="6"/>
  <c r="BN16" i="6"/>
  <c r="BN10" i="6"/>
  <c r="BN18" i="6"/>
  <c r="BN44" i="6"/>
  <c r="BN14" i="6"/>
  <c r="BN9" i="6"/>
  <c r="BN22" i="6"/>
  <c r="BN24" i="6"/>
  <c r="BN25" i="6"/>
  <c r="BN20" i="6"/>
  <c r="BN19" i="6"/>
  <c r="BN26" i="6"/>
  <c r="BN21" i="6"/>
  <c r="BN27" i="6"/>
  <c r="BN29" i="6"/>
  <c r="BN31" i="6"/>
  <c r="BN28" i="6"/>
  <c r="BN32" i="6"/>
  <c r="BN33" i="6"/>
  <c r="BN30" i="6"/>
  <c r="BN34" i="6"/>
  <c r="BN39" i="6"/>
  <c r="BN46" i="6"/>
  <c r="BM4" i="6"/>
  <c r="BM5" i="6"/>
  <c r="BM43" i="6"/>
  <c r="BM6" i="6"/>
  <c r="BM8" i="6"/>
  <c r="BM11" i="6"/>
  <c r="BM13" i="6"/>
  <c r="BM12" i="6"/>
  <c r="BM17" i="6"/>
  <c r="BM7" i="6"/>
  <c r="BM16" i="6"/>
  <c r="BM10" i="6"/>
  <c r="BM18" i="6"/>
  <c r="BM44" i="6"/>
  <c r="BM14" i="6"/>
  <c r="BM9" i="6"/>
  <c r="BM22" i="6"/>
  <c r="BM24" i="6"/>
  <c r="BM25" i="6"/>
  <c r="BM20" i="6"/>
  <c r="BM19" i="6"/>
  <c r="BM26" i="6"/>
  <c r="BM21" i="6"/>
  <c r="BM27" i="6"/>
  <c r="BM29" i="6"/>
  <c r="BM31" i="6"/>
  <c r="BM28" i="6"/>
  <c r="BM32" i="6"/>
  <c r="BM33" i="6"/>
  <c r="BM30" i="6"/>
  <c r="BM34" i="6"/>
  <c r="BM39" i="6"/>
  <c r="BM46" i="6"/>
  <c r="BJ123" i="7" l="1"/>
  <c r="BJ39" i="7"/>
  <c r="BK152" i="6" l="1"/>
  <c r="BK108" i="6" l="1"/>
  <c r="BK47" i="6"/>
  <c r="BI123" i="7" l="1"/>
  <c r="BI39" i="7"/>
  <c r="BJ152" i="6"/>
  <c r="BJ108" i="6"/>
  <c r="BJ47" i="6"/>
  <c r="BH152" i="6" l="1"/>
  <c r="BI152" i="6"/>
  <c r="BH108" i="6"/>
  <c r="BI108" i="6"/>
  <c r="BH47" i="6"/>
  <c r="BI47" i="6"/>
  <c r="BF123" i="7"/>
  <c r="BG123" i="7"/>
  <c r="BH123" i="7"/>
  <c r="BG39" i="7"/>
  <c r="BH39" i="7"/>
  <c r="BG186" i="6" l="1"/>
  <c r="BG167" i="6"/>
  <c r="BG168" i="6"/>
  <c r="BG169" i="6"/>
  <c r="BG170" i="6"/>
  <c r="BG196" i="6"/>
  <c r="BG172" i="6"/>
  <c r="BG171" i="6"/>
  <c r="BG175" i="6"/>
  <c r="BG173" i="6"/>
  <c r="BG177" i="6"/>
  <c r="BG178" i="6"/>
  <c r="BG176" i="6"/>
  <c r="BG181" i="6"/>
  <c r="BG174" i="6"/>
  <c r="BG180" i="6"/>
  <c r="BG182" i="6"/>
  <c r="BG179" i="6"/>
  <c r="BG183" i="6"/>
  <c r="BG200" i="6"/>
  <c r="BG187" i="6"/>
  <c r="BG184" i="6"/>
  <c r="BG188" i="6"/>
  <c r="BG192" i="6"/>
  <c r="BG195" i="6"/>
  <c r="BG193" i="6"/>
  <c r="BG194" i="6"/>
  <c r="BG191" i="6"/>
  <c r="BG189" i="6"/>
  <c r="BG197" i="6"/>
  <c r="BG198" i="6"/>
  <c r="BG204" i="6"/>
  <c r="BG152" i="6"/>
  <c r="BG108" i="6"/>
  <c r="BG47" i="6"/>
  <c r="BE123" i="7"/>
  <c r="BF39" i="7"/>
  <c r="BE39" i="7"/>
  <c r="BD39" i="7"/>
  <c r="BF167" i="6"/>
  <c r="BE191" i="6" l="1"/>
  <c r="BF191" i="6"/>
  <c r="BE186" i="6"/>
  <c r="BF186" i="6"/>
  <c r="BE184" i="6"/>
  <c r="BF184" i="6"/>
  <c r="BE189" i="6"/>
  <c r="BF189" i="6"/>
  <c r="BF168" i="6"/>
  <c r="BF169" i="6"/>
  <c r="BF170" i="6"/>
  <c r="BF196" i="6"/>
  <c r="BF172" i="6"/>
  <c r="BF171" i="6"/>
  <c r="BF175" i="6"/>
  <c r="BF173" i="6"/>
  <c r="BF178" i="6"/>
  <c r="BF177" i="6"/>
  <c r="BF176" i="6"/>
  <c r="BF181" i="6"/>
  <c r="BF174" i="6"/>
  <c r="BF180" i="6"/>
  <c r="BF182" i="6"/>
  <c r="BF179" i="6"/>
  <c r="BF183" i="6"/>
  <c r="BF200" i="6"/>
  <c r="BF187" i="6"/>
  <c r="BF192" i="6"/>
  <c r="BF188" i="6"/>
  <c r="BF195" i="6"/>
  <c r="BF193" i="6"/>
  <c r="BF194" i="6"/>
  <c r="BF197" i="6"/>
  <c r="BF198" i="6"/>
  <c r="BF204" i="6"/>
  <c r="BE167" i="6"/>
  <c r="BD167" i="6"/>
  <c r="BF108" i="6"/>
  <c r="BF152" i="6"/>
  <c r="BF47" i="6"/>
  <c r="BD193" i="6" l="1"/>
  <c r="AW193" i="6" l="1"/>
  <c r="AX193" i="6"/>
  <c r="AZ193" i="6"/>
  <c r="BE193" i="6"/>
  <c r="BE198" i="6"/>
  <c r="BE204" i="6"/>
  <c r="AP123" i="7" l="1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AO123" i="7"/>
  <c r="BE168" i="6" l="1"/>
  <c r="BE169" i="6"/>
  <c r="BE170" i="6"/>
  <c r="BE172" i="6"/>
  <c r="BE196" i="6"/>
  <c r="BE171" i="6"/>
  <c r="BE175" i="6"/>
  <c r="BE173" i="6"/>
  <c r="BE178" i="6"/>
  <c r="BE177" i="6"/>
  <c r="BE176" i="6"/>
  <c r="BE181" i="6"/>
  <c r="BE174" i="6"/>
  <c r="BE180" i="6"/>
  <c r="BE182" i="6"/>
  <c r="BE179" i="6"/>
  <c r="BE183" i="6"/>
  <c r="BE200" i="6"/>
  <c r="BE187" i="6"/>
  <c r="BE188" i="6"/>
  <c r="BE194" i="6"/>
  <c r="BE197" i="6"/>
  <c r="BE192" i="6"/>
  <c r="BE195" i="6"/>
  <c r="BD168" i="6"/>
  <c r="BE152" i="6"/>
  <c r="BE108" i="6"/>
  <c r="BE47" i="6"/>
  <c r="BC39" i="7" l="1"/>
  <c r="BD189" i="6"/>
  <c r="BD169" i="6"/>
  <c r="BD170" i="6"/>
  <c r="BD172" i="6"/>
  <c r="BD196" i="6"/>
  <c r="BD171" i="6"/>
  <c r="BD175" i="6"/>
  <c r="BD173" i="6"/>
  <c r="BD178" i="6"/>
  <c r="BD177" i="6"/>
  <c r="BD176" i="6"/>
  <c r="BD181" i="6"/>
  <c r="BD174" i="6"/>
  <c r="BD182" i="6"/>
  <c r="BD179" i="6"/>
  <c r="BD180" i="6"/>
  <c r="BD183" i="6"/>
  <c r="BD200" i="6"/>
  <c r="BD184" i="6"/>
  <c r="BD187" i="6"/>
  <c r="BD186" i="6"/>
  <c r="BD188" i="6"/>
  <c r="BD194" i="6"/>
  <c r="BD191" i="6"/>
  <c r="BD197" i="6"/>
  <c r="BD192" i="6"/>
  <c r="BD195" i="6"/>
  <c r="BD198" i="6"/>
  <c r="BD204" i="6"/>
  <c r="BC167" i="6"/>
  <c r="BB167" i="6"/>
  <c r="BD152" i="6"/>
  <c r="BD108" i="6"/>
  <c r="BD47" i="6"/>
  <c r="BB39" i="7" l="1"/>
  <c r="BC152" i="6"/>
  <c r="BC204" i="6"/>
  <c r="BC198" i="6"/>
  <c r="BC195" i="6"/>
  <c r="BC192" i="6"/>
  <c r="BC197" i="6"/>
  <c r="BC191" i="6"/>
  <c r="BC189" i="6"/>
  <c r="BC194" i="6"/>
  <c r="BC188" i="6"/>
  <c r="BC186" i="6"/>
  <c r="BC187" i="6"/>
  <c r="BC179" i="6"/>
  <c r="BC184" i="6"/>
  <c r="BC200" i="6"/>
  <c r="BC180" i="6"/>
  <c r="BC183" i="6"/>
  <c r="BC174" i="6"/>
  <c r="BC182" i="6"/>
  <c r="BC176" i="6"/>
  <c r="BC181" i="6"/>
  <c r="BC178" i="6"/>
  <c r="BC177" i="6"/>
  <c r="BC173" i="6"/>
  <c r="BC175" i="6"/>
  <c r="BC171" i="6"/>
  <c r="BC196" i="6"/>
  <c r="BC172" i="6"/>
  <c r="BC170" i="6"/>
  <c r="BC169" i="6"/>
  <c r="BC168" i="6"/>
  <c r="BC108" i="6"/>
  <c r="BC47" i="6"/>
  <c r="BA39" i="7" l="1"/>
  <c r="BB181" i="6"/>
  <c r="BB204" i="6"/>
  <c r="BB198" i="6"/>
  <c r="BB195" i="6"/>
  <c r="BB192" i="6"/>
  <c r="BB197" i="6"/>
  <c r="BB191" i="6"/>
  <c r="BB194" i="6"/>
  <c r="BB188" i="6"/>
  <c r="BB184" i="6"/>
  <c r="BB186" i="6"/>
  <c r="BB187" i="6"/>
  <c r="BA187" i="6"/>
  <c r="BB179" i="6"/>
  <c r="BB200" i="6"/>
  <c r="BB180" i="6"/>
  <c r="BB183" i="6"/>
  <c r="BB174" i="6"/>
  <c r="BB182" i="6"/>
  <c r="BB176" i="6"/>
  <c r="BB178" i="6"/>
  <c r="BB177" i="6"/>
  <c r="BB173" i="6"/>
  <c r="BB175" i="6"/>
  <c r="BB171" i="6"/>
  <c r="BB196" i="6"/>
  <c r="BB172" i="6"/>
  <c r="BB170" i="6"/>
  <c r="BB169" i="6"/>
  <c r="BB168" i="6"/>
  <c r="BB152" i="6"/>
  <c r="BB189" i="6" s="1"/>
  <c r="BA184" i="6"/>
  <c r="BB108" i="6"/>
  <c r="BB47" i="6"/>
  <c r="AZ39" i="7" l="1"/>
  <c r="BA204" i="6"/>
  <c r="BA198" i="6"/>
  <c r="BA195" i="6"/>
  <c r="BA197" i="6"/>
  <c r="BA192" i="6"/>
  <c r="BA191" i="6"/>
  <c r="BA188" i="6"/>
  <c r="BA194" i="6"/>
  <c r="BA186" i="6"/>
  <c r="AZ179" i="6"/>
  <c r="BA179" i="6"/>
  <c r="BA168" i="6"/>
  <c r="BA169" i="6"/>
  <c r="BA170" i="6"/>
  <c r="BA172" i="6"/>
  <c r="BA196" i="6"/>
  <c r="BA171" i="6"/>
  <c r="BA175" i="6"/>
  <c r="BA173" i="6"/>
  <c r="BA177" i="6"/>
  <c r="BA178" i="6"/>
  <c r="BA176" i="6"/>
  <c r="BA182" i="6"/>
  <c r="BA174" i="6"/>
  <c r="BA183" i="6"/>
  <c r="BA180" i="6"/>
  <c r="BA200" i="6"/>
  <c r="BA167" i="6"/>
  <c r="BA152" i="6" l="1"/>
  <c r="BA189" i="6" s="1"/>
  <c r="BA108" i="6"/>
  <c r="BA47" i="6"/>
  <c r="AZ188" i="6" l="1"/>
  <c r="AY188" i="6"/>
  <c r="AY172" i="6"/>
  <c r="AZ172" i="6"/>
  <c r="AZ204" i="6" l="1"/>
  <c r="AY204" i="6"/>
  <c r="AZ198" i="6"/>
  <c r="AZ195" i="6"/>
  <c r="AZ192" i="6"/>
  <c r="AZ197" i="6"/>
  <c r="AZ191" i="6"/>
  <c r="AZ194" i="6"/>
  <c r="AZ184" i="6"/>
  <c r="AZ186" i="6"/>
  <c r="AZ187" i="6"/>
  <c r="AZ200" i="6"/>
  <c r="AZ180" i="6"/>
  <c r="AZ183" i="6"/>
  <c r="AZ174" i="6"/>
  <c r="AZ182" i="6"/>
  <c r="AZ176" i="6"/>
  <c r="AZ178" i="6"/>
  <c r="AZ177" i="6"/>
  <c r="AZ173" i="6"/>
  <c r="AZ175" i="6"/>
  <c r="AZ171" i="6"/>
  <c r="AZ196" i="6"/>
  <c r="AZ168" i="6"/>
  <c r="AZ169" i="6"/>
  <c r="AZ170" i="6"/>
  <c r="AZ167" i="6"/>
  <c r="AY184" i="6"/>
  <c r="AY39" i="7" l="1"/>
  <c r="AZ47" i="6"/>
  <c r="AZ108" i="6"/>
  <c r="AZ152" i="6"/>
  <c r="AZ189" i="6" s="1"/>
  <c r="AX39" i="7" l="1"/>
  <c r="AY198" i="6"/>
  <c r="AY195" i="6"/>
  <c r="AY192" i="6"/>
  <c r="AY197" i="6"/>
  <c r="AY191" i="6"/>
  <c r="AY194" i="6"/>
  <c r="AY186" i="6"/>
  <c r="AX186" i="6"/>
  <c r="AY187" i="6"/>
  <c r="AX187" i="6"/>
  <c r="AY179" i="6"/>
  <c r="AX179" i="6"/>
  <c r="AY200" i="6"/>
  <c r="AY180" i="6"/>
  <c r="AY183" i="6"/>
  <c r="AY174" i="6"/>
  <c r="AY182" i="6"/>
  <c r="AY176" i="6"/>
  <c r="AY178" i="6"/>
  <c r="AY177" i="6"/>
  <c r="AY173" i="6"/>
  <c r="AY175" i="6"/>
  <c r="AY171" i="6"/>
  <c r="AY196" i="6"/>
  <c r="AY170" i="6"/>
  <c r="AY169" i="6"/>
  <c r="AY168" i="6"/>
  <c r="AY167" i="6"/>
  <c r="AV183" i="6" l="1"/>
  <c r="AY152" i="6"/>
  <c r="AY189" i="6" s="1"/>
  <c r="AY108" i="6"/>
  <c r="AY47" i="6"/>
  <c r="AX204" i="6" l="1"/>
  <c r="AW39" i="7" l="1"/>
  <c r="AX167" i="6"/>
  <c r="AX169" i="6"/>
  <c r="AX184" i="6"/>
  <c r="AW184" i="6"/>
  <c r="AU184" i="6"/>
  <c r="AX168" i="6"/>
  <c r="AX170" i="6"/>
  <c r="AX172" i="6"/>
  <c r="AX196" i="6"/>
  <c r="AX171" i="6"/>
  <c r="AX175" i="6"/>
  <c r="AX173" i="6"/>
  <c r="AX177" i="6"/>
  <c r="AX178" i="6"/>
  <c r="AX176" i="6"/>
  <c r="AX182" i="6"/>
  <c r="AX174" i="6"/>
  <c r="AX183" i="6"/>
  <c r="AX180" i="6"/>
  <c r="AX200" i="6"/>
  <c r="AX188" i="6"/>
  <c r="AX194" i="6"/>
  <c r="AX191" i="6"/>
  <c r="AX197" i="6"/>
  <c r="AX192" i="6"/>
  <c r="AX195" i="6"/>
  <c r="AX198" i="6"/>
  <c r="AW167" i="6"/>
  <c r="AX152" i="6"/>
  <c r="AX189" i="6" s="1"/>
  <c r="AX108" i="6"/>
  <c r="AP152" i="6"/>
  <c r="AS152" i="6"/>
  <c r="AR152" i="6"/>
  <c r="AQ152" i="6"/>
  <c r="AX47" i="6"/>
  <c r="AV204" i="6" l="1"/>
  <c r="AW204" i="6"/>
  <c r="AV39" i="7" l="1"/>
  <c r="AV201" i="7" l="1"/>
  <c r="AV207" i="7"/>
  <c r="AW198" i="6"/>
  <c r="AW195" i="6"/>
  <c r="AW192" i="6"/>
  <c r="AW188" i="6"/>
  <c r="AW194" i="6"/>
  <c r="AW197" i="6"/>
  <c r="AW191" i="6"/>
  <c r="AU186" i="6"/>
  <c r="AV186" i="6"/>
  <c r="AW186" i="6"/>
  <c r="AW187" i="6"/>
  <c r="AW179" i="6"/>
  <c r="AW180" i="6"/>
  <c r="AW200" i="6"/>
  <c r="AW169" i="6"/>
  <c r="AW170" i="6"/>
  <c r="AW172" i="6"/>
  <c r="AW196" i="6"/>
  <c r="AW171" i="6"/>
  <c r="AW175" i="6"/>
  <c r="AW173" i="6"/>
  <c r="AW177" i="6"/>
  <c r="AW178" i="6"/>
  <c r="AW176" i="6"/>
  <c r="AW182" i="6"/>
  <c r="AW183" i="6"/>
  <c r="AW174" i="6"/>
  <c r="AW168" i="6"/>
  <c r="AW152" i="6"/>
  <c r="AW189" i="6" s="1"/>
  <c r="AW108" i="6"/>
  <c r="AW47" i="6"/>
  <c r="AV198" i="6"/>
  <c r="AV195" i="6"/>
  <c r="AV192" i="6"/>
  <c r="AV197" i="6"/>
  <c r="AV191" i="6"/>
  <c r="AV194" i="6"/>
  <c r="AV188" i="6"/>
  <c r="AV184" i="6"/>
  <c r="AV187" i="6"/>
  <c r="AV179" i="6"/>
  <c r="AV200" i="6"/>
  <c r="AV180" i="6"/>
  <c r="AV174" i="6"/>
  <c r="AV182" i="6"/>
  <c r="AV176" i="6"/>
  <c r="AV178" i="6"/>
  <c r="AV177" i="6"/>
  <c r="AV173" i="6"/>
  <c r="AV175" i="6"/>
  <c r="AV171" i="6"/>
  <c r="AV196" i="6"/>
  <c r="AV172" i="6"/>
  <c r="AV170" i="6" l="1"/>
  <c r="AV169" i="6"/>
  <c r="AV168" i="6"/>
  <c r="AV167" i="6"/>
  <c r="AU39" i="7" l="1"/>
  <c r="AU201" i="7" l="1"/>
  <c r="AU207" i="7"/>
  <c r="AU189" i="6"/>
  <c r="AU195" i="6"/>
  <c r="AU192" i="6"/>
  <c r="AU197" i="6"/>
  <c r="AU191" i="6"/>
  <c r="AU194" i="6"/>
  <c r="AU188" i="6"/>
  <c r="AU187" i="6"/>
  <c r="AU183" i="6"/>
  <c r="AU179" i="6"/>
  <c r="AU200" i="6"/>
  <c r="AU180" i="6"/>
  <c r="AU174" i="6"/>
  <c r="AU182" i="6"/>
  <c r="AU176" i="6"/>
  <c r="AU178" i="6"/>
  <c r="AU177" i="6"/>
  <c r="AU173" i="6"/>
  <c r="AU175" i="6"/>
  <c r="AU171" i="6"/>
  <c r="AU196" i="6"/>
  <c r="AU172" i="6"/>
  <c r="AU170" i="6"/>
  <c r="AU169" i="6"/>
  <c r="AU168" i="6"/>
  <c r="AU167" i="6"/>
  <c r="AV152" i="6"/>
  <c r="AV189" i="6" s="1"/>
  <c r="AV108" i="6"/>
  <c r="AV47" i="6" l="1"/>
  <c r="AT39" i="7" l="1"/>
  <c r="AU47" i="6"/>
  <c r="AU108" i="6"/>
  <c r="AU152" i="6"/>
  <c r="AT201" i="7" l="1"/>
  <c r="AT207" i="7"/>
  <c r="AT152" i="6"/>
  <c r="AT108" i="6"/>
  <c r="AT47" i="6"/>
  <c r="AS39" i="7"/>
  <c r="AR39" i="7" l="1"/>
  <c r="AS108" i="6"/>
  <c r="AQ39" i="7" l="1"/>
  <c r="AR108" i="6"/>
  <c r="AP108" i="6" l="1"/>
  <c r="AQ108" i="6"/>
  <c r="AO39" i="7"/>
  <c r="AP39" i="7"/>
  <c r="AN39" i="7" l="1"/>
  <c r="AN64" i="6"/>
  <c r="AN108" i="6" s="1"/>
  <c r="AM39" i="7" l="1"/>
  <c r="AO108" i="6" l="1"/>
  <c r="AM64" i="6"/>
  <c r="AK39" i="7"/>
  <c r="AL39" i="7"/>
  <c r="AM108" i="6" l="1"/>
  <c r="AL47" i="6"/>
  <c r="AL108" i="6"/>
  <c r="AJ39" i="7" l="1"/>
  <c r="AK64" i="6" l="1"/>
  <c r="AK47" i="6"/>
  <c r="AK108" i="6" l="1"/>
  <c r="AI39" i="7"/>
  <c r="AJ64" i="6"/>
  <c r="AJ47" i="6"/>
  <c r="AJ108" i="6" l="1"/>
  <c r="AH39" i="7"/>
  <c r="AI64" i="6"/>
  <c r="AI47" i="6"/>
  <c r="AI108" i="6" l="1"/>
  <c r="AG39" i="7" l="1"/>
  <c r="AH64" i="6"/>
  <c r="AH47" i="6"/>
  <c r="AH108" i="6" l="1"/>
  <c r="AF39" i="7"/>
  <c r="AG64" i="6"/>
  <c r="AG47" i="6"/>
  <c r="AG108" i="6" l="1"/>
  <c r="AE39" i="7"/>
  <c r="AF64" i="6"/>
  <c r="AF47" i="6"/>
  <c r="AF108" i="6" l="1"/>
  <c r="AD39" i="7"/>
  <c r="AE64" i="6"/>
  <c r="AE47" i="6"/>
  <c r="AE108" i="6" l="1"/>
  <c r="AC39" i="7" l="1"/>
  <c r="AD64" i="6"/>
  <c r="AD47" i="6"/>
  <c r="AD108" i="6" l="1"/>
  <c r="AB39" i="7" l="1"/>
  <c r="AC64" i="6"/>
  <c r="AC47" i="6"/>
  <c r="AC108" i="6" l="1"/>
  <c r="AA39" i="7"/>
  <c r="AB64" i="6"/>
  <c r="AB47" i="6"/>
  <c r="AB108" i="6" l="1"/>
  <c r="Z39" i="7"/>
  <c r="AA64" i="6"/>
  <c r="AA47" i="6"/>
  <c r="AA108" i="6" l="1"/>
  <c r="Y39" i="7" l="1"/>
  <c r="Z64" i="6" l="1"/>
  <c r="Z47" i="6"/>
  <c r="Z108" i="6" l="1"/>
  <c r="X39" i="7"/>
  <c r="Y64" i="6"/>
  <c r="Y47" i="6"/>
  <c r="Y108" i="6" l="1"/>
  <c r="W39" i="7"/>
  <c r="X64" i="6"/>
  <c r="X47" i="6"/>
  <c r="X108" i="6" l="1"/>
  <c r="V39" i="7"/>
  <c r="W47" i="6" l="1"/>
  <c r="W64" i="6"/>
  <c r="W108" i="6" l="1"/>
  <c r="U39" i="7" l="1"/>
  <c r="V64" i="6"/>
  <c r="V47" i="6"/>
  <c r="V108" i="6" l="1"/>
  <c r="T39" i="7"/>
  <c r="U64" i="6"/>
  <c r="U47" i="6"/>
  <c r="U108" i="6" l="1"/>
  <c r="S39" i="7"/>
  <c r="T64" i="6"/>
  <c r="T47" i="6"/>
  <c r="T108" i="6" l="1"/>
  <c r="R39" i="7"/>
  <c r="S64" i="6"/>
  <c r="S47" i="6"/>
  <c r="S108" i="6" l="1"/>
  <c r="Q39" i="7"/>
  <c r="R64" i="6"/>
  <c r="R47" i="6"/>
  <c r="R108" i="6" l="1"/>
  <c r="P64" i="7"/>
  <c r="P81" i="7" s="1"/>
  <c r="P39" i="7"/>
  <c r="Q108" i="6"/>
  <c r="Q47" i="6"/>
  <c r="O39" i="7" l="1"/>
  <c r="P64" i="6"/>
  <c r="P47" i="6"/>
  <c r="P108" i="6" l="1"/>
  <c r="O64" i="6"/>
  <c r="N39" i="7"/>
  <c r="O47" i="6"/>
  <c r="O108" i="6" l="1"/>
  <c r="M64" i="7"/>
  <c r="M81" i="7" s="1"/>
  <c r="M39" i="7"/>
  <c r="N64" i="6"/>
  <c r="N47" i="6"/>
  <c r="N108" i="6" l="1"/>
  <c r="L64" i="7" l="1"/>
  <c r="L81" i="7" s="1"/>
  <c r="L39" i="7"/>
  <c r="M64" i="6"/>
  <c r="M47" i="6"/>
  <c r="M108" i="6" l="1"/>
  <c r="K64" i="7"/>
  <c r="K81" i="7" s="1"/>
  <c r="K39" i="7"/>
  <c r="L64" i="6"/>
  <c r="L47" i="6"/>
  <c r="L108" i="6" l="1"/>
  <c r="J64" i="7" l="1"/>
  <c r="J81" i="7" s="1"/>
  <c r="K64" i="6"/>
  <c r="J39" i="7"/>
  <c r="K47" i="6"/>
  <c r="K108" i="6" l="1"/>
  <c r="I64" i="7"/>
  <c r="I81" i="7" s="1"/>
  <c r="I39" i="7"/>
  <c r="J64" i="6"/>
  <c r="J47" i="6"/>
  <c r="J108" i="6" l="1"/>
  <c r="H39" i="7"/>
  <c r="H64" i="7"/>
  <c r="H81" i="7" s="1"/>
  <c r="I64" i="6"/>
  <c r="I47" i="6"/>
  <c r="I108" i="6" l="1"/>
  <c r="G64" i="7" l="1"/>
  <c r="G81" i="7" s="1"/>
  <c r="G39" i="7"/>
  <c r="H108" i="6"/>
  <c r="H47" i="6"/>
  <c r="F64" i="7" l="1"/>
  <c r="F81" i="7" s="1"/>
  <c r="F39" i="7"/>
  <c r="G108" i="6"/>
  <c r="G47" i="6"/>
  <c r="E64" i="7" l="1"/>
  <c r="E81" i="7" s="1"/>
  <c r="E39" i="7"/>
  <c r="F47" i="6"/>
  <c r="F108" i="6"/>
  <c r="E47" i="6" l="1"/>
  <c r="E108" i="6" l="1"/>
  <c r="D39" i="7"/>
  <c r="D64" i="7"/>
  <c r="D81" i="7" s="1"/>
  <c r="BI201" i="7"/>
  <c r="BG200" i="7"/>
  <c r="BE199" i="7"/>
  <c r="BH201" i="7"/>
  <c r="BG199" i="7"/>
  <c r="AW199" i="7"/>
  <c r="AW201" i="7"/>
  <c r="AY200" i="7"/>
  <c r="BF200" i="7"/>
  <c r="BJ199" i="7"/>
  <c r="BD197" i="7"/>
  <c r="BF201" i="7"/>
  <c r="BH199" i="7"/>
  <c r="BD201" i="7"/>
  <c r="BI199" i="7"/>
  <c r="AW198" i="7"/>
  <c r="BO196" i="7"/>
  <c r="BO207" i="7" s="1"/>
  <c r="BG197" i="7"/>
  <c r="BE197" i="7"/>
  <c r="BO197" i="7"/>
  <c r="BF198" i="7"/>
  <c r="BE200" i="7"/>
  <c r="BG198" i="7"/>
  <c r="AW197" i="7"/>
  <c r="BK201" i="7"/>
  <c r="BI198" i="7"/>
  <c r="BD196" i="7"/>
  <c r="BD207" i="7" s="1"/>
  <c r="BI197" i="7"/>
  <c r="BF196" i="7"/>
  <c r="BF207" i="7" s="1"/>
  <c r="BF199" i="7"/>
  <c r="AY201" i="7"/>
  <c r="BD198" i="7"/>
  <c r="BG201" i="7"/>
  <c r="AW200" i="7"/>
  <c r="BJ198" i="7"/>
  <c r="AY198" i="7"/>
  <c r="BH197" i="7"/>
  <c r="AY197" i="7"/>
  <c r="AY199" i="7"/>
  <c r="BJ201" i="7"/>
  <c r="BO198" i="7"/>
  <c r="BF197" i="7"/>
  <c r="BJ197" i="7"/>
  <c r="BI196" i="7"/>
  <c r="BI207" i="7" s="1"/>
  <c r="BK199" i="7"/>
  <c r="BD199" i="7"/>
  <c r="BO199" i="7"/>
  <c r="BH196" i="7"/>
  <c r="BH207" i="7" s="1"/>
  <c r="BK197" i="7"/>
  <c r="BH200" i="7"/>
  <c r="BK198" i="7"/>
  <c r="BK200" i="7"/>
  <c r="BE201" i="7"/>
  <c r="AW196" i="7"/>
  <c r="BG196" i="7"/>
  <c r="BG207" i="7" s="1"/>
  <c r="AY196" i="7"/>
  <c r="BJ196" i="7"/>
  <c r="BJ207" i="7" s="1"/>
  <c r="BI200" i="7"/>
  <c r="BE196" i="7"/>
  <c r="BE207" i="7" s="1"/>
  <c r="BD200" i="7"/>
  <c r="BK196" i="7"/>
  <c r="BJ200" i="7"/>
  <c r="BH198" i="7"/>
  <c r="BE198" i="7"/>
  <c r="BO200" i="7"/>
  <c r="BM196" i="7" l="1"/>
  <c r="BM207" i="7" s="1"/>
  <c r="BL198" i="7"/>
  <c r="BL197" i="7"/>
  <c r="BL199" i="7"/>
  <c r="BM198" i="7"/>
  <c r="BM197" i="7"/>
  <c r="BL201" i="7"/>
  <c r="BM200" i="7"/>
  <c r="BK207" i="7"/>
  <c r="BM201" i="7"/>
  <c r="BL200" i="7"/>
  <c r="BM199" i="7"/>
  <c r="BL196" i="7"/>
  <c r="BL20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Thibault FRETE</author>
    <author>Test INFO</author>
    <author>Vincent LAFAY</author>
  </authors>
  <commentList>
    <comment ref="B1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N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Mutualisation des 4 Velothon (Berlin, Wales, Stuttgart, Stockholm) sous une même page</t>
        </r>
      </text>
    </comment>
    <comment ref="B62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@RondeVlaanderen</t>
        </r>
      </text>
    </comment>
    <comment ref="B6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2 Comptes:
 espagnol + internationl</t>
        </r>
      </text>
    </comment>
    <comment ref="B75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@ehitzulia</t>
        </r>
      </text>
    </comment>
    <comment ref="B9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@tourofturkey</t>
        </r>
      </text>
    </comment>
    <comment ref="T91" authorId="1" shapeId="0" xr:uid="{00000000-0006-0000-0000-00000F000000}">
      <text>
        <r>
          <rPr>
            <b/>
            <sz val="8"/>
            <color indexed="81"/>
            <rFont val="Tahoma"/>
            <family val="2"/>
          </rPr>
          <t>Test INFO:</t>
        </r>
        <r>
          <rPr>
            <sz val="8"/>
            <color indexed="81"/>
            <rFont val="Tahoma"/>
            <family val="2"/>
          </rPr>
          <t xml:space="preserve">
Nouveau compte : @tourofturkeyTUR
</t>
        </r>
      </text>
    </comment>
    <comment ref="B95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@dklasikoa</t>
        </r>
      </text>
    </comment>
    <comment ref="B102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@GrandPrixPlouay</t>
        </r>
      </text>
    </comment>
    <comment ref="B10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@AmgenTOC</t>
        </r>
      </text>
    </comment>
    <comment ref="B119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@RondeVlaanderen</t>
        </r>
      </text>
    </comment>
    <comment ref="CH165" authorId="0" shapeId="0" xr:uid="{89352336-A888-4A06-8FF6-B3544118D9B0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CJ166" authorId="0" shapeId="0" xr:uid="{B8156539-BE29-487E-85F0-601CB3464EE5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AW167" authorId="2" shapeId="0" xr:uid="{CE3A3ED9-9A5B-4CB4-8A66-14A7534B0363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Hors Waibo</t>
        </r>
      </text>
    </comment>
    <comment ref="CI171" authorId="0" shapeId="0" xr:uid="{59BD5666-5678-4FA7-964D-DF4EE4D8B19B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CK172" authorId="0" shapeId="0" xr:uid="{35030BC1-5F7E-4685-B73B-C978561CB57D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AU179" authorId="2" shapeId="0" xr:uid="{DD102BBB-7322-4235-95EA-2E39F56034E4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d'Instagram</t>
        </r>
      </text>
    </comment>
    <comment ref="AV179" authorId="2" shapeId="0" xr:uid="{3BCCFD53-89C4-4425-A7CF-D4FFF46CD3A9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d'Instagram</t>
        </r>
      </text>
    </comment>
    <comment ref="D180" authorId="0" shapeId="0" xr:uid="{4EEA2BA7-9099-4888-B9B7-47239CBAC1E5}">
      <text>
        <r>
          <rPr>
            <b/>
            <sz val="8"/>
            <color indexed="81"/>
            <rFont val="Tahoma"/>
            <family val="2"/>
          </rPr>
          <t>Ronde van Vlaanderen</t>
        </r>
      </text>
    </comment>
    <comment ref="AU186" authorId="2" shapeId="0" xr:uid="{BFAEA00A-3473-4823-A7AA-62247C64D93F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Instagram commun FW et LBL (Classiques Ardennaises à lier manuellement)
Attention à bien modifier la cellule en cas de tri du tableau Instagram.</t>
        </r>
      </text>
    </comment>
    <comment ref="AV186" authorId="2" shapeId="0" xr:uid="{BEC28A90-1612-4CAA-B8FC-9E54A54A0C0E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Instagram commun FW et LBL (Classiques Ardennaises à lier manuellement)
Attention à bien modifier la cellule en cas de tri du tableau Instagram.</t>
        </r>
      </text>
    </comment>
    <comment ref="AU187" authorId="2" shapeId="0" xr:uid="{4FEA236C-C2F3-4DFB-AA63-3B5751682976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d'Instagram</t>
        </r>
      </text>
    </comment>
    <comment ref="AV187" authorId="2" shapeId="0" xr:uid="{AEBE0300-456F-452E-AB07-AF001DDEEF31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d'Instagram</t>
        </r>
      </text>
    </comment>
    <comment ref="AU189" authorId="2" shapeId="0" xr:uid="{36367E80-8C44-4DCB-90EA-BD6B7573BAA1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>:
Instagram commun FW et LBL (Classiques Ardennaises à lier manuellement)
Attention à bien modifier la cellule en cas de tri du tableau Instagram</t>
        </r>
      </text>
    </comment>
    <comment ref="AV189" authorId="2" shapeId="0" xr:uid="{6D86DFFE-0D5B-4E55-9E34-5A4F070AD64F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>:
Instagram commun FW et LBL (Classiques Ardennaises à lier manuellement)
Attention à bien modifier la cellule en cas de tri du tableau Instagram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RIGHI Alan</author>
    <author>Test INFO</author>
    <author>Vincent LAFAY</author>
  </authors>
  <commentList>
    <comment ref="B13" authorId="0" shapeId="0" xr:uid="{740549D7-097D-4246-A3AC-1F2292290325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Sky
</t>
        </r>
      </text>
    </comment>
    <comment ref="B23" authorId="0" shapeId="0" xr:uid="{A4B684EE-9A6D-4C46-95D7-655412C4EACB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Direct Energie
</t>
        </r>
      </text>
    </comment>
    <comment ref="B54" authorId="0" shapeId="0" xr:uid="{AB2EB599-5733-40C5-8D3F-B700581E0707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Sky
</t>
        </r>
      </text>
    </comment>
    <comment ref="B64" authorId="0" shapeId="0" xr:uid="{0565B86F-A4D4-41CA-B312-3D040DAE3B2C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Direct Energie
</t>
        </r>
      </text>
    </comment>
    <comment ref="P64" authorId="1" shapeId="0" xr:uid="{00000000-0006-0000-0100-00001B000000}">
      <text>
        <r>
          <rPr>
            <b/>
            <sz val="8"/>
            <color indexed="81"/>
            <rFont val="Tahoma"/>
            <family val="2"/>
          </rPr>
          <t>Test INFO:</t>
        </r>
        <r>
          <rPr>
            <sz val="8"/>
            <color indexed="81"/>
            <rFont val="Tahoma"/>
            <family val="2"/>
          </rPr>
          <t xml:space="preserve">
Compte anglais Europcar n'a pas été changé en compte Direct Energie
</t>
        </r>
      </text>
    </comment>
    <comment ref="B96" authorId="0" shapeId="0" xr:uid="{2E5CCD5A-36A8-4320-83E1-EAA4F4B7B7A1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Sky
</t>
        </r>
      </text>
    </comment>
    <comment ref="B106" authorId="0" shapeId="0" xr:uid="{E9992287-0087-4BF5-95DA-0A17799FFCE7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Direct Energie</t>
        </r>
      </text>
    </comment>
    <comment ref="B127" authorId="0" shapeId="0" xr:uid="{003D6943-74EC-4644-9B56-1A35DCED60E0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Sky
</t>
        </r>
      </text>
    </comment>
    <comment ref="B129" authorId="0" shapeId="0" xr:uid="{6CB37495-CBE3-4BB0-8809-D9AE645E971C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Direct Energie</t>
        </r>
      </text>
    </comment>
    <comment ref="B179" authorId="0" shapeId="0" xr:uid="{2C83B7F2-E3A5-4AFB-887D-27796B1C2C68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Sky</t>
        </r>
      </text>
    </comment>
    <comment ref="AT181" authorId="2" shapeId="0" xr:uid="{86849910-9F65-4A04-B61E-E8DFB806D14E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de compte Instagram
</t>
        </r>
      </text>
    </comment>
    <comment ref="AU181" authorId="2" shapeId="0" xr:uid="{E5D358D8-12C0-434D-B37A-54F4CF0E968A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de compte Instagram
</t>
        </r>
      </text>
    </comment>
    <comment ref="B189" authorId="0" shapeId="0" xr:uid="{76F4A28B-311E-44F9-8A37-23D036B8B0E6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Direct Energie</t>
        </r>
      </text>
    </comment>
    <comment ref="B193" authorId="0" shapeId="0" xr:uid="{A67DB8C9-8C06-4CB9-8902-C6173F70A796}">
      <text>
        <r>
          <rPr>
            <b/>
            <sz val="8"/>
            <color indexed="81"/>
            <rFont val="Tahoma"/>
            <family val="2"/>
          </rPr>
          <t>RIGHI Alan:</t>
        </r>
        <r>
          <rPr>
            <sz val="8"/>
            <color indexed="81"/>
            <rFont val="Tahoma"/>
            <family val="2"/>
          </rPr>
          <t xml:space="preserve">
Ex Team Direct Energie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Adrien PUIATTI</author>
    <author>Charly LETOURNEUR</author>
    <author>Vincent LAFAY</author>
  </authors>
  <commentList>
    <comment ref="B34" authorId="0" shapeId="0" xr:uid="{AB3ABA25-BCCB-43C1-BE84-3F5BF829627A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non répertorié</t>
        </r>
      </text>
    </comment>
    <comment ref="AE48" authorId="1" shapeId="0" xr:uid="{79BAB765-5B59-464F-AB6D-B57C386B698F}">
      <text>
        <r>
          <rPr>
            <b/>
            <sz val="9"/>
            <color indexed="81"/>
            <rFont val="Tahoma"/>
            <family val="2"/>
          </rPr>
          <t>Charly LETOURNEUR:</t>
        </r>
        <r>
          <rPr>
            <sz val="9"/>
            <color indexed="81"/>
            <rFont val="Tahoma"/>
            <family val="2"/>
          </rPr>
          <t xml:space="preserve">
Page supprimée</t>
        </r>
      </text>
    </comment>
    <comment ref="B304" authorId="0" shapeId="0" xr:uid="{1E188225-E96A-4CCD-864B-581B8D0F05A9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non répertorié</t>
        </r>
      </text>
    </comment>
    <comment ref="Q391" authorId="2" shapeId="0" xr:uid="{DEDB58B0-CF7D-4890-8E23-0718376F71AB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non répertorié</t>
        </r>
      </text>
    </comment>
    <comment ref="B395" authorId="0" shapeId="0" xr:uid="{B94DAFCD-E914-45A8-88AA-3A6448EB3274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désactivé</t>
        </r>
      </text>
    </comment>
    <comment ref="Q395" authorId="2" shapeId="0" xr:uid="{FE1CCC03-3651-47DF-B10E-4ED957452CD3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Facebook désactivé</t>
        </r>
      </text>
    </comment>
    <comment ref="Q397" authorId="2" shapeId="0" xr:uid="{C15A906B-6C10-4432-AE86-2E93749077CA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non répertorié</t>
        </r>
      </text>
    </comment>
    <comment ref="B401" authorId="0" shapeId="0" xr:uid="{E1B4F7D3-93EC-4E28-8C9D-9D20BCCD9BFA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non répertorié</t>
        </r>
      </text>
    </comment>
    <comment ref="Q401" authorId="0" shapeId="0" xr:uid="{DEB31A2F-8C5C-4888-BD30-E81DDD2C9911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Pas de Facebook répertorié</t>
        </r>
      </text>
    </comment>
    <comment ref="B402" authorId="0" shapeId="0" xr:uid="{C360D141-903D-4275-9C6B-1CB1273CDA30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non répertorié</t>
        </r>
      </text>
    </comment>
    <comment ref="Q402" authorId="2" shapeId="0" xr:uid="{911FF1C1-FB86-42D7-9CE6-A831CCBC3397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non répertorié</t>
        </r>
      </text>
    </comment>
    <comment ref="B404" authorId="0" shapeId="0" xr:uid="{6B168A59-42E9-417B-BC04-379FA578F881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non répertorié</t>
        </r>
      </text>
    </comment>
    <comment ref="Q404" authorId="2" shapeId="0" xr:uid="{2F4E95E9-22E1-46F5-A9C7-3565C4377E6A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non répertorié
</t>
        </r>
      </text>
    </comment>
    <comment ref="Q411" authorId="2" shapeId="0" xr:uid="{B4049D0B-4012-4BB1-9633-682F56051CD0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Pas de compte Instagram</t>
        </r>
      </text>
    </comment>
    <comment ref="Q412" authorId="2" shapeId="0" xr:uid="{C0EF81D5-53B8-4C04-8342-5A0D9B2EBF89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non répertorié
</t>
        </r>
      </text>
    </comment>
    <comment ref="Q418" authorId="0" shapeId="0" xr:uid="{0DBD2037-1DF8-4244-A98A-784D955C0913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Pas de Twitter / Insta</t>
        </r>
      </text>
    </comment>
    <comment ref="B435" authorId="0" shapeId="0" xr:uid="{19132FB3-3C42-4181-A27E-FE0612834CC5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&amp; Twitter non répertorié</t>
        </r>
      </text>
    </comment>
    <comment ref="Q435" authorId="2" shapeId="0" xr:uid="{A05EE5E8-D513-496D-B57A-9ABB4967CF29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et twitter non répertorié
</t>
        </r>
      </text>
    </comment>
    <comment ref="B436" authorId="0" shapeId="0" xr:uid="{A2315909-5FAC-4514-A282-889EEF97148C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Compte Facebook &amp; Twitter non répertorié</t>
        </r>
      </text>
    </comment>
    <comment ref="Q436" authorId="2" shapeId="0" xr:uid="{BBE35BB6-829B-4E58-BC96-2A6CB906E55E}">
      <text>
        <r>
          <rPr>
            <b/>
            <sz val="8"/>
            <color indexed="81"/>
            <rFont val="Tahoma"/>
            <family val="2"/>
          </rPr>
          <t>Vincent LAFAY:</t>
        </r>
        <r>
          <rPr>
            <sz val="8"/>
            <color indexed="81"/>
            <rFont val="Tahoma"/>
            <family val="2"/>
          </rPr>
          <t xml:space="preserve">
Compte Fb et twitter non répertorié
</t>
        </r>
      </text>
    </comment>
    <comment ref="Q437" authorId="0" shapeId="0" xr:uid="{85CD59C1-5977-4669-BD12-9B3DCB73AFC1}">
      <text>
        <r>
          <rPr>
            <b/>
            <sz val="8"/>
            <color indexed="81"/>
            <rFont val="Tahoma"/>
            <family val="2"/>
          </rPr>
          <t>Adrien PUIATTI:</t>
        </r>
        <r>
          <rPr>
            <sz val="8"/>
            <color indexed="81"/>
            <rFont val="Tahoma"/>
            <family val="2"/>
          </rPr>
          <t xml:space="preserve">
Pas de Twitter / Insta</t>
        </r>
      </text>
    </comment>
  </commentList>
</comments>
</file>

<file path=xl/sharedStrings.xml><?xml version="1.0" encoding="utf-8"?>
<sst xmlns="http://schemas.openxmlformats.org/spreadsheetml/2006/main" count="2267" uniqueCount="412">
  <si>
    <t>févr-15</t>
  </si>
  <si>
    <t>mars-15</t>
  </si>
  <si>
    <t>févr-16</t>
  </si>
  <si>
    <t>janv-16</t>
  </si>
  <si>
    <t>avr-15</t>
  </si>
  <si>
    <t>mai-15</t>
  </si>
  <si>
    <t>juin-15</t>
  </si>
  <si>
    <t>juil-15</t>
  </si>
  <si>
    <t>août-15</t>
  </si>
  <si>
    <t>sept-15</t>
  </si>
  <si>
    <t>oct-15</t>
  </si>
  <si>
    <t>nov-15</t>
  </si>
  <si>
    <t>déc-15</t>
  </si>
  <si>
    <t>#</t>
  </si>
  <si>
    <t>FACEBOOK</t>
  </si>
  <si>
    <t>TWITTER</t>
  </si>
  <si>
    <t>Tour Down Under</t>
  </si>
  <si>
    <t>Paris Nice</t>
  </si>
  <si>
    <t>Tirreno - Adriatico</t>
  </si>
  <si>
    <t>Milano - San Remo</t>
  </si>
  <si>
    <t>E3 Harelbeke</t>
  </si>
  <si>
    <t>Tour des Flandres</t>
  </si>
  <si>
    <t>Paris Roubaix</t>
  </si>
  <si>
    <t>Amstel Gold Race</t>
  </si>
  <si>
    <t>Fleche Wallonne</t>
  </si>
  <si>
    <t>Liege-Bastogne-Liege</t>
  </si>
  <si>
    <t>Tour de Romandie</t>
  </si>
  <si>
    <t>Tour de Suisse</t>
  </si>
  <si>
    <t>Tour de France</t>
  </si>
  <si>
    <t>Critérium International</t>
  </si>
  <si>
    <t>Arctic Race of Norway</t>
  </si>
  <si>
    <t>Tour du Pays Basque</t>
  </si>
  <si>
    <t>Clasica San Sebastian</t>
  </si>
  <si>
    <t>GP Plouay</t>
  </si>
  <si>
    <t>Criterium du Dauphiné</t>
  </si>
  <si>
    <t>Strade Bianche</t>
  </si>
  <si>
    <t>Tour of Qatar</t>
  </si>
  <si>
    <t>Tour of Oman</t>
  </si>
  <si>
    <t>Vuelta Asturias</t>
  </si>
  <si>
    <t>Tour of California</t>
  </si>
  <si>
    <t>Bayern Rundfahrt</t>
  </si>
  <si>
    <t>RideLondon</t>
  </si>
  <si>
    <t>Tour de l'Ain</t>
  </si>
  <si>
    <t>USA Pro Challenge</t>
  </si>
  <si>
    <t>Tour of Utah</t>
  </si>
  <si>
    <t>Autre</t>
  </si>
  <si>
    <t>ASO</t>
  </si>
  <si>
    <t>RCS</t>
  </si>
  <si>
    <t>Type</t>
  </si>
  <si>
    <t>ET</t>
  </si>
  <si>
    <t>CL</t>
  </si>
  <si>
    <t>GT</t>
  </si>
  <si>
    <t>Dubai Tour</t>
  </si>
  <si>
    <t>Evol. mensuelle</t>
  </si>
  <si>
    <t>WorldTour</t>
  </si>
  <si>
    <t>Continental Pro</t>
  </si>
  <si>
    <t>Total</t>
  </si>
  <si>
    <t>Ruta del Sol (Vuelta Andalucia)</t>
  </si>
  <si>
    <t>Tour de Yorkshire</t>
  </si>
  <si>
    <t>WT</t>
  </si>
  <si>
    <t>GP Québec Montréal</t>
  </si>
  <si>
    <t>Presidential Tour of Turkey</t>
  </si>
  <si>
    <t>Gand Wevelgem</t>
  </si>
  <si>
    <t>mars-16</t>
  </si>
  <si>
    <t>avr-16</t>
  </si>
  <si>
    <t>mai-16</t>
  </si>
  <si>
    <t>juin-16</t>
  </si>
  <si>
    <t>Velothon</t>
  </si>
  <si>
    <t>juil-16</t>
  </si>
  <si>
    <t>août-16</t>
  </si>
  <si>
    <t>sept-16</t>
  </si>
  <si>
    <t>oct-16</t>
  </si>
  <si>
    <t>nov-16</t>
  </si>
  <si>
    <t>déc-16</t>
  </si>
  <si>
    <t>UCI</t>
  </si>
  <si>
    <t>janv-17</t>
  </si>
  <si>
    <t>Tour of the Alps</t>
  </si>
  <si>
    <t>févr-17</t>
  </si>
  <si>
    <t>Evol. Mensuelle2</t>
  </si>
  <si>
    <t>Dwars door Vlaanderen</t>
  </si>
  <si>
    <t>Hammer Series</t>
  </si>
  <si>
    <t>mars-17</t>
  </si>
  <si>
    <t>Omlooop Het Nieuwsblad</t>
  </si>
  <si>
    <t xml:space="preserve">UAE TEAM EMIRATES </t>
  </si>
  <si>
    <t>avr-17</t>
  </si>
  <si>
    <t>mai-17</t>
  </si>
  <si>
    <t>juin-17</t>
  </si>
  <si>
    <t>Chris Froome</t>
  </si>
  <si>
    <t>Peter Sagan</t>
  </si>
  <si>
    <t>Nairo Quintana</t>
  </si>
  <si>
    <t>Mark Cavendish</t>
  </si>
  <si>
    <t>Romain Bardet</t>
  </si>
  <si>
    <t>Thibaut Pinot</t>
  </si>
  <si>
    <t>Greg Van Avermaet</t>
  </si>
  <si>
    <t>Alberto Contador</t>
  </si>
  <si>
    <t>Tom Dumoulin</t>
  </si>
  <si>
    <t>Vincenzo Nibali</t>
  </si>
  <si>
    <t>John Degenkolb</t>
  </si>
  <si>
    <t>Richie Porte</t>
  </si>
  <si>
    <t>juil-17</t>
  </si>
  <si>
    <t>Rigoberto Uran</t>
  </si>
  <si>
    <t>août-17</t>
  </si>
  <si>
    <t>sept-17</t>
  </si>
  <si>
    <t>Evolution mensuelle</t>
  </si>
  <si>
    <t>Evolution mensuelle en volume</t>
  </si>
  <si>
    <t>oct-17</t>
  </si>
  <si>
    <t>nov-17</t>
  </si>
  <si>
    <t>Tour of Guangxi</t>
  </si>
  <si>
    <t>déc-17</t>
  </si>
  <si>
    <t>janv-18</t>
  </si>
  <si>
    <t>fev-18</t>
  </si>
  <si>
    <t>Tour de Pologne</t>
  </si>
  <si>
    <t>Volta a Catalunya</t>
  </si>
  <si>
    <t>Philippe Gilbert</t>
  </si>
  <si>
    <t>Michal Kwiatkowski</t>
  </si>
  <si>
    <t>INSTAGRAM</t>
  </si>
  <si>
    <t>Alejandro Valverde</t>
  </si>
  <si>
    <t>mars-18</t>
  </si>
  <si>
    <t>Catégorie</t>
  </si>
  <si>
    <t>Alexander Kristoff</t>
  </si>
  <si>
    <t>Julian Alaphilippe</t>
  </si>
  <si>
    <t>Fernando Gaviria</t>
  </si>
  <si>
    <t>Niki Terpstra</t>
  </si>
  <si>
    <t>Geraint Thomas</t>
  </si>
  <si>
    <t>Warren Barguil</t>
  </si>
  <si>
    <t>Giro d'Italia</t>
  </si>
  <si>
    <t>La Vuelta</t>
  </si>
  <si>
    <t>avr-18</t>
  </si>
  <si>
    <t>Esteban Chaves</t>
  </si>
  <si>
    <t>mai-18</t>
  </si>
  <si>
    <t>Arnaud Démare</t>
  </si>
  <si>
    <t>juin-18</t>
  </si>
  <si>
    <t>Simon Yates</t>
  </si>
  <si>
    <t>A chaque mise à jour du fichier, penser à mettre à jour la formule pour décaler le Recherche V d'une colonne dans la zone de recherche (Actualisation de la donnée du mois)</t>
  </si>
  <si>
    <t>Cellules en bleu ciel : Cas particulier avec formule différente (ex : Pas de Instagram)</t>
  </si>
  <si>
    <t>L'échantillon du classement est basé sur les comptes Facebook les plus importants et n'est donc pas exhaustif. Les équipes éventuellement non classées ont cependant un faible impact réseaux sociaux</t>
  </si>
  <si>
    <t>Elia Viviani</t>
  </si>
  <si>
    <t>Equipes</t>
  </si>
  <si>
    <t>Epreuves</t>
  </si>
  <si>
    <t>Coureurs</t>
  </si>
  <si>
    <t>L'échantillon du classement est basé sur les comptes Facebook les plus importants et n'est donc pas exhaustif. Les courses éventuellement non classées ont cependant un faible impact réseaux sociaux</t>
  </si>
  <si>
    <t>L'échantillon du classement est basé sur les comptes  les plus importants et n'est donc pas exhaustif. Les coureurs éventuellement non classées ont cependant un faible impact réseaux sociaux</t>
  </si>
  <si>
    <t>juil-18</t>
  </si>
  <si>
    <t>août-18</t>
  </si>
  <si>
    <t>Rafal Majka</t>
  </si>
  <si>
    <t>Mathieu Van der Poel</t>
  </si>
  <si>
    <t>Wout van Aert</t>
  </si>
  <si>
    <t>Bauke Mollema</t>
  </si>
  <si>
    <t>Pierre Rolland</t>
  </si>
  <si>
    <t>Mathieu van der Poel</t>
  </si>
  <si>
    <t>Egan Bernal</t>
  </si>
  <si>
    <t>sept-18</t>
  </si>
  <si>
    <t>Paris - Tours</t>
  </si>
  <si>
    <t>World Tour</t>
  </si>
  <si>
    <t>Evol. Mensuelle</t>
  </si>
  <si>
    <t>Deutschland Deine Tour</t>
  </si>
  <si>
    <t>oct-18</t>
  </si>
  <si>
    <t>nov-18</t>
  </si>
  <si>
    <t>-</t>
  </si>
  <si>
    <t>Miguel Angel Lopez</t>
  </si>
  <si>
    <t>Alvaro Hodeg Chagui</t>
  </si>
  <si>
    <t>Dylan Groenewegen</t>
  </si>
  <si>
    <t>Remco Evenepoel</t>
  </si>
  <si>
    <t>dec-18</t>
  </si>
  <si>
    <t>janv-19</t>
  </si>
  <si>
    <t>UAE Tour</t>
  </si>
  <si>
    <t>TEAM JUMBO-VISMA</t>
  </si>
  <si>
    <t>TEAM ARKEA-SAMSIC</t>
  </si>
  <si>
    <t>TEAM NOVO NORDISK</t>
  </si>
  <si>
    <t>TREK-SEGAFREDO</t>
  </si>
  <si>
    <t>MOVISTAR TEAM</t>
  </si>
  <si>
    <t>LOTTO SOUDAL</t>
  </si>
  <si>
    <t>BORA - HANSGROHE</t>
  </si>
  <si>
    <t>GROUPAMA - FDJ</t>
  </si>
  <si>
    <t>COFIDIS, SOLUTIONS CREDITS</t>
  </si>
  <si>
    <t>CAJA RURAL-SEGUROS RGA</t>
  </si>
  <si>
    <t>UAE TEAM EMIRATES</t>
  </si>
  <si>
    <t>févr-19</t>
  </si>
  <si>
    <t>Winner Anacona</t>
  </si>
  <si>
    <t>mars-19</t>
  </si>
  <si>
    <t>Tour Colombia 2.1</t>
  </si>
  <si>
    <t>Bob Jungels</t>
  </si>
  <si>
    <t>Zdenek Stybar</t>
  </si>
  <si>
    <t>avr-19</t>
  </si>
  <si>
    <t>mai-19</t>
  </si>
  <si>
    <t>Colonne1</t>
  </si>
  <si>
    <t>juin-19</t>
  </si>
  <si>
    <t>Richard Carapaz</t>
  </si>
  <si>
    <t>juil-19</t>
  </si>
  <si>
    <t xml:space="preserve">Andrey Amador </t>
  </si>
  <si>
    <t>Steven Kruijswijk</t>
  </si>
  <si>
    <t>Jakob Fuglsang</t>
  </si>
  <si>
    <t>Tony Gallopin</t>
  </si>
  <si>
    <t>Rui Costa</t>
  </si>
  <si>
    <t>Thomas De Gendt</t>
  </si>
  <si>
    <t>Michael Matthews</t>
  </si>
  <si>
    <t>Tim Wellens</t>
  </si>
  <si>
    <t>Caleb Ewan</t>
  </si>
  <si>
    <t>Enric Mas</t>
  </si>
  <si>
    <t>Jasper Stuyven</t>
  </si>
  <si>
    <t>août-19</t>
  </si>
  <si>
    <t>sept-19</t>
  </si>
  <si>
    <t>Primoz Roglic</t>
  </si>
  <si>
    <t>oct-19</t>
  </si>
  <si>
    <t>Tadej Pogacar</t>
  </si>
  <si>
    <t>Mads Pedersen</t>
  </si>
  <si>
    <t xml:space="preserve">Mads Pedersen </t>
  </si>
  <si>
    <t>nov-19</t>
  </si>
  <si>
    <t>dec-19</t>
  </si>
  <si>
    <t>mars-20</t>
  </si>
  <si>
    <t>sept-20</t>
  </si>
  <si>
    <t>nov-20</t>
  </si>
  <si>
    <t>mars-21</t>
  </si>
  <si>
    <t>mars-22</t>
  </si>
  <si>
    <t>sept-21</t>
  </si>
  <si>
    <t>Benelux Tour</t>
  </si>
  <si>
    <t>AJ Bell Tour of Britain</t>
  </si>
  <si>
    <t>Evol.Mensuel</t>
  </si>
  <si>
    <t>BAHRAIN - VICTORIOUS</t>
  </si>
  <si>
    <t>Intermarché - Wanty - Gobert Matériaux</t>
  </si>
  <si>
    <t>INEOS GRENADIERS</t>
  </si>
  <si>
    <t xml:space="preserve">Team BikeExchange </t>
  </si>
  <si>
    <t>TEAM DSM</t>
  </si>
  <si>
    <t>TEAM TOTAL ENERGIES</t>
  </si>
  <si>
    <t>AG2R CITROËN TEAM</t>
  </si>
  <si>
    <t>TEAM BIKE EXCHANGE</t>
  </si>
  <si>
    <t>Team Bike Exchange</t>
  </si>
  <si>
    <t>AG2R CITROËN TEAM</t>
  </si>
  <si>
    <t>BAHRAIN VICTORIOUS</t>
  </si>
  <si>
    <t>INEOS - GRENADIERS</t>
  </si>
  <si>
    <t>Thomas Pidcock</t>
  </si>
  <si>
    <t>Sergio Higuita</t>
  </si>
  <si>
    <t>Fabio Jakobsen</t>
  </si>
  <si>
    <t xml:space="preserve">Evolution mensuelle </t>
  </si>
  <si>
    <t>Evol. Mensuelle VOL</t>
  </si>
  <si>
    <t>Evol. Mensuelle %</t>
  </si>
  <si>
    <t>Evol. Mensuelle Vol</t>
  </si>
  <si>
    <t>Evol Mensuelle Vol</t>
  </si>
  <si>
    <t>CAJA RURAL - SEGUROS RGA</t>
  </si>
  <si>
    <t>Adam Yates</t>
  </si>
  <si>
    <t>Daniel Oss</t>
  </si>
  <si>
    <t>Il Lombardia</t>
  </si>
  <si>
    <t>Burgos-BH</t>
  </si>
  <si>
    <t>Euskatel-Euskadi</t>
  </si>
  <si>
    <t>Uno-X Pro Cycling Team</t>
  </si>
  <si>
    <t>Equipe Kern Pharma</t>
  </si>
  <si>
    <t>Burgos BH</t>
  </si>
  <si>
    <t>Equipo Kern Pharma</t>
  </si>
  <si>
    <t>João Almeida</t>
  </si>
  <si>
    <t>Jonas Vingegaard</t>
  </si>
  <si>
    <t>David Gaudu</t>
  </si>
  <si>
    <t>Kasper Asgreen</t>
  </si>
  <si>
    <t>Guillaume Martin</t>
  </si>
  <si>
    <t>Daniel Felipe Martinez</t>
  </si>
  <si>
    <t>Anthony Turgis</t>
  </si>
  <si>
    <t>Ben O'Connor</t>
  </si>
  <si>
    <t>Tim Merlier</t>
  </si>
  <si>
    <t>Michael Woods</t>
  </si>
  <si>
    <t>Sonny Colbrelli</t>
  </si>
  <si>
    <t>Ethan Hayter</t>
  </si>
  <si>
    <t>Matej Mohoric</t>
  </si>
  <si>
    <t>Giacomo Nizzolo</t>
  </si>
  <si>
    <t>Jasper Philipsen</t>
  </si>
  <si>
    <t>Brandon McNulty</t>
  </si>
  <si>
    <t>Sepp Kuss</t>
  </si>
  <si>
    <t>Christophe Laporte</t>
  </si>
  <si>
    <t>Stefan Küng</t>
  </si>
  <si>
    <t>Marc Hirschi</t>
  </si>
  <si>
    <t>Filippo Ganna</t>
  </si>
  <si>
    <t>Biniam Girmay</t>
  </si>
  <si>
    <t>Alexandr Vlasov</t>
  </si>
  <si>
    <t>Alexey Lutsenko</t>
  </si>
  <si>
    <t>avr-22</t>
  </si>
  <si>
    <t>QUICK STEP - ALPHA VINYL TEAM</t>
  </si>
  <si>
    <t>Dylan Van Baarle</t>
  </si>
  <si>
    <t>TikTok</t>
  </si>
  <si>
    <t>Tik Tok</t>
  </si>
  <si>
    <t>Saudi Tour</t>
  </si>
  <si>
    <t>Tour de Wallonie</t>
  </si>
  <si>
    <t>Tour de provence</t>
  </si>
  <si>
    <t>Etoile de Bessège</t>
  </si>
  <si>
    <t>Kuurne-Brussel-Kuurne</t>
  </si>
  <si>
    <t>Route d'Occitanie</t>
  </si>
  <si>
    <t>Alpecin-Deceuninck</t>
  </si>
  <si>
    <t>ASTANA</t>
  </si>
  <si>
    <t xml:space="preserve">B&amp;B Hotels KTM </t>
  </si>
  <si>
    <t>EF EDUCATION</t>
  </si>
  <si>
    <t>EF Education</t>
  </si>
  <si>
    <t>ISRAEL - Premier Tech</t>
  </si>
  <si>
    <t>Drone Hopper-Androni Giocattoli Team</t>
  </si>
  <si>
    <t>Sport Vlaanderen - Baloise</t>
  </si>
  <si>
    <t>Bardiani CSF Faizanè Pro Team</t>
  </si>
  <si>
    <t>St Michel - Auber 93 </t>
  </si>
  <si>
    <t>Human Powered Health</t>
  </si>
  <si>
    <t>Terengganu Polygon Cycling Team</t>
  </si>
  <si>
    <t>TIKTOK</t>
  </si>
  <si>
    <t>Magnus Cort Nielsen</t>
  </si>
  <si>
    <t>Hugo Houle</t>
  </si>
  <si>
    <t>Dan Martin</t>
  </si>
  <si>
    <t>Giulio Ciccone</t>
  </si>
  <si>
    <t xml:space="preserve">Carlos Verona </t>
  </si>
  <si>
    <t>Alberto Bettiol</t>
  </si>
  <si>
    <t>Tao Geoghegan Hart</t>
  </si>
  <si>
    <t>Luke Rowe</t>
  </si>
  <si>
    <t>André Greipel</t>
  </si>
  <si>
    <t>Yves Lampaert</t>
  </si>
  <si>
    <t>Valentin Madouas</t>
  </si>
  <si>
    <t>Lennard Kamna</t>
  </si>
  <si>
    <t xml:space="preserve">Matteo Trentin </t>
  </si>
  <si>
    <t>Jai Hindley</t>
  </si>
  <si>
    <t>Dylan Teuns</t>
  </si>
  <si>
    <t>Pello Bilbao</t>
  </si>
  <si>
    <t>Mikel Landa</t>
  </si>
  <si>
    <t>Neilson Powless</t>
  </si>
  <si>
    <t>Michael Valgren</t>
  </si>
  <si>
    <t>Nacer Bouhanni</t>
  </si>
  <si>
    <t>Fausto Masnada</t>
  </si>
  <si>
    <t>Nils Politt</t>
  </si>
  <si>
    <t xml:space="preserve">Pavel Sivakov </t>
  </si>
  <si>
    <t>Pascal Ackermann</t>
  </si>
  <si>
    <t>Simon Clarke</t>
  </si>
  <si>
    <t>Simon Geschke</t>
  </si>
  <si>
    <t>Rohan Dennis</t>
  </si>
  <si>
    <t>Oliver Naesen</t>
  </si>
  <si>
    <t>Emmanuel Buchmann</t>
  </si>
  <si>
    <t>Sam Benett</t>
  </si>
  <si>
    <t>Tour de Provence</t>
  </si>
  <si>
    <t>Gent Wevelgem</t>
  </si>
  <si>
    <t>mars-222</t>
  </si>
  <si>
    <t xml:space="preserve">Total </t>
  </si>
  <si>
    <t>sept-22</t>
  </si>
  <si>
    <t>nov-22</t>
  </si>
  <si>
    <t>China Glory Cycling</t>
  </si>
  <si>
    <t>oct-23</t>
  </si>
  <si>
    <t>Team dsm-firmenich (@tdsm_firmenich) | TikTok</t>
  </si>
  <si>
    <t>Human Powered Health Cycling (@hphcycling) | TikTok</t>
  </si>
  <si>
    <t>https://www.tiktok.com/@borahansgroheofficial</t>
  </si>
  <si>
    <t>cajarural_rga (@cajarural_rga) Officiel | TikTok</t>
  </si>
  <si>
    <t>https://www.tiktok.com/@intermarchecw</t>
  </si>
  <si>
    <t>Israel - Premier Tech (@israelpremiertech) | TikTok</t>
  </si>
  <si>
    <t>Lotto Dstny Cycling Team (@lotto_dstny) | TikTok</t>
  </si>
  <si>
    <t>https://www.tiktok.com/@eqkernpharma</t>
  </si>
  <si>
    <t>cycling.vlaanderen (@cycling.vlaanderen) | TikTok</t>
  </si>
  <si>
    <t>terengganupolygoncyclingteam (@terengganupolygoncycling) | TikTok</t>
  </si>
  <si>
    <t>Soudal Quick-Step (@soudal_quickstepteam) | TikTok</t>
  </si>
  <si>
    <t>https://www.facebook.com/jfuglsang1</t>
  </si>
  <si>
    <t>https://www.facebook.com/profile.php?id=100063508750458</t>
  </si>
  <si>
    <t>https://www.facebook.com/profile.php?id=100063816066334</t>
  </si>
  <si>
    <t>https://www.facebook.com/jasper.philipsen</t>
  </si>
  <si>
    <t>https://www.facebook.com/alexey.lutcenko</t>
  </si>
  <si>
    <t>https://www.facebook.com/profile.php?id=100078103235033</t>
  </si>
  <si>
    <t>https://www.facebook.com/profile.php?id=100043522311745</t>
  </si>
  <si>
    <t>https://www.facebook.com/profile.php?id=100057860087127</t>
  </si>
  <si>
    <t>https://www.tiktok.com/@rigouran</t>
  </si>
  <si>
    <t>Colonne2</t>
  </si>
  <si>
    <t>https://www.tiktok.com/@markcavendish</t>
  </si>
  <si>
    <t>https://www.tiktok.com/@richardcarapaz_oficial</t>
  </si>
  <si>
    <t>https://www.tiktok.com/@vincenzonibali</t>
  </si>
  <si>
    <t>https://www.tiktok.com/@evenepoelremco</t>
  </si>
  <si>
    <t>https://www.tiktok.com/@geraintthomas86</t>
  </si>
  <si>
    <t>https://www.tiktok.com/@woutvanaert_</t>
  </si>
  <si>
    <t>https://www.tiktok.com/@thibaut_pinot</t>
  </si>
  <si>
    <t>https://www.tiktok.com/@acontadoroficial</t>
  </si>
  <si>
    <t>Jonas Vingegaard (@jonasvingegaard) | TikTok</t>
  </si>
  <si>
    <t>DavidGaudu (@davidgauduoff) | TikTok</t>
  </si>
  <si>
    <t>https://www.tiktok.com/@alberto_bettio</t>
  </si>
  <si>
    <t>Hindley 👑 (@hindleygoat) | TikTok</t>
  </si>
  <si>
    <t>TotalEnergies</t>
  </si>
  <si>
    <t xml:space="preserve">Tudor Pro Cycling Team </t>
  </si>
  <si>
    <t>Tudor Pro Cycling Team</t>
  </si>
  <si>
    <t>tudorprocycling</t>
  </si>
  <si>
    <t xml:space="preserve">Team Polti Kometa </t>
  </si>
  <si>
    <t>Team Polti Kometa</t>
  </si>
  <si>
    <t>teampoltikometa</t>
  </si>
  <si>
    <t xml:space="preserve">Q36.5 Pro Cycling Team </t>
  </si>
  <si>
    <t>Q36.5 Pro Cycling Team</t>
  </si>
  <si>
    <t>q36.5_procycling</t>
  </si>
  <si>
    <t xml:space="preserve">Decathlon AG2R La Mondiale Team </t>
  </si>
  <si>
    <t xml:space="preserve">Arkéa - B&amp;B Hotels </t>
  </si>
  <si>
    <t>COFIDIS</t>
  </si>
  <si>
    <t>Soudal - Quick Step</t>
  </si>
  <si>
    <t>Intermarché - Wanty</t>
  </si>
  <si>
    <t>Team Visma | Lease a Bike (TEAM JUMBO-VISMA)</t>
  </si>
  <si>
    <t>Team dsm-firmenich PostNL</t>
  </si>
  <si>
    <t xml:space="preserve">Lotto Dstny </t>
  </si>
  <si>
    <t xml:space="preserve">Astana Qazaqstan Team </t>
  </si>
  <si>
    <t>Uno-X Mobility (Uno-X Pro Cycling Team)</t>
  </si>
  <si>
    <t>EF Education - EasyPost (EF EDUCATION)</t>
  </si>
  <si>
    <t>Lidl - Trek (TREK-SEGAFREDO)</t>
  </si>
  <si>
    <t>avr-24</t>
  </si>
  <si>
    <t>TDF</t>
  </si>
  <si>
    <t>GIRO</t>
  </si>
  <si>
    <t>VUELTA</t>
  </si>
  <si>
    <t>Paris-Nice</t>
  </si>
  <si>
    <t>o</t>
  </si>
  <si>
    <t>Team Jayco AlUla</t>
  </si>
  <si>
    <t>Juan Ayuso</t>
  </si>
  <si>
    <t>Mattias Skjelmose</t>
  </si>
  <si>
    <t>Arnaud De Lie</t>
  </si>
  <si>
    <t>Lenny Martinez</t>
  </si>
  <si>
    <t>Stephen Williams</t>
  </si>
  <si>
    <t>Carlos Rodríguez</t>
  </si>
  <si>
    <t>Jonathan Milan</t>
  </si>
  <si>
    <t>Santiago Buitrago</t>
  </si>
  <si>
    <t>Cian Uijtdebroeks</t>
  </si>
  <si>
    <t>juin-24</t>
  </si>
  <si>
    <t>avr-25</t>
  </si>
  <si>
    <t>Saudi Tour (Alula tour)</t>
  </si>
  <si>
    <t>Saudi Tour (Alula Tour)</t>
  </si>
  <si>
    <t>Benelux Tour (Renewi tour)</t>
  </si>
  <si>
    <t>Benelux Tour (Renewi Tour)</t>
  </si>
  <si>
    <t>juin-25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</si>
</sst>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#,##0_ ;\-#,##0\ 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9"/>
      <color indexed="81"/>
      <name val="Tahoma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 Narrow"/>
      <family val="2"/>
    </font>
    <font>
      <sz val="11"/>
      <color theme="10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indexed="81"/>
      <name val="Tahoma"/>
      <family val="2"/>
    </font>
    <font>
      <sz val="11"/>
      <color rgb="FF000000"/>
      <name val="Arial Narrow"/>
      <family val="2"/>
    </font>
    <font>
      <sz val="11"/>
      <color theme="1"/>
      <name val="Arial Narrow"/>
    </font>
    <font>
      <b/>
      <sz val="11"/>
      <color theme="1"/>
      <name val="Arial Narrow"/>
    </font>
    <font>
      <i/>
      <sz val="11"/>
      <color theme="1"/>
      <name val="Arial Narrow"/>
      <family val="2"/>
    </font>
    <font>
      <sz val="11"/>
      <color theme="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u/>
      <sz val="11"/>
      <color theme="10"/>
      <name val="Arial Narrow"/>
      <family val="2"/>
    </font>
    <font>
      <sz val="11"/>
      <color theme="10"/>
      <name val="Arial Narrow"/>
    </font>
    <font>
      <b/>
      <sz val="11"/>
      <color rgb="FF00B05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33CC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33CC"/>
        <bgColor theme="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theme="1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7030A0"/>
        <bgColor theme="8"/>
      </patternFill>
    </fill>
    <fill>
      <patternFill patternType="solid">
        <fgColor rgb="FF7030A0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indexed="64"/>
      </left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8" tint="0.3999755851924192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4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rgb="FF92CDDC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7" tint="0.3999755851924192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7" tint="0.399975585192419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7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7" tint="0.39997558519241921"/>
      </top>
      <bottom/>
      <diagonal/>
    </border>
    <border>
      <left style="thin">
        <color theme="0" tint="-0.249977111117893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8" tint="0.399975585192419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4" tint="0.39997558519241921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theme="8" tint="0.39997558519241921"/>
      </right>
      <top style="thin">
        <color rgb="FF92CDDC"/>
      </top>
      <bottom style="thin">
        <color rgb="FF92CDDC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592">
    <xf numFmtId="0" fontId="0" fillId="0" borderId="0" xfId="0"/>
    <xf numFmtId="0" fontId="2" fillId="0" borderId="0" xfId="0" applyFont="1"/>
    <xf numFmtId="3" fontId="2" fillId="0" borderId="0" xfId="0" applyNumberFormat="1" applyFont="1"/>
    <xf numFmtId="9" fontId="2" fillId="0" borderId="0" xfId="1" applyFont="1"/>
    <xf numFmtId="0" fontId="2" fillId="0" borderId="2" xfId="0" applyFont="1" applyBorder="1"/>
    <xf numFmtId="3" fontId="2" fillId="0" borderId="3" xfId="0" applyNumberFormat="1" applyFont="1" applyBorder="1"/>
    <xf numFmtId="3" fontId="0" fillId="0" borderId="0" xfId="0" applyNumberFormat="1"/>
    <xf numFmtId="3" fontId="9" fillId="0" borderId="0" xfId="0" applyNumberFormat="1" applyFont="1"/>
    <xf numFmtId="3" fontId="10" fillId="0" borderId="0" xfId="0" applyNumberFormat="1" applyFont="1"/>
    <xf numFmtId="0" fontId="2" fillId="0" borderId="0" xfId="0" applyFont="1" applyProtection="1">
      <protection locked="0"/>
    </xf>
    <xf numFmtId="17" fontId="2" fillId="0" borderId="0" xfId="0" applyNumberFormat="1" applyFont="1" applyProtection="1">
      <protection locked="0"/>
    </xf>
    <xf numFmtId="17" fontId="4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9" fontId="5" fillId="0" borderId="0" xfId="1" applyFont="1" applyProtection="1">
      <protection locked="0"/>
    </xf>
    <xf numFmtId="9" fontId="4" fillId="0" borderId="0" xfId="1" applyFont="1" applyProtection="1">
      <protection locked="0"/>
    </xf>
    <xf numFmtId="9" fontId="2" fillId="0" borderId="0" xfId="1" applyFont="1" applyProtection="1">
      <protection locked="0"/>
    </xf>
    <xf numFmtId="9" fontId="11" fillId="0" borderId="0" xfId="1" applyFont="1" applyProtection="1">
      <protection locked="0"/>
    </xf>
    <xf numFmtId="9" fontId="2" fillId="0" borderId="0" xfId="1" applyFont="1" applyAlignment="1" applyProtection="1">
      <alignment horizontal="right"/>
      <protection locked="0"/>
    </xf>
    <xf numFmtId="0" fontId="20" fillId="0" borderId="0" xfId="0" applyFont="1"/>
    <xf numFmtId="17" fontId="18" fillId="2" borderId="0" xfId="0" applyNumberFormat="1" applyFont="1" applyFill="1"/>
    <xf numFmtId="3" fontId="5" fillId="0" borderId="0" xfId="1" applyNumberFormat="1" applyFont="1" applyProtection="1">
      <protection locked="0"/>
    </xf>
    <xf numFmtId="3" fontId="2" fillId="0" borderId="0" xfId="1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165" fontId="2" fillId="0" borderId="0" xfId="2" applyNumberFormat="1" applyFont="1" applyProtection="1">
      <protection locked="0"/>
    </xf>
    <xf numFmtId="17" fontId="18" fillId="6" borderId="0" xfId="0" applyNumberFormat="1" applyFont="1" applyFill="1" applyAlignment="1">
      <alignment horizontal="left"/>
    </xf>
    <xf numFmtId="0" fontId="2" fillId="0" borderId="0" xfId="0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11" borderId="10" xfId="0" applyFont="1" applyFill="1" applyBorder="1" applyAlignment="1" applyProtection="1">
      <alignment horizontal="left" vertical="center" wrapText="1"/>
      <protection locked="0"/>
    </xf>
    <xf numFmtId="0" fontId="2" fillId="10" borderId="10" xfId="0" applyFont="1" applyFill="1" applyBorder="1" applyAlignment="1" applyProtection="1">
      <alignment horizontal="left" vertical="center" wrapText="1"/>
      <protection locked="0"/>
    </xf>
    <xf numFmtId="166" fontId="2" fillId="0" borderId="0" xfId="1" applyNumberFormat="1" applyFont="1" applyProtection="1">
      <protection locked="0"/>
    </xf>
    <xf numFmtId="17" fontId="18" fillId="8" borderId="13" xfId="0" applyNumberFormat="1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18" fillId="8" borderId="12" xfId="0" applyFont="1" applyFill="1" applyBorder="1" applyAlignment="1" applyProtection="1">
      <alignment horizontal="left"/>
      <protection locked="0"/>
    </xf>
    <xf numFmtId="0" fontId="18" fillId="8" borderId="1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7" fontId="2" fillId="0" borderId="1" xfId="0" applyNumberFormat="1" applyFont="1" applyBorder="1" applyAlignment="1">
      <alignment horizontal="left"/>
    </xf>
    <xf numFmtId="17" fontId="2" fillId="0" borderId="0" xfId="0" applyNumberFormat="1" applyFont="1" applyAlignment="1">
      <alignment horizontal="left"/>
    </xf>
    <xf numFmtId="17" fontId="18" fillId="3" borderId="0" xfId="0" applyNumberFormat="1" applyFont="1" applyFill="1" applyAlignment="1">
      <alignment horizontal="left"/>
    </xf>
    <xf numFmtId="167" fontId="2" fillId="0" borderId="0" xfId="2" applyNumberFormat="1" applyFont="1" applyProtection="1">
      <protection locked="0"/>
    </xf>
    <xf numFmtId="17" fontId="0" fillId="0" borderId="0" xfId="0" applyNumberFormat="1" applyAlignment="1">
      <alignment horizontal="left"/>
    </xf>
    <xf numFmtId="17" fontId="2" fillId="0" borderId="0" xfId="0" applyNumberFormat="1" applyFont="1"/>
    <xf numFmtId="0" fontId="28" fillId="9" borderId="0" xfId="3" applyFont="1" applyFill="1" applyProtection="1">
      <protection locked="0"/>
    </xf>
    <xf numFmtId="0" fontId="2" fillId="7" borderId="0" xfId="0" applyFont="1" applyFill="1" applyProtection="1">
      <protection locked="0"/>
    </xf>
    <xf numFmtId="165" fontId="2" fillId="7" borderId="0" xfId="2" applyNumberFormat="1" applyFont="1" applyFill="1" applyProtection="1">
      <protection locked="0"/>
    </xf>
    <xf numFmtId="165" fontId="5" fillId="0" borderId="14" xfId="2" applyNumberFormat="1" applyFont="1" applyBorder="1" applyProtection="1">
      <protection locked="0"/>
    </xf>
    <xf numFmtId="0" fontId="18" fillId="4" borderId="15" xfId="0" applyFont="1" applyFill="1" applyBorder="1"/>
    <xf numFmtId="17" fontId="18" fillId="4" borderId="15" xfId="0" applyNumberFormat="1" applyFont="1" applyFill="1" applyBorder="1"/>
    <xf numFmtId="0" fontId="5" fillId="0" borderId="15" xfId="0" applyFont="1" applyBorder="1"/>
    <xf numFmtId="0" fontId="26" fillId="0" borderId="15" xfId="3" applyFont="1" applyBorder="1"/>
    <xf numFmtId="165" fontId="5" fillId="0" borderId="15" xfId="2" applyNumberFormat="1" applyFont="1" applyBorder="1"/>
    <xf numFmtId="165" fontId="5" fillId="0" borderId="15" xfId="2" applyNumberFormat="1" applyFont="1" applyBorder="1" applyProtection="1">
      <protection locked="0"/>
    </xf>
    <xf numFmtId="3" fontId="2" fillId="0" borderId="15" xfId="1" applyNumberFormat="1" applyFont="1" applyBorder="1" applyProtection="1">
      <protection locked="0"/>
    </xf>
    <xf numFmtId="0" fontId="2" fillId="0" borderId="15" xfId="0" applyFont="1" applyBorder="1"/>
    <xf numFmtId="0" fontId="25" fillId="0" borderId="15" xfId="3" applyBorder="1"/>
    <xf numFmtId="0" fontId="2" fillId="0" borderId="15" xfId="0" applyFont="1" applyBorder="1" applyProtection="1">
      <protection locked="0"/>
    </xf>
    <xf numFmtId="165" fontId="2" fillId="0" borderId="15" xfId="2" applyNumberFormat="1" applyFont="1" applyBorder="1"/>
    <xf numFmtId="165" fontId="2" fillId="0" borderId="15" xfId="2" applyNumberFormat="1" applyFont="1" applyBorder="1" applyProtection="1">
      <protection locked="0"/>
    </xf>
    <xf numFmtId="0" fontId="2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25" fillId="0" borderId="15" xfId="3" applyBorder="1" applyProtection="1">
      <protection locked="0"/>
    </xf>
    <xf numFmtId="165" fontId="5" fillId="0" borderId="15" xfId="1" applyNumberFormat="1" applyFont="1" applyBorder="1" applyAlignment="1" applyProtection="1">
      <alignment horizontal="right"/>
      <protection locked="0"/>
    </xf>
    <xf numFmtId="165" fontId="5" fillId="0" borderId="15" xfId="0" applyNumberFormat="1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3" fillId="0" borderId="17" xfId="0" applyFont="1" applyBorder="1" applyProtection="1">
      <protection locked="0"/>
    </xf>
    <xf numFmtId="17" fontId="2" fillId="0" borderId="17" xfId="0" applyNumberFormat="1" applyFont="1" applyBorder="1" applyProtection="1">
      <protection locked="0"/>
    </xf>
    <xf numFmtId="0" fontId="5" fillId="0" borderId="19" xfId="0" applyFont="1" applyBorder="1" applyProtection="1">
      <protection locked="0"/>
    </xf>
    <xf numFmtId="0" fontId="2" fillId="0" borderId="19" xfId="0" applyFont="1" applyBorder="1" applyProtection="1">
      <protection locked="0"/>
    </xf>
    <xf numFmtId="3" fontId="2" fillId="0" borderId="15" xfId="0" applyNumberFormat="1" applyFont="1" applyBorder="1" applyProtection="1">
      <protection locked="0"/>
    </xf>
    <xf numFmtId="0" fontId="15" fillId="0" borderId="19" xfId="0" applyFon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3" fontId="15" fillId="0" borderId="15" xfId="0" applyNumberFormat="1" applyFont="1" applyBorder="1" applyProtection="1">
      <protection locked="0"/>
    </xf>
    <xf numFmtId="3" fontId="14" fillId="0" borderId="15" xfId="0" applyNumberFormat="1" applyFont="1" applyBorder="1" applyProtection="1">
      <protection locked="0"/>
    </xf>
    <xf numFmtId="0" fontId="2" fillId="0" borderId="19" xfId="0" applyFont="1" applyBorder="1" applyAlignment="1" applyProtection="1">
      <alignment horizontal="right"/>
      <protection locked="0"/>
    </xf>
    <xf numFmtId="0" fontId="5" fillId="0" borderId="19" xfId="0" applyFont="1" applyBorder="1" applyAlignment="1" applyProtection="1">
      <alignment horizontal="right"/>
      <protection locked="0"/>
    </xf>
    <xf numFmtId="0" fontId="16" fillId="0" borderId="19" xfId="0" applyFont="1" applyBorder="1" applyAlignment="1" applyProtection="1">
      <alignment horizontal="right"/>
      <protection locked="0"/>
    </xf>
    <xf numFmtId="0" fontId="16" fillId="0" borderId="15" xfId="0" applyFont="1" applyBorder="1" applyProtection="1">
      <protection locked="0"/>
    </xf>
    <xf numFmtId="3" fontId="16" fillId="0" borderId="15" xfId="0" applyNumberFormat="1" applyFont="1" applyBorder="1" applyProtection="1">
      <protection locked="0"/>
    </xf>
    <xf numFmtId="0" fontId="2" fillId="0" borderId="21" xfId="0" applyFont="1" applyBorder="1" applyAlignment="1" applyProtection="1">
      <alignment horizontal="right"/>
      <protection locked="0"/>
    </xf>
    <xf numFmtId="0" fontId="8" fillId="0" borderId="19" xfId="0" applyFont="1" applyBorder="1" applyAlignment="1" applyProtection="1">
      <alignment horizontal="right"/>
      <protection locked="0"/>
    </xf>
    <xf numFmtId="0" fontId="8" fillId="0" borderId="15" xfId="0" applyFont="1" applyBorder="1" applyProtection="1">
      <protection locked="0"/>
    </xf>
    <xf numFmtId="3" fontId="8" fillId="0" borderId="15" xfId="0" applyNumberFormat="1" applyFont="1" applyBorder="1" applyProtection="1">
      <protection locked="0"/>
    </xf>
    <xf numFmtId="0" fontId="17" fillId="0" borderId="19" xfId="0" applyFont="1" applyBorder="1" applyAlignment="1" applyProtection="1">
      <alignment horizontal="right"/>
      <protection locked="0"/>
    </xf>
    <xf numFmtId="3" fontId="17" fillId="0" borderId="15" xfId="0" applyNumberFormat="1" applyFont="1" applyBorder="1" applyProtection="1">
      <protection locked="0"/>
    </xf>
    <xf numFmtId="0" fontId="30" fillId="0" borderId="19" xfId="0" applyFont="1" applyBorder="1" applyAlignment="1" applyProtection="1">
      <alignment horizontal="right"/>
      <protection locked="0"/>
    </xf>
    <xf numFmtId="3" fontId="30" fillId="0" borderId="15" xfId="0" applyNumberFormat="1" applyFont="1" applyBorder="1" applyProtection="1">
      <protection locked="0"/>
    </xf>
    <xf numFmtId="0" fontId="2" fillId="0" borderId="21" xfId="0" applyFont="1" applyBorder="1" applyProtection="1">
      <protection locked="0"/>
    </xf>
    <xf numFmtId="3" fontId="2" fillId="0" borderId="15" xfId="0" applyNumberFormat="1" applyFont="1" applyBorder="1"/>
    <xf numFmtId="0" fontId="16" fillId="0" borderId="15" xfId="0" applyFont="1" applyBorder="1"/>
    <xf numFmtId="3" fontId="16" fillId="0" borderId="15" xfId="0" applyNumberFormat="1" applyFont="1" applyBorder="1"/>
    <xf numFmtId="3" fontId="2" fillId="0" borderId="15" xfId="0" applyNumberFormat="1" applyFont="1" applyBorder="1" applyAlignment="1">
      <alignment horizontal="right"/>
    </xf>
    <xf numFmtId="3" fontId="14" fillId="0" borderId="15" xfId="0" applyNumberFormat="1" applyFont="1" applyBorder="1"/>
    <xf numFmtId="3" fontId="23" fillId="0" borderId="15" xfId="0" applyNumberFormat="1" applyFont="1" applyBorder="1"/>
    <xf numFmtId="0" fontId="18" fillId="6" borderId="11" xfId="0" applyFont="1" applyFill="1" applyBorder="1" applyAlignment="1">
      <alignment horizontal="left"/>
    </xf>
    <xf numFmtId="0" fontId="18" fillId="6" borderId="7" xfId="0" applyFont="1" applyFill="1" applyBorder="1" applyAlignment="1">
      <alignment horizontal="left"/>
    </xf>
    <xf numFmtId="17" fontId="18" fillId="6" borderId="8" xfId="0" applyNumberFormat="1" applyFont="1" applyFill="1" applyBorder="1" applyAlignment="1">
      <alignment horizontal="left"/>
    </xf>
    <xf numFmtId="17" fontId="18" fillId="6" borderId="7" xfId="0" applyNumberFormat="1" applyFont="1" applyFill="1" applyBorder="1" applyAlignment="1">
      <alignment horizontal="left"/>
    </xf>
    <xf numFmtId="17" fontId="18" fillId="4" borderId="4" xfId="0" applyNumberFormat="1" applyFont="1" applyFill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27" fillId="0" borderId="15" xfId="0" applyFont="1" applyBorder="1"/>
    <xf numFmtId="3" fontId="2" fillId="0" borderId="15" xfId="2" applyNumberFormat="1" applyFont="1" applyBorder="1"/>
    <xf numFmtId="17" fontId="18" fillId="3" borderId="1" xfId="0" applyNumberFormat="1" applyFont="1" applyFill="1" applyBorder="1" applyAlignment="1">
      <alignment horizontal="left"/>
    </xf>
    <xf numFmtId="3" fontId="19" fillId="0" borderId="15" xfId="0" applyNumberFormat="1" applyFont="1" applyBorder="1"/>
    <xf numFmtId="3" fontId="21" fillId="0" borderId="15" xfId="0" applyNumberFormat="1" applyFont="1" applyBorder="1"/>
    <xf numFmtId="0" fontId="20" fillId="0" borderId="15" xfId="0" applyFont="1" applyBorder="1"/>
    <xf numFmtId="17" fontId="18" fillId="2" borderId="1" xfId="0" applyNumberFormat="1" applyFont="1" applyFill="1" applyBorder="1"/>
    <xf numFmtId="17" fontId="18" fillId="6" borderId="1" xfId="0" applyNumberFormat="1" applyFont="1" applyFill="1" applyBorder="1"/>
    <xf numFmtId="17" fontId="18" fillId="6" borderId="0" xfId="0" applyNumberFormat="1" applyFont="1" applyFill="1"/>
    <xf numFmtId="3" fontId="30" fillId="0" borderId="15" xfId="0" applyNumberFormat="1" applyFont="1" applyBorder="1"/>
    <xf numFmtId="3" fontId="14" fillId="0" borderId="20" xfId="0" applyNumberFormat="1" applyFont="1" applyBorder="1" applyProtection="1">
      <protection locked="0"/>
    </xf>
    <xf numFmtId="165" fontId="2" fillId="0" borderId="20" xfId="2" applyNumberFormat="1" applyFont="1" applyBorder="1" applyProtection="1">
      <protection locked="0"/>
    </xf>
    <xf numFmtId="165" fontId="5" fillId="0" borderId="20" xfId="2" applyNumberFormat="1" applyFont="1" applyBorder="1" applyProtection="1">
      <protection locked="0"/>
    </xf>
    <xf numFmtId="165" fontId="2" fillId="0" borderId="20" xfId="2" applyNumberFormat="1" applyFont="1" applyBorder="1"/>
    <xf numFmtId="3" fontId="2" fillId="0" borderId="20" xfId="0" applyNumberFormat="1" applyFont="1" applyBorder="1"/>
    <xf numFmtId="165" fontId="2" fillId="0" borderId="15" xfId="2" applyNumberFormat="1" applyFont="1" applyBorder="1" applyAlignment="1">
      <alignment horizontal="center"/>
    </xf>
    <xf numFmtId="0" fontId="29" fillId="0" borderId="15" xfId="3" applyFont="1" applyBorder="1" applyProtection="1">
      <protection locked="0"/>
    </xf>
    <xf numFmtId="165" fontId="2" fillId="0" borderId="15" xfId="2" applyNumberFormat="1" applyFont="1" applyFill="1" applyBorder="1"/>
    <xf numFmtId="165" fontId="2" fillId="0" borderId="15" xfId="2" applyNumberFormat="1" applyFont="1" applyFill="1" applyBorder="1" applyProtection="1">
      <protection locked="0"/>
    </xf>
    <xf numFmtId="0" fontId="25" fillId="0" borderId="0" xfId="3" applyBorder="1"/>
    <xf numFmtId="0" fontId="25" fillId="0" borderId="15" xfId="3" applyFill="1" applyBorder="1"/>
    <xf numFmtId="0" fontId="31" fillId="0" borderId="15" xfId="3" applyFont="1" applyFill="1" applyBorder="1"/>
    <xf numFmtId="0" fontId="12" fillId="0" borderId="15" xfId="0" applyFont="1" applyBorder="1"/>
    <xf numFmtId="0" fontId="25" fillId="0" borderId="17" xfId="3" applyFill="1" applyBorder="1"/>
    <xf numFmtId="17" fontId="18" fillId="4" borderId="11" xfId="0" applyNumberFormat="1" applyFont="1" applyFill="1" applyBorder="1" applyAlignment="1">
      <alignment horizontal="left"/>
    </xf>
    <xf numFmtId="0" fontId="12" fillId="0" borderId="17" xfId="0" applyFont="1" applyBorder="1"/>
    <xf numFmtId="0" fontId="9" fillId="0" borderId="14" xfId="0" applyFont="1" applyBorder="1"/>
    <xf numFmtId="0" fontId="5" fillId="0" borderId="14" xfId="0" applyFont="1" applyBorder="1" applyProtection="1">
      <protection locked="0"/>
    </xf>
    <xf numFmtId="0" fontId="0" fillId="0" borderId="14" xfId="0" applyBorder="1"/>
    <xf numFmtId="0" fontId="2" fillId="0" borderId="14" xfId="0" applyFont="1" applyBorder="1" applyProtection="1">
      <protection locked="0"/>
    </xf>
    <xf numFmtId="165" fontId="2" fillId="0" borderId="14" xfId="2" applyNumberFormat="1" applyFont="1" applyBorder="1" applyProtection="1">
      <protection locked="0"/>
    </xf>
    <xf numFmtId="0" fontId="29" fillId="0" borderId="14" xfId="3" applyFont="1" applyBorder="1"/>
    <xf numFmtId="0" fontId="28" fillId="0" borderId="14" xfId="3" applyFont="1" applyBorder="1"/>
    <xf numFmtId="0" fontId="29" fillId="0" borderId="14" xfId="3" applyFont="1" applyBorder="1" applyProtection="1">
      <protection locked="0"/>
    </xf>
    <xf numFmtId="165" fontId="5" fillId="0" borderId="14" xfId="2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Protection="1">
      <protection locked="0"/>
    </xf>
    <xf numFmtId="0" fontId="26" fillId="0" borderId="15" xfId="3" applyFont="1" applyBorder="1" applyProtection="1">
      <protection locked="0"/>
    </xf>
    <xf numFmtId="3" fontId="5" fillId="0" borderId="15" xfId="0" applyNumberFormat="1" applyFont="1" applyBorder="1" applyProtection="1">
      <protection locked="0"/>
    </xf>
    <xf numFmtId="3" fontId="2" fillId="0" borderId="15" xfId="0" applyNumberFormat="1" applyFont="1" applyBorder="1" applyAlignment="1" applyProtection="1">
      <alignment horizontal="right"/>
      <protection locked="0"/>
    </xf>
    <xf numFmtId="0" fontId="2" fillId="0" borderId="22" xfId="0" applyFont="1" applyBorder="1" applyProtection="1">
      <protection locked="0"/>
    </xf>
    <xf numFmtId="3" fontId="2" fillId="0" borderId="22" xfId="0" applyNumberFormat="1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0" fillId="5" borderId="14" xfId="0" applyFill="1" applyBorder="1"/>
    <xf numFmtId="3" fontId="2" fillId="0" borderId="20" xfId="0" applyNumberFormat="1" applyFont="1" applyBorder="1" applyProtection="1">
      <protection locked="0"/>
    </xf>
    <xf numFmtId="3" fontId="5" fillId="0" borderId="20" xfId="0" applyNumberFormat="1" applyFont="1" applyBorder="1" applyProtection="1">
      <protection locked="0"/>
    </xf>
    <xf numFmtId="0" fontId="29" fillId="0" borderId="15" xfId="0" applyFont="1" applyBorder="1" applyProtection="1">
      <protection locked="0"/>
    </xf>
    <xf numFmtId="0" fontId="28" fillId="0" borderId="14" xfId="0" applyFont="1" applyBorder="1" applyProtection="1">
      <protection locked="0"/>
    </xf>
    <xf numFmtId="3" fontId="2" fillId="0" borderId="15" xfId="1" applyNumberFormat="1" applyFont="1" applyFill="1" applyBorder="1"/>
    <xf numFmtId="3" fontId="2" fillId="0" borderId="22" xfId="0" applyNumberFormat="1" applyFont="1" applyBorder="1"/>
    <xf numFmtId="3" fontId="2" fillId="0" borderId="15" xfId="2" applyNumberFormat="1" applyFont="1" applyFill="1" applyBorder="1"/>
    <xf numFmtId="165" fontId="2" fillId="0" borderId="22" xfId="2" applyNumberFormat="1" applyFont="1" applyBorder="1"/>
    <xf numFmtId="0" fontId="33" fillId="0" borderId="19" xfId="0" applyFont="1" applyBorder="1" applyAlignment="1" applyProtection="1">
      <alignment horizontal="right"/>
      <protection locked="0"/>
    </xf>
    <xf numFmtId="0" fontId="34" fillId="0" borderId="15" xfId="0" applyFont="1" applyBorder="1" applyProtection="1">
      <protection locked="0"/>
    </xf>
    <xf numFmtId="3" fontId="33" fillId="0" borderId="15" xfId="0" applyNumberFormat="1" applyFont="1" applyBorder="1" applyProtection="1">
      <protection locked="0"/>
    </xf>
    <xf numFmtId="3" fontId="34" fillId="0" borderId="15" xfId="0" applyNumberFormat="1" applyFont="1" applyBorder="1" applyProtection="1">
      <protection locked="0"/>
    </xf>
    <xf numFmtId="0" fontId="25" fillId="0" borderId="15" xfId="3" applyFill="1" applyBorder="1" applyProtection="1">
      <protection locked="0"/>
    </xf>
    <xf numFmtId="0" fontId="28" fillId="0" borderId="14" xfId="3" applyFont="1" applyFill="1" applyBorder="1" applyProtection="1">
      <protection locked="0"/>
    </xf>
    <xf numFmtId="165" fontId="2" fillId="0" borderId="14" xfId="2" applyNumberFormat="1" applyFont="1" applyFill="1" applyBorder="1" applyAlignment="1" applyProtection="1">
      <alignment horizontal="center" vertical="center"/>
      <protection locked="0"/>
    </xf>
    <xf numFmtId="165" fontId="2" fillId="0" borderId="14" xfId="2" applyNumberFormat="1" applyFont="1" applyFill="1" applyBorder="1" applyProtection="1">
      <protection locked="0"/>
    </xf>
    <xf numFmtId="165" fontId="5" fillId="0" borderId="14" xfId="2" applyNumberFormat="1" applyFont="1" applyFill="1" applyBorder="1" applyProtection="1">
      <protection locked="0"/>
    </xf>
    <xf numFmtId="0" fontId="18" fillId="3" borderId="25" xfId="0" applyFont="1" applyFill="1" applyBorder="1" applyAlignment="1">
      <alignment horizontal="left"/>
    </xf>
    <xf numFmtId="0" fontId="18" fillId="3" borderId="0" xfId="0" applyFont="1" applyFill="1" applyAlignment="1">
      <alignment horizontal="left"/>
    </xf>
    <xf numFmtId="0" fontId="25" fillId="0" borderId="15" xfId="3" applyBorder="1" applyProtection="1"/>
    <xf numFmtId="0" fontId="25" fillId="0" borderId="15" xfId="3" applyFill="1" applyBorder="1" applyProtection="1"/>
    <xf numFmtId="0" fontId="25" fillId="0" borderId="0" xfId="3" applyFill="1" applyBorder="1" applyProtection="1"/>
    <xf numFmtId="0" fontId="22" fillId="0" borderId="15" xfId="0" applyFont="1" applyBorder="1"/>
    <xf numFmtId="0" fontId="18" fillId="2" borderId="5" xfId="0" applyFont="1" applyFill="1" applyBorder="1"/>
    <xf numFmtId="0" fontId="18" fillId="2" borderId="24" xfId="0" applyFont="1" applyFill="1" applyBorder="1"/>
    <xf numFmtId="0" fontId="2" fillId="0" borderId="15" xfId="3" applyFont="1" applyFill="1" applyBorder="1" applyProtection="1"/>
    <xf numFmtId="0" fontId="2" fillId="0" borderId="22" xfId="3" applyFont="1" applyFill="1" applyBorder="1" applyProtection="1"/>
    <xf numFmtId="0" fontId="25" fillId="0" borderId="22" xfId="3" applyBorder="1" applyProtection="1"/>
    <xf numFmtId="0" fontId="18" fillId="6" borderId="5" xfId="0" applyFont="1" applyFill="1" applyBorder="1"/>
    <xf numFmtId="0" fontId="18" fillId="6" borderId="24" xfId="0" applyFont="1" applyFill="1" applyBorder="1"/>
    <xf numFmtId="0" fontId="25" fillId="0" borderId="22" xfId="3" applyFill="1" applyBorder="1" applyProtection="1"/>
    <xf numFmtId="0" fontId="2" fillId="0" borderId="22" xfId="0" applyFont="1" applyBorder="1"/>
    <xf numFmtId="0" fontId="2" fillId="11" borderId="10" xfId="0" applyFont="1" applyFill="1" applyBorder="1" applyAlignment="1">
      <alignment horizontal="left" vertical="center" wrapText="1"/>
    </xf>
    <xf numFmtId="0" fontId="2" fillId="10" borderId="1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166" fontId="2" fillId="0" borderId="15" xfId="1" applyNumberFormat="1" applyFont="1" applyFill="1" applyBorder="1"/>
    <xf numFmtId="165" fontId="2" fillId="0" borderId="15" xfId="2" applyNumberFormat="1" applyFont="1" applyFill="1" applyBorder="1" applyAlignment="1">
      <alignment horizontal="center"/>
    </xf>
    <xf numFmtId="165" fontId="2" fillId="0" borderId="22" xfId="2" applyNumberFormat="1" applyFont="1" applyFill="1" applyBorder="1" applyAlignment="1">
      <alignment horizontal="center"/>
    </xf>
    <xf numFmtId="3" fontId="35" fillId="0" borderId="15" xfId="2" applyNumberFormat="1" applyFont="1" applyFill="1" applyBorder="1"/>
    <xf numFmtId="0" fontId="35" fillId="0" borderId="15" xfId="3" applyFont="1" applyFill="1" applyBorder="1" applyProtection="1"/>
    <xf numFmtId="3" fontId="35" fillId="0" borderId="15" xfId="0" applyNumberFormat="1" applyFont="1" applyBorder="1"/>
    <xf numFmtId="1" fontId="0" fillId="0" borderId="0" xfId="0" applyNumberFormat="1"/>
    <xf numFmtId="17" fontId="35" fillId="0" borderId="17" xfId="0" applyNumberFormat="1" applyFont="1" applyBorder="1" applyProtection="1">
      <protection locked="0"/>
    </xf>
    <xf numFmtId="3" fontId="35" fillId="0" borderId="15" xfId="1" applyNumberFormat="1" applyFont="1" applyBorder="1" applyProtection="1">
      <protection locked="0"/>
    </xf>
    <xf numFmtId="3" fontId="35" fillId="0" borderId="17" xfId="1" applyNumberFormat="1" applyFont="1" applyBorder="1" applyProtection="1">
      <protection locked="0"/>
    </xf>
    <xf numFmtId="3" fontId="35" fillId="0" borderId="15" xfId="0" applyNumberFormat="1" applyFont="1" applyBorder="1" applyProtection="1">
      <protection locked="0"/>
    </xf>
    <xf numFmtId="3" fontId="2" fillId="0" borderId="18" xfId="1" applyNumberFormat="1" applyFont="1" applyFill="1" applyBorder="1" applyProtection="1">
      <protection locked="0"/>
    </xf>
    <xf numFmtId="3" fontId="2" fillId="0" borderId="17" xfId="1" applyNumberFormat="1" applyFont="1" applyBorder="1" applyProtection="1">
      <protection locked="0"/>
    </xf>
    <xf numFmtId="9" fontId="5" fillId="0" borderId="17" xfId="1" applyFont="1" applyBorder="1" applyProtection="1">
      <protection locked="0"/>
    </xf>
    <xf numFmtId="17" fontId="5" fillId="0" borderId="17" xfId="0" applyNumberFormat="1" applyFont="1" applyBorder="1" applyProtection="1">
      <protection locked="0"/>
    </xf>
    <xf numFmtId="0" fontId="2" fillId="0" borderId="15" xfId="1" applyNumberFormat="1" applyFont="1" applyBorder="1" applyProtection="1">
      <protection locked="0"/>
    </xf>
    <xf numFmtId="3" fontId="2" fillId="0" borderId="15" xfId="1" applyNumberFormat="1" applyFont="1" applyFill="1" applyBorder="1" applyProtection="1">
      <protection locked="0"/>
    </xf>
    <xf numFmtId="3" fontId="5" fillId="0" borderId="15" xfId="1" applyNumberFormat="1" applyFont="1" applyFill="1" applyBorder="1" applyProtection="1">
      <protection locked="0"/>
    </xf>
    <xf numFmtId="17" fontId="18" fillId="4" borderId="25" xfId="0" applyNumberFormat="1" applyFont="1" applyFill="1" applyBorder="1" applyProtection="1">
      <protection locked="0"/>
    </xf>
    <xf numFmtId="3" fontId="2" fillId="0" borderId="17" xfId="1" applyNumberFormat="1" applyFont="1" applyFill="1" applyBorder="1" applyProtection="1">
      <protection locked="0"/>
    </xf>
    <xf numFmtId="17" fontId="18" fillId="4" borderId="26" xfId="0" applyNumberFormat="1" applyFont="1" applyFill="1" applyBorder="1"/>
    <xf numFmtId="3" fontId="2" fillId="0" borderId="0" xfId="0" applyNumberFormat="1" applyFont="1" applyProtection="1">
      <protection locked="0"/>
    </xf>
    <xf numFmtId="166" fontId="35" fillId="0" borderId="18" xfId="1" applyNumberFormat="1" applyFont="1" applyBorder="1" applyProtection="1">
      <protection locked="0"/>
    </xf>
    <xf numFmtId="166" fontId="35" fillId="0" borderId="20" xfId="1" applyNumberFormat="1" applyFont="1" applyBorder="1" applyProtection="1">
      <protection locked="0"/>
    </xf>
    <xf numFmtId="9" fontId="2" fillId="0" borderId="18" xfId="1" applyFont="1" applyFill="1" applyBorder="1" applyProtection="1">
      <protection locked="0"/>
    </xf>
    <xf numFmtId="9" fontId="2" fillId="0" borderId="17" xfId="1" applyFont="1" applyFill="1" applyBorder="1" applyProtection="1">
      <protection locked="0"/>
    </xf>
    <xf numFmtId="9" fontId="2" fillId="0" borderId="15" xfId="1" applyFont="1" applyFill="1" applyBorder="1" applyProtection="1">
      <protection locked="0"/>
    </xf>
    <xf numFmtId="17" fontId="2" fillId="0" borderId="0" xfId="0" applyNumberFormat="1" applyFont="1" applyAlignment="1" applyProtection="1">
      <alignment horizontal="left"/>
      <protection locked="0"/>
    </xf>
    <xf numFmtId="166" fontId="2" fillId="0" borderId="15" xfId="0" applyNumberFormat="1" applyFont="1" applyBorder="1"/>
    <xf numFmtId="166" fontId="2" fillId="0" borderId="17" xfId="1" applyNumberFormat="1" applyFont="1" applyFill="1" applyBorder="1"/>
    <xf numFmtId="166" fontId="2" fillId="0" borderId="22" xfId="1" applyNumberFormat="1" applyFont="1" applyFill="1" applyBorder="1"/>
    <xf numFmtId="3" fontId="2" fillId="0" borderId="15" xfId="1" applyNumberFormat="1" applyFont="1" applyBorder="1"/>
    <xf numFmtId="3" fontId="2" fillId="0" borderId="17" xfId="1" applyNumberFormat="1" applyFont="1" applyBorder="1"/>
    <xf numFmtId="3" fontId="2" fillId="0" borderId="17" xfId="0" applyNumberFormat="1" applyFont="1" applyBorder="1"/>
    <xf numFmtId="17" fontId="18" fillId="4" borderId="0" xfId="0" applyNumberFormat="1" applyFont="1" applyFill="1" applyAlignment="1">
      <alignment horizontal="left"/>
    </xf>
    <xf numFmtId="165" fontId="2" fillId="0" borderId="20" xfId="2" applyNumberFormat="1" applyFont="1" applyFill="1" applyBorder="1" applyProtection="1">
      <protection locked="0"/>
    </xf>
    <xf numFmtId="165" fontId="2" fillId="0" borderId="18" xfId="2" applyNumberFormat="1" applyFont="1" applyFill="1" applyBorder="1" applyProtection="1">
      <protection locked="0"/>
    </xf>
    <xf numFmtId="3" fontId="2" fillId="0" borderId="17" xfId="1" applyNumberFormat="1" applyFont="1" applyFill="1" applyBorder="1"/>
    <xf numFmtId="0" fontId="2" fillId="0" borderId="15" xfId="1" applyNumberFormat="1" applyFont="1" applyFill="1" applyBorder="1"/>
    <xf numFmtId="17" fontId="19" fillId="0" borderId="25" xfId="0" applyNumberFormat="1" applyFont="1" applyBorder="1" applyAlignment="1">
      <alignment horizontal="left"/>
    </xf>
    <xf numFmtId="3" fontId="21" fillId="0" borderId="15" xfId="1" applyNumberFormat="1" applyFont="1" applyFill="1" applyBorder="1"/>
    <xf numFmtId="0" fontId="20" fillId="0" borderId="5" xfId="0" applyFont="1" applyBorder="1"/>
    <xf numFmtId="17" fontId="19" fillId="0" borderId="5" xfId="0" applyNumberFormat="1" applyFont="1" applyBorder="1"/>
    <xf numFmtId="3" fontId="2" fillId="0" borderId="22" xfId="1" applyNumberFormat="1" applyFont="1" applyFill="1" applyBorder="1"/>
    <xf numFmtId="17" fontId="18" fillId="6" borderId="5" xfId="0" applyNumberFormat="1" applyFont="1" applyFill="1" applyBorder="1"/>
    <xf numFmtId="0" fontId="24" fillId="6" borderId="9" xfId="0" applyFont="1" applyFill="1" applyBorder="1"/>
    <xf numFmtId="17" fontId="20" fillId="0" borderId="25" xfId="0" applyNumberFormat="1" applyFont="1" applyBorder="1" applyAlignment="1">
      <alignment horizontal="left"/>
    </xf>
    <xf numFmtId="17" fontId="20" fillId="0" borderId="5" xfId="0" applyNumberFormat="1" applyFont="1" applyBorder="1"/>
    <xf numFmtId="0" fontId="25" fillId="0" borderId="0" xfId="3" applyBorder="1" applyProtection="1"/>
    <xf numFmtId="3" fontId="16" fillId="0" borderId="20" xfId="0" applyNumberFormat="1" applyFont="1" applyBorder="1" applyProtection="1">
      <protection locked="0"/>
    </xf>
    <xf numFmtId="3" fontId="5" fillId="0" borderId="17" xfId="0" applyNumberFormat="1" applyFont="1" applyBorder="1" applyProtection="1">
      <protection locked="0"/>
    </xf>
    <xf numFmtId="3" fontId="5" fillId="0" borderId="17" xfId="1" applyNumberFormat="1" applyFont="1" applyFill="1" applyBorder="1" applyProtection="1">
      <protection locked="0"/>
    </xf>
    <xf numFmtId="17" fontId="5" fillId="0" borderId="17" xfId="1" applyNumberFormat="1" applyFont="1" applyBorder="1" applyProtection="1">
      <protection locked="0"/>
    </xf>
    <xf numFmtId="0" fontId="0" fillId="0" borderId="0" xfId="0" quotePrefix="1"/>
    <xf numFmtId="3" fontId="37" fillId="0" borderId="0" xfId="0" applyNumberFormat="1" applyFont="1"/>
    <xf numFmtId="3" fontId="38" fillId="0" borderId="0" xfId="1" applyNumberFormat="1" applyFont="1" applyProtection="1">
      <protection locked="0"/>
    </xf>
    <xf numFmtId="3" fontId="39" fillId="0" borderId="0" xfId="1" applyNumberFormat="1" applyFont="1" applyProtection="1">
      <protection locked="0"/>
    </xf>
    <xf numFmtId="17" fontId="38" fillId="0" borderId="17" xfId="0" applyNumberFormat="1" applyFont="1" applyBorder="1" applyProtection="1">
      <protection locked="0"/>
    </xf>
    <xf numFmtId="165" fontId="5" fillId="0" borderId="27" xfId="2" applyNumberFormat="1" applyFont="1" applyBorder="1" applyProtection="1">
      <protection locked="0"/>
    </xf>
    <xf numFmtId="3" fontId="38" fillId="0" borderId="18" xfId="1" applyNumberFormat="1" applyFont="1" applyFill="1" applyBorder="1" applyProtection="1">
      <protection locked="0"/>
    </xf>
    <xf numFmtId="3" fontId="39" fillId="0" borderId="18" xfId="1" applyNumberFormat="1" applyFont="1" applyFill="1" applyBorder="1" applyProtection="1">
      <protection locked="0"/>
    </xf>
    <xf numFmtId="0" fontId="38" fillId="0" borderId="18" xfId="1" applyNumberFormat="1" applyFont="1" applyBorder="1" applyProtection="1">
      <protection locked="0"/>
    </xf>
    <xf numFmtId="17" fontId="39" fillId="0" borderId="17" xfId="1" applyNumberFormat="1" applyFont="1" applyBorder="1" applyProtection="1">
      <protection locked="0"/>
    </xf>
    <xf numFmtId="3" fontId="38" fillId="0" borderId="0" xfId="0" applyNumberFormat="1" applyFont="1"/>
    <xf numFmtId="0" fontId="38" fillId="0" borderId="0" xfId="0" applyFont="1"/>
    <xf numFmtId="17" fontId="38" fillId="0" borderId="0" xfId="0" applyNumberFormat="1" applyFont="1" applyAlignment="1">
      <alignment horizontal="left"/>
    </xf>
    <xf numFmtId="3" fontId="20" fillId="0" borderId="0" xfId="0" applyNumberFormat="1" applyFont="1"/>
    <xf numFmtId="9" fontId="20" fillId="0" borderId="0" xfId="1" applyFont="1"/>
    <xf numFmtId="17" fontId="2" fillId="0" borderId="29" xfId="0" applyNumberFormat="1" applyFont="1" applyBorder="1" applyAlignment="1">
      <alignment horizontal="left"/>
    </xf>
    <xf numFmtId="17" fontId="2" fillId="0" borderId="28" xfId="0" applyNumberFormat="1" applyFont="1" applyBorder="1"/>
    <xf numFmtId="3" fontId="40" fillId="0" borderId="0" xfId="0" applyNumberFormat="1" applyFont="1"/>
    <xf numFmtId="3" fontId="38" fillId="0" borderId="0" xfId="1" applyNumberFormat="1" applyFont="1" applyAlignment="1" applyProtection="1">
      <alignment wrapText="1"/>
      <protection locked="0"/>
    </xf>
    <xf numFmtId="3" fontId="2" fillId="0" borderId="0" xfId="1" applyNumberFormat="1" applyFont="1" applyAlignment="1" applyProtection="1">
      <alignment wrapText="1"/>
      <protection locked="0"/>
    </xf>
    <xf numFmtId="0" fontId="25" fillId="0" borderId="0" xfId="3"/>
    <xf numFmtId="17" fontId="18" fillId="13" borderId="31" xfId="0" applyNumberFormat="1" applyFont="1" applyFill="1" applyBorder="1" applyAlignment="1">
      <alignment horizontal="left"/>
    </xf>
    <xf numFmtId="0" fontId="38" fillId="0" borderId="15" xfId="0" applyFont="1" applyBorder="1"/>
    <xf numFmtId="3" fontId="38" fillId="0" borderId="15" xfId="0" applyNumberFormat="1" applyFont="1" applyBorder="1"/>
    <xf numFmtId="166" fontId="38" fillId="0" borderId="15" xfId="0" applyNumberFormat="1" applyFont="1" applyBorder="1"/>
    <xf numFmtId="3" fontId="2" fillId="0" borderId="0" xfId="0" applyNumberFormat="1" applyFont="1" applyAlignment="1">
      <alignment wrapText="1"/>
    </xf>
    <xf numFmtId="3" fontId="28" fillId="0" borderId="0" xfId="3" applyNumberFormat="1" applyFont="1" applyFill="1"/>
    <xf numFmtId="165" fontId="2" fillId="0" borderId="20" xfId="2" applyNumberFormat="1" applyFont="1" applyFill="1" applyBorder="1"/>
    <xf numFmtId="165" fontId="2" fillId="0" borderId="0" xfId="2" applyNumberFormat="1" applyFont="1" applyFill="1" applyBorder="1"/>
    <xf numFmtId="0" fontId="27" fillId="0" borderId="0" xfId="0" applyFont="1"/>
    <xf numFmtId="165" fontId="2" fillId="0" borderId="0" xfId="2" applyNumberFormat="1" applyFont="1" applyBorder="1"/>
    <xf numFmtId="3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2" fillId="0" borderId="0" xfId="2" applyNumberFormat="1" applyFont="1" applyFill="1" applyBorder="1" applyAlignment="1">
      <alignment horizontal="center"/>
    </xf>
    <xf numFmtId="0" fontId="38" fillId="0" borderId="15" xfId="3" applyFont="1" applyFill="1" applyBorder="1" applyProtection="1"/>
    <xf numFmtId="0" fontId="38" fillId="0" borderId="15" xfId="1" applyNumberFormat="1" applyFont="1" applyFill="1" applyBorder="1"/>
    <xf numFmtId="3" fontId="21" fillId="0" borderId="0" xfId="1" applyNumberFormat="1" applyFont="1" applyFill="1" applyBorder="1"/>
    <xf numFmtId="1" fontId="2" fillId="0" borderId="0" xfId="0" applyNumberFormat="1" applyFont="1"/>
    <xf numFmtId="0" fontId="2" fillId="0" borderId="0" xfId="1" applyNumberFormat="1" applyFont="1" applyFill="1" applyBorder="1"/>
    <xf numFmtId="166" fontId="2" fillId="7" borderId="17" xfId="1" applyNumberFormat="1" applyFont="1" applyFill="1" applyBorder="1"/>
    <xf numFmtId="0" fontId="2" fillId="0" borderId="17" xfId="0" applyFont="1" applyBorder="1"/>
    <xf numFmtId="165" fontId="0" fillId="0" borderId="0" xfId="2" applyNumberFormat="1" applyFont="1" applyFill="1"/>
    <xf numFmtId="3" fontId="38" fillId="0" borderId="17" xfId="1" applyNumberFormat="1" applyFont="1" applyBorder="1"/>
    <xf numFmtId="0" fontId="31" fillId="0" borderId="17" xfId="3" applyFont="1" applyFill="1" applyBorder="1"/>
    <xf numFmtId="1" fontId="2" fillId="0" borderId="17" xfId="2" applyNumberFormat="1" applyFont="1" applyFill="1" applyBorder="1"/>
    <xf numFmtId="166" fontId="2" fillId="0" borderId="17" xfId="1" applyNumberFormat="1" applyFont="1" applyFill="1" applyBorder="1" applyAlignment="1">
      <alignment horizontal="left"/>
    </xf>
    <xf numFmtId="3" fontId="2" fillId="0" borderId="17" xfId="1" applyNumberFormat="1" applyFont="1" applyBorder="1" applyAlignment="1">
      <alignment horizontal="left"/>
    </xf>
    <xf numFmtId="3" fontId="5" fillId="0" borderId="15" xfId="0" applyNumberFormat="1" applyFont="1" applyBorder="1"/>
    <xf numFmtId="9" fontId="5" fillId="0" borderId="15" xfId="0" applyNumberFormat="1" applyFont="1" applyBorder="1"/>
    <xf numFmtId="3" fontId="38" fillId="0" borderId="17" xfId="0" applyNumberFormat="1" applyFont="1" applyBorder="1"/>
    <xf numFmtId="1" fontId="2" fillId="0" borderId="0" xfId="2" applyNumberFormat="1" applyFont="1" applyBorder="1"/>
    <xf numFmtId="17" fontId="20" fillId="0" borderId="0" xfId="0" applyNumberFormat="1" applyFont="1"/>
    <xf numFmtId="3" fontId="19" fillId="0" borderId="22" xfId="0" applyNumberFormat="1" applyFont="1" applyBorder="1"/>
    <xf numFmtId="165" fontId="2" fillId="0" borderId="22" xfId="2" applyNumberFormat="1" applyFont="1" applyFill="1" applyBorder="1"/>
    <xf numFmtId="3" fontId="5" fillId="0" borderId="18" xfId="1" applyNumberFormat="1" applyFont="1" applyFill="1" applyBorder="1" applyProtection="1">
      <protection locked="0"/>
    </xf>
    <xf numFmtId="0" fontId="2" fillId="0" borderId="18" xfId="1" applyNumberFormat="1" applyFont="1" applyBorder="1" applyProtection="1">
      <protection locked="0"/>
    </xf>
    <xf numFmtId="165" fontId="2" fillId="0" borderId="22" xfId="2" applyNumberFormat="1" applyFont="1" applyFill="1" applyBorder="1" applyProtection="1">
      <protection locked="0"/>
    </xf>
    <xf numFmtId="165" fontId="2" fillId="0" borderId="23" xfId="2" applyNumberFormat="1" applyFont="1" applyBorder="1" applyProtection="1">
      <protection locked="0"/>
    </xf>
    <xf numFmtId="166" fontId="2" fillId="0" borderId="22" xfId="1" applyNumberFormat="1" applyFont="1" applyFill="1" applyBorder="1" applyProtection="1">
      <protection locked="0"/>
    </xf>
    <xf numFmtId="0" fontId="25" fillId="0" borderId="22" xfId="3" applyFill="1" applyBorder="1"/>
    <xf numFmtId="3" fontId="38" fillId="0" borderId="15" xfId="1" applyNumberFormat="1" applyFont="1" applyBorder="1"/>
    <xf numFmtId="0" fontId="31" fillId="0" borderId="22" xfId="3" applyFont="1" applyFill="1" applyBorder="1"/>
    <xf numFmtId="3" fontId="2" fillId="0" borderId="22" xfId="0" applyNumberFormat="1" applyFont="1" applyBorder="1" applyAlignment="1">
      <alignment horizontal="right"/>
    </xf>
    <xf numFmtId="3" fontId="2" fillId="0" borderId="22" xfId="1" applyNumberFormat="1" applyFont="1" applyBorder="1"/>
    <xf numFmtId="0" fontId="0" fillId="0" borderId="22" xfId="0" applyBorder="1"/>
    <xf numFmtId="3" fontId="0" fillId="0" borderId="22" xfId="0" applyNumberFormat="1" applyBorder="1"/>
    <xf numFmtId="165" fontId="2" fillId="0" borderId="23" xfId="2" applyNumberFormat="1" applyFont="1" applyFill="1" applyBorder="1"/>
    <xf numFmtId="165" fontId="2" fillId="0" borderId="23" xfId="2" applyNumberFormat="1" applyFont="1" applyBorder="1"/>
    <xf numFmtId="166" fontId="2" fillId="0" borderId="22" xfId="0" applyNumberFormat="1" applyFont="1" applyBorder="1"/>
    <xf numFmtId="165" fontId="2" fillId="0" borderId="23" xfId="2" applyNumberFormat="1" applyFont="1" applyFill="1" applyBorder="1" applyProtection="1">
      <protection locked="0"/>
    </xf>
    <xf numFmtId="0" fontId="38" fillId="0" borderId="0" xfId="3" applyFont="1" applyFill="1" applyBorder="1" applyProtection="1"/>
    <xf numFmtId="0" fontId="38" fillId="0" borderId="0" xfId="1" applyNumberFormat="1" applyFont="1" applyFill="1" applyBorder="1"/>
    <xf numFmtId="3" fontId="21" fillId="0" borderId="17" xfId="1" applyNumberFormat="1" applyFont="1" applyFill="1" applyBorder="1"/>
    <xf numFmtId="0" fontId="38" fillId="0" borderId="15" xfId="0" applyFont="1" applyBorder="1" applyProtection="1">
      <protection locked="0"/>
    </xf>
    <xf numFmtId="3" fontId="39" fillId="0" borderId="15" xfId="0" applyNumberFormat="1" applyFont="1" applyBorder="1" applyProtection="1">
      <protection locked="0"/>
    </xf>
    <xf numFmtId="3" fontId="38" fillId="0" borderId="15" xfId="0" applyNumberFormat="1" applyFont="1" applyBorder="1" applyProtection="1">
      <protection locked="0"/>
    </xf>
    <xf numFmtId="166" fontId="39" fillId="0" borderId="15" xfId="0" applyNumberFormat="1" applyFont="1" applyBorder="1" applyProtection="1">
      <protection locked="0"/>
    </xf>
    <xf numFmtId="3" fontId="38" fillId="0" borderId="20" xfId="1" applyNumberFormat="1" applyFont="1" applyBorder="1" applyProtection="1">
      <protection locked="0"/>
    </xf>
    <xf numFmtId="3" fontId="38" fillId="0" borderId="15" xfId="1" applyNumberFormat="1" applyFont="1" applyBorder="1" applyProtection="1">
      <protection locked="0"/>
    </xf>
    <xf numFmtId="0" fontId="26" fillId="0" borderId="15" xfId="3" applyFont="1" applyFill="1" applyBorder="1" applyProtection="1">
      <protection locked="0"/>
    </xf>
    <xf numFmtId="166" fontId="5" fillId="0" borderId="14" xfId="1" applyNumberFormat="1" applyFont="1" applyFill="1" applyBorder="1" applyProtection="1">
      <protection locked="0"/>
    </xf>
    <xf numFmtId="0" fontId="25" fillId="12" borderId="34" xfId="3" applyFill="1" applyBorder="1"/>
    <xf numFmtId="0" fontId="25" fillId="12" borderId="15" xfId="3" applyFill="1" applyBorder="1"/>
    <xf numFmtId="0" fontId="2" fillId="12" borderId="15" xfId="0" applyFont="1" applyFill="1" applyBorder="1"/>
    <xf numFmtId="0" fontId="0" fillId="12" borderId="15" xfId="0" applyFill="1" applyBorder="1"/>
    <xf numFmtId="3" fontId="0" fillId="12" borderId="15" xfId="0" applyNumberFormat="1" applyFill="1" applyBorder="1"/>
    <xf numFmtId="165" fontId="2" fillId="12" borderId="15" xfId="2" applyNumberFormat="1" applyFont="1" applyFill="1" applyBorder="1"/>
    <xf numFmtId="9" fontId="2" fillId="12" borderId="34" xfId="1" applyFont="1" applyFill="1" applyBorder="1"/>
    <xf numFmtId="3" fontId="0" fillId="12" borderId="33" xfId="0" applyNumberFormat="1" applyFill="1" applyBorder="1"/>
    <xf numFmtId="9" fontId="2" fillId="0" borderId="34" xfId="1" applyFont="1" applyBorder="1"/>
    <xf numFmtId="3" fontId="2" fillId="12" borderId="15" xfId="0" applyNumberFormat="1" applyFont="1" applyFill="1" applyBorder="1"/>
    <xf numFmtId="165" fontId="2" fillId="12" borderId="20" xfId="2" applyNumberFormat="1" applyFont="1" applyFill="1" applyBorder="1"/>
    <xf numFmtId="3" fontId="0" fillId="12" borderId="30" xfId="0" applyNumberFormat="1" applyFill="1" applyBorder="1"/>
    <xf numFmtId="0" fontId="25" fillId="0" borderId="34" xfId="3" applyBorder="1"/>
    <xf numFmtId="3" fontId="0" fillId="0" borderId="33" xfId="0" applyNumberFormat="1" applyBorder="1"/>
    <xf numFmtId="3" fontId="0" fillId="0" borderId="30" xfId="0" applyNumberFormat="1" applyBorder="1"/>
    <xf numFmtId="166" fontId="2" fillId="12" borderId="15" xfId="0" applyNumberFormat="1" applyFont="1" applyFill="1" applyBorder="1"/>
    <xf numFmtId="0" fontId="25" fillId="0" borderId="0" xfId="3" applyFill="1"/>
    <xf numFmtId="3" fontId="38" fillId="0" borderId="15" xfId="2" applyNumberFormat="1" applyFont="1" applyFill="1" applyBorder="1"/>
    <xf numFmtId="0" fontId="29" fillId="0" borderId="0" xfId="3" applyFont="1" applyBorder="1" applyProtection="1">
      <protection locked="0"/>
    </xf>
    <xf numFmtId="165" fontId="5" fillId="0" borderId="0" xfId="1" applyNumberFormat="1" applyFont="1" applyBorder="1" applyAlignment="1" applyProtection="1">
      <alignment horizontal="right"/>
      <protection locked="0"/>
    </xf>
    <xf numFmtId="0" fontId="25" fillId="0" borderId="0" xfId="3" applyBorder="1" applyProtection="1">
      <protection locked="0"/>
    </xf>
    <xf numFmtId="166" fontId="5" fillId="0" borderId="15" xfId="0" applyNumberFormat="1" applyFont="1" applyBorder="1" applyProtection="1">
      <protection locked="0"/>
    </xf>
    <xf numFmtId="3" fontId="2" fillId="0" borderId="20" xfId="1" applyNumberFormat="1" applyFont="1" applyBorder="1" applyProtection="1">
      <protection locked="0"/>
    </xf>
    <xf numFmtId="165" fontId="0" fillId="0" borderId="14" xfId="2" applyNumberFormat="1" applyFont="1" applyBorder="1" applyProtection="1">
      <protection locked="0"/>
    </xf>
    <xf numFmtId="165" fontId="0" fillId="0" borderId="14" xfId="2" applyNumberFormat="1" applyFont="1" applyFill="1" applyBorder="1" applyProtection="1">
      <protection locked="0"/>
    </xf>
    <xf numFmtId="0" fontId="2" fillId="0" borderId="15" xfId="1" applyNumberFormat="1" applyFont="1" applyFill="1" applyBorder="1" applyProtection="1">
      <protection locked="0"/>
    </xf>
    <xf numFmtId="3" fontId="2" fillId="0" borderId="20" xfId="1" applyNumberFormat="1" applyFont="1" applyFill="1" applyBorder="1" applyProtection="1">
      <protection locked="0"/>
    </xf>
    <xf numFmtId="0" fontId="9" fillId="0" borderId="0" xfId="0" applyFont="1"/>
    <xf numFmtId="165" fontId="5" fillId="0" borderId="0" xfId="2" applyNumberFormat="1" applyFont="1" applyBorder="1" applyProtection="1">
      <protection locked="0"/>
    </xf>
    <xf numFmtId="0" fontId="28" fillId="0" borderId="0" xfId="0" applyFont="1" applyProtection="1">
      <protection locked="0"/>
    </xf>
    <xf numFmtId="3" fontId="0" fillId="12" borderId="39" xfId="0" applyNumberFormat="1" applyFill="1" applyBorder="1"/>
    <xf numFmtId="0" fontId="25" fillId="0" borderId="0" xfId="3" applyFill="1" applyBorder="1"/>
    <xf numFmtId="3" fontId="5" fillId="0" borderId="17" xfId="0" applyNumberFormat="1" applyFont="1" applyBorder="1"/>
    <xf numFmtId="3" fontId="38" fillId="0" borderId="0" xfId="0" applyNumberFormat="1" applyFont="1" applyAlignment="1">
      <alignment wrapText="1"/>
    </xf>
    <xf numFmtId="3" fontId="0" fillId="0" borderId="33" xfId="3" applyNumberFormat="1" applyFont="1" applyFill="1" applyBorder="1"/>
    <xf numFmtId="3" fontId="0" fillId="0" borderId="39" xfId="0" applyNumberFormat="1" applyBorder="1"/>
    <xf numFmtId="0" fontId="39" fillId="0" borderId="19" xfId="0" applyFont="1" applyBorder="1" applyAlignment="1" applyProtection="1">
      <alignment horizontal="right"/>
      <protection locked="0"/>
    </xf>
    <xf numFmtId="0" fontId="38" fillId="0" borderId="19" xfId="0" applyFont="1" applyBorder="1" applyAlignment="1" applyProtection="1">
      <alignment horizontal="right"/>
      <protection locked="0"/>
    </xf>
    <xf numFmtId="0" fontId="25" fillId="0" borderId="19" xfId="3" applyFill="1" applyBorder="1" applyAlignment="1" applyProtection="1">
      <alignment horizontal="right"/>
      <protection locked="0"/>
    </xf>
    <xf numFmtId="3" fontId="25" fillId="0" borderId="15" xfId="3" applyNumberFormat="1" applyFill="1" applyBorder="1" applyProtection="1">
      <protection locked="0"/>
    </xf>
    <xf numFmtId="3" fontId="25" fillId="0" borderId="15" xfId="3" applyNumberFormat="1" applyBorder="1" applyProtection="1">
      <protection locked="0"/>
    </xf>
    <xf numFmtId="166" fontId="25" fillId="0" borderId="15" xfId="3" applyNumberFormat="1" applyBorder="1" applyProtection="1">
      <protection locked="0"/>
    </xf>
    <xf numFmtId="0" fontId="25" fillId="0" borderId="0" xfId="3" applyProtection="1">
      <protection locked="0"/>
    </xf>
    <xf numFmtId="1" fontId="2" fillId="0" borderId="22" xfId="1" applyNumberFormat="1" applyFont="1" applyFill="1" applyBorder="1" applyProtection="1">
      <protection locked="0"/>
    </xf>
    <xf numFmtId="0" fontId="25" fillId="0" borderId="22" xfId="3" applyBorder="1"/>
    <xf numFmtId="165" fontId="0" fillId="0" borderId="22" xfId="0" applyNumberFormat="1" applyBorder="1" applyProtection="1">
      <protection locked="0"/>
    </xf>
    <xf numFmtId="165" fontId="2" fillId="0" borderId="22" xfId="2" applyNumberFormat="1" applyFont="1" applyBorder="1" applyProtection="1">
      <protection locked="0"/>
    </xf>
    <xf numFmtId="9" fontId="2" fillId="0" borderId="37" xfId="1" applyFont="1" applyBorder="1"/>
    <xf numFmtId="3" fontId="0" fillId="0" borderId="40" xfId="0" applyNumberFormat="1" applyBorder="1"/>
    <xf numFmtId="0" fontId="12" fillId="0" borderId="22" xfId="0" applyFont="1" applyBorder="1"/>
    <xf numFmtId="166" fontId="2" fillId="0" borderId="32" xfId="1" applyNumberFormat="1" applyFont="1" applyFill="1" applyBorder="1"/>
    <xf numFmtId="3" fontId="2" fillId="0" borderId="32" xfId="1" applyNumberFormat="1" applyFont="1" applyFill="1" applyBorder="1"/>
    <xf numFmtId="0" fontId="12" fillId="0" borderId="22" xfId="3" applyFont="1" applyFill="1" applyBorder="1"/>
    <xf numFmtId="0" fontId="27" fillId="0" borderId="22" xfId="0" applyFont="1" applyBorder="1"/>
    <xf numFmtId="0" fontId="25" fillId="0" borderId="0" xfId="3" applyAlignment="1">
      <alignment horizontal="left" vertical="center" wrapText="1"/>
    </xf>
    <xf numFmtId="0" fontId="25" fillId="0" borderId="22" xfId="3" applyFill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5" fillId="0" borderId="22" xfId="3" applyFill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0" fillId="14" borderId="0" xfId="0" applyFont="1" applyFill="1"/>
    <xf numFmtId="17" fontId="20" fillId="15" borderId="5" xfId="0" applyNumberFormat="1" applyFont="1" applyFill="1" applyBorder="1"/>
    <xf numFmtId="17" fontId="2" fillId="15" borderId="28" xfId="0" applyNumberFormat="1" applyFont="1" applyFill="1" applyBorder="1"/>
    <xf numFmtId="166" fontId="2" fillId="15" borderId="17" xfId="1" applyNumberFormat="1" applyFont="1" applyFill="1" applyBorder="1"/>
    <xf numFmtId="0" fontId="18" fillId="16" borderId="5" xfId="0" applyFont="1" applyFill="1" applyBorder="1"/>
    <xf numFmtId="0" fontId="18" fillId="16" borderId="24" xfId="0" applyFont="1" applyFill="1" applyBorder="1"/>
    <xf numFmtId="17" fontId="18" fillId="16" borderId="1" xfId="0" applyNumberFormat="1" applyFont="1" applyFill="1" applyBorder="1"/>
    <xf numFmtId="17" fontId="18" fillId="16" borderId="0" xfId="0" applyNumberFormat="1" applyFont="1" applyFill="1"/>
    <xf numFmtId="17" fontId="18" fillId="16" borderId="0" xfId="0" applyNumberFormat="1" applyFont="1" applyFill="1" applyAlignment="1">
      <alignment horizontal="left"/>
    </xf>
    <xf numFmtId="17" fontId="20" fillId="14" borderId="5" xfId="0" applyNumberFormat="1" applyFont="1" applyFill="1" applyBorder="1"/>
    <xf numFmtId="17" fontId="18" fillId="16" borderId="5" xfId="0" applyNumberFormat="1" applyFont="1" applyFill="1" applyBorder="1"/>
    <xf numFmtId="0" fontId="24" fillId="16" borderId="9" xfId="0" applyFont="1" applyFill="1" applyBorder="1"/>
    <xf numFmtId="17" fontId="2" fillId="14" borderId="28" xfId="0" applyNumberFormat="1" applyFont="1" applyFill="1" applyBorder="1"/>
    <xf numFmtId="166" fontId="2" fillId="14" borderId="17" xfId="1" applyNumberFormat="1" applyFont="1" applyFill="1" applyBorder="1"/>
    <xf numFmtId="165" fontId="25" fillId="0" borderId="0" xfId="3" applyNumberFormat="1" applyFill="1" applyBorder="1" applyProtection="1"/>
    <xf numFmtId="165" fontId="2" fillId="0" borderId="0" xfId="2" applyNumberFormat="1" applyFont="1" applyBorder="1" applyAlignment="1">
      <alignment horizontal="center"/>
    </xf>
    <xf numFmtId="165" fontId="25" fillId="0" borderId="15" xfId="3" applyNumberFormat="1" applyBorder="1"/>
    <xf numFmtId="0" fontId="42" fillId="0" borderId="15" xfId="3" applyFont="1" applyBorder="1" applyProtection="1"/>
    <xf numFmtId="165" fontId="43" fillId="0" borderId="15" xfId="2" applyNumberFormat="1" applyFont="1" applyFill="1" applyBorder="1" applyProtection="1"/>
    <xf numFmtId="165" fontId="43" fillId="0" borderId="22" xfId="2" applyNumberFormat="1" applyFont="1" applyFill="1" applyBorder="1" applyProtection="1"/>
    <xf numFmtId="165" fontId="2" fillId="0" borderId="0" xfId="2" applyNumberFormat="1" applyFont="1" applyFill="1" applyAlignment="1">
      <alignment horizontal="right"/>
    </xf>
    <xf numFmtId="165" fontId="43" fillId="0" borderId="15" xfId="2" applyNumberFormat="1" applyFont="1" applyBorder="1" applyProtection="1"/>
    <xf numFmtId="165" fontId="43" fillId="0" borderId="0" xfId="2" applyNumberFormat="1" applyFont="1" applyFill="1" applyBorder="1" applyProtection="1"/>
    <xf numFmtId="165" fontId="2" fillId="0" borderId="32" xfId="2" applyNumberFormat="1" applyFont="1" applyFill="1" applyBorder="1"/>
    <xf numFmtId="165" fontId="43" fillId="0" borderId="22" xfId="2" applyNumberFormat="1" applyFont="1" applyBorder="1" applyProtection="1"/>
    <xf numFmtId="3" fontId="38" fillId="0" borderId="22" xfId="0" applyNumberFormat="1" applyFont="1" applyBorder="1"/>
    <xf numFmtId="165" fontId="42" fillId="0" borderId="15" xfId="3" applyNumberFormat="1" applyFont="1" applyBorder="1"/>
    <xf numFmtId="165" fontId="42" fillId="0" borderId="15" xfId="3" applyNumberFormat="1" applyFont="1" applyFill="1" applyBorder="1" applyProtection="1"/>
    <xf numFmtId="3" fontId="35" fillId="0" borderId="0" xfId="1" applyNumberFormat="1" applyFont="1" applyFill="1" applyBorder="1"/>
    <xf numFmtId="0" fontId="2" fillId="0" borderId="0" xfId="0" applyFont="1" applyAlignment="1" applyProtection="1">
      <alignment horizontal="right"/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3" fontId="2" fillId="0" borderId="18" xfId="1" applyNumberFormat="1" applyFont="1" applyBorder="1" applyProtection="1">
      <protection locked="0"/>
    </xf>
    <xf numFmtId="9" fontId="2" fillId="0" borderId="20" xfId="1" applyFont="1" applyFill="1" applyBorder="1" applyProtection="1">
      <protection locked="0"/>
    </xf>
    <xf numFmtId="3" fontId="25" fillId="0" borderId="18" xfId="3" applyNumberFormat="1" applyBorder="1" applyProtection="1">
      <protection locked="0"/>
    </xf>
    <xf numFmtId="3" fontId="38" fillId="0" borderId="18" xfId="1" applyNumberFormat="1" applyFont="1" applyBorder="1" applyProtection="1">
      <protection locked="0"/>
    </xf>
    <xf numFmtId="0" fontId="2" fillId="0" borderId="0" xfId="1" applyNumberFormat="1" applyFont="1" applyBorder="1" applyProtection="1">
      <protection locked="0"/>
    </xf>
    <xf numFmtId="3" fontId="2" fillId="0" borderId="0" xfId="1" applyNumberFormat="1" applyFont="1" applyFill="1" applyBorder="1" applyProtection="1">
      <protection locked="0"/>
    </xf>
    <xf numFmtId="0" fontId="38" fillId="0" borderId="0" xfId="1" applyNumberFormat="1" applyFont="1" applyBorder="1" applyProtection="1">
      <protection locked="0"/>
    </xf>
    <xf numFmtId="3" fontId="38" fillId="0" borderId="0" xfId="1" applyNumberFormat="1" applyFont="1" applyFill="1" applyBorder="1" applyProtection="1">
      <protection locked="0"/>
    </xf>
    <xf numFmtId="0" fontId="5" fillId="0" borderId="15" xfId="0" applyFont="1" applyBorder="1" applyAlignment="1" applyProtection="1">
      <alignment horizontal="right"/>
      <protection locked="0"/>
    </xf>
    <xf numFmtId="0" fontId="39" fillId="0" borderId="22" xfId="0" applyFont="1" applyBorder="1" applyAlignment="1" applyProtection="1">
      <alignment horizontal="right"/>
      <protection locked="0"/>
    </xf>
    <xf numFmtId="0" fontId="5" fillId="0" borderId="19" xfId="0" applyFont="1" applyBorder="1"/>
    <xf numFmtId="0" fontId="38" fillId="0" borderId="15" xfId="0" applyFont="1" applyBorder="1" applyAlignment="1" applyProtection="1">
      <alignment horizontal="right"/>
      <protection locked="0"/>
    </xf>
    <xf numFmtId="0" fontId="5" fillId="0" borderId="19" xfId="0" applyFont="1" applyBorder="1" applyAlignment="1">
      <alignment horizontal="right"/>
    </xf>
    <xf numFmtId="0" fontId="2" fillId="0" borderId="19" xfId="0" applyFont="1" applyBorder="1"/>
    <xf numFmtId="0" fontId="26" fillId="0" borderId="22" xfId="3" applyFont="1" applyBorder="1"/>
    <xf numFmtId="0" fontId="25" fillId="0" borderId="0" xfId="3" applyFill="1" applyBorder="1" applyProtection="1">
      <protection locked="0"/>
    </xf>
    <xf numFmtId="0" fontId="25" fillId="0" borderId="22" xfId="3" applyFill="1" applyBorder="1" applyProtection="1">
      <protection locked="0"/>
    </xf>
    <xf numFmtId="0" fontId="5" fillId="0" borderId="22" xfId="0" applyFont="1" applyBorder="1"/>
    <xf numFmtId="0" fontId="5" fillId="0" borderId="22" xfId="0" applyFont="1" applyBorder="1" applyProtection="1">
      <protection locked="0"/>
    </xf>
    <xf numFmtId="3" fontId="39" fillId="0" borderId="22" xfId="0" applyNumberFormat="1" applyFont="1" applyBorder="1" applyProtection="1">
      <protection locked="0"/>
    </xf>
    <xf numFmtId="3" fontId="38" fillId="0" borderId="22" xfId="0" applyNumberFormat="1" applyFont="1" applyBorder="1" applyProtection="1">
      <protection locked="0"/>
    </xf>
    <xf numFmtId="165" fontId="5" fillId="0" borderId="22" xfId="2" applyNumberFormat="1" applyFont="1" applyBorder="1"/>
    <xf numFmtId="165" fontId="5" fillId="0" borderId="22" xfId="2" applyNumberFormat="1" applyFont="1" applyBorder="1" applyProtection="1">
      <protection locked="0"/>
    </xf>
    <xf numFmtId="0" fontId="2" fillId="0" borderId="20" xfId="0" applyFont="1" applyBorder="1" applyProtection="1">
      <protection locked="0"/>
    </xf>
    <xf numFmtId="165" fontId="5" fillId="0" borderId="23" xfId="2" applyNumberFormat="1" applyFont="1" applyBorder="1" applyProtection="1">
      <protection locked="0"/>
    </xf>
    <xf numFmtId="3" fontId="2" fillId="0" borderId="23" xfId="0" applyNumberFormat="1" applyFont="1" applyBorder="1" applyProtection="1">
      <protection locked="0"/>
    </xf>
    <xf numFmtId="165" fontId="2" fillId="0" borderId="0" xfId="2" applyNumberFormat="1" applyFont="1" applyBorder="1" applyProtection="1">
      <protection locked="0"/>
    </xf>
    <xf numFmtId="166" fontId="2" fillId="0" borderId="15" xfId="1" applyNumberFormat="1" applyFont="1" applyFill="1" applyBorder="1" applyProtection="1">
      <protection locked="0"/>
    </xf>
    <xf numFmtId="3" fontId="2" fillId="0" borderId="22" xfId="1" applyNumberFormat="1" applyFont="1" applyFill="1" applyBorder="1" applyProtection="1">
      <protection locked="0"/>
    </xf>
    <xf numFmtId="166" fontId="39" fillId="0" borderId="22" xfId="0" applyNumberFormat="1" applyFont="1" applyBorder="1" applyProtection="1">
      <protection locked="0"/>
    </xf>
    <xf numFmtId="9" fontId="2" fillId="0" borderId="22" xfId="1" applyFont="1" applyFill="1" applyBorder="1" applyProtection="1">
      <protection locked="0"/>
    </xf>
    <xf numFmtId="3" fontId="38" fillId="0" borderId="22" xfId="1" applyNumberFormat="1" applyFont="1" applyBorder="1" applyProtection="1">
      <protection locked="0"/>
    </xf>
    <xf numFmtId="3" fontId="38" fillId="0" borderId="0" xfId="1" applyNumberFormat="1" applyFont="1" applyBorder="1" applyProtection="1">
      <protection locked="0"/>
    </xf>
    <xf numFmtId="165" fontId="0" fillId="0" borderId="0" xfId="2" applyNumberFormat="1" applyFont="1" applyBorder="1" applyProtection="1">
      <protection locked="0"/>
    </xf>
    <xf numFmtId="9" fontId="5" fillId="0" borderId="0" xfId="1" applyFont="1" applyBorder="1" applyProtection="1">
      <protection locked="0"/>
    </xf>
    <xf numFmtId="0" fontId="28" fillId="0" borderId="43" xfId="0" applyFont="1" applyBorder="1" applyProtection="1">
      <protection locked="0"/>
    </xf>
    <xf numFmtId="0" fontId="2" fillId="0" borderId="43" xfId="0" applyFont="1" applyBorder="1" applyProtection="1">
      <protection locked="0"/>
    </xf>
    <xf numFmtId="165" fontId="2" fillId="0" borderId="43" xfId="2" applyNumberFormat="1" applyFont="1" applyFill="1" applyBorder="1" applyProtection="1">
      <protection locked="0"/>
    </xf>
    <xf numFmtId="165" fontId="5" fillId="0" borderId="43" xfId="2" applyNumberFormat="1" applyFont="1" applyFill="1" applyBorder="1" applyProtection="1">
      <protection locked="0"/>
    </xf>
    <xf numFmtId="165" fontId="2" fillId="0" borderId="43" xfId="2" applyNumberFormat="1" applyFont="1" applyBorder="1" applyProtection="1">
      <protection locked="0"/>
    </xf>
    <xf numFmtId="165" fontId="5" fillId="0" borderId="43" xfId="2" applyNumberFormat="1" applyFont="1" applyBorder="1" applyProtection="1">
      <protection locked="0"/>
    </xf>
    <xf numFmtId="165" fontId="0" fillId="0" borderId="43" xfId="2" applyNumberFormat="1" applyFont="1" applyBorder="1" applyProtection="1">
      <protection locked="0"/>
    </xf>
    <xf numFmtId="166" fontId="5" fillId="0" borderId="6" xfId="1" applyNumberFormat="1" applyFont="1" applyFill="1" applyBorder="1" applyProtection="1">
      <protection locked="0"/>
    </xf>
    <xf numFmtId="165" fontId="0" fillId="0" borderId="6" xfId="2" applyNumberFormat="1" applyFont="1" applyBorder="1" applyProtection="1">
      <protection locked="0"/>
    </xf>
    <xf numFmtId="165" fontId="0" fillId="0" borderId="44" xfId="2" applyNumberFormat="1" applyFont="1" applyFill="1" applyBorder="1" applyProtection="1">
      <protection locked="0"/>
    </xf>
    <xf numFmtId="0" fontId="2" fillId="0" borderId="22" xfId="0" applyFont="1" applyBorder="1" applyAlignment="1" applyProtection="1">
      <alignment horizontal="right"/>
      <protection locked="0"/>
    </xf>
    <xf numFmtId="165" fontId="2" fillId="0" borderId="27" xfId="2" applyNumberFormat="1" applyFont="1" applyFill="1" applyBorder="1" applyProtection="1">
      <protection locked="0"/>
    </xf>
    <xf numFmtId="17" fontId="2" fillId="13" borderId="31" xfId="0" applyNumberFormat="1" applyFont="1" applyFill="1" applyBorder="1" applyAlignment="1" applyProtection="1">
      <alignment horizontal="left"/>
      <protection locked="0"/>
    </xf>
    <xf numFmtId="0" fontId="29" fillId="0" borderId="43" xfId="3" applyFont="1" applyBorder="1" applyProtection="1">
      <protection locked="0"/>
    </xf>
    <xf numFmtId="0" fontId="5" fillId="0" borderId="43" xfId="0" applyFont="1" applyBorder="1" applyProtection="1">
      <protection locked="0"/>
    </xf>
    <xf numFmtId="165" fontId="5" fillId="0" borderId="43" xfId="2" applyNumberFormat="1" applyFont="1" applyBorder="1" applyAlignment="1" applyProtection="1">
      <alignment horizontal="center" vertical="center"/>
      <protection locked="0"/>
    </xf>
    <xf numFmtId="165" fontId="0" fillId="0" borderId="44" xfId="2" applyNumberFormat="1" applyFont="1" applyBorder="1" applyProtection="1">
      <protection locked="0"/>
    </xf>
    <xf numFmtId="0" fontId="27" fillId="0" borderId="0" xfId="0" applyFont="1" applyAlignment="1">
      <alignment horizontal="left" vertical="center" wrapText="1"/>
    </xf>
    <xf numFmtId="0" fontId="25" fillId="0" borderId="37" xfId="3" applyBorder="1"/>
    <xf numFmtId="0" fontId="25" fillId="0" borderId="17" xfId="3" applyBorder="1"/>
    <xf numFmtId="0" fontId="25" fillId="12" borderId="35" xfId="3" applyFill="1" applyBorder="1"/>
    <xf numFmtId="0" fontId="25" fillId="12" borderId="0" xfId="3" applyFill="1" applyBorder="1"/>
    <xf numFmtId="0" fontId="0" fillId="0" borderId="17" xfId="0" applyBorder="1"/>
    <xf numFmtId="0" fontId="0" fillId="12" borderId="35" xfId="0" applyFill="1" applyBorder="1"/>
    <xf numFmtId="3" fontId="0" fillId="0" borderId="17" xfId="0" applyNumberFormat="1" applyBorder="1"/>
    <xf numFmtId="3" fontId="0" fillId="12" borderId="35" xfId="0" applyNumberFormat="1" applyFill="1" applyBorder="1"/>
    <xf numFmtId="165" fontId="0" fillId="0" borderId="15" xfId="0" applyNumberFormat="1" applyBorder="1" applyProtection="1">
      <protection locked="0"/>
    </xf>
    <xf numFmtId="165" fontId="2" fillId="0" borderId="17" xfId="2" applyNumberFormat="1" applyFont="1" applyBorder="1"/>
    <xf numFmtId="165" fontId="2" fillId="12" borderId="35" xfId="2" applyNumberFormat="1" applyFont="1" applyFill="1" applyBorder="1"/>
    <xf numFmtId="165" fontId="2" fillId="12" borderId="36" xfId="2" applyNumberFormat="1" applyFont="1" applyFill="1" applyBorder="1"/>
    <xf numFmtId="3" fontId="2" fillId="0" borderId="37" xfId="0" applyNumberFormat="1" applyFont="1" applyBorder="1"/>
    <xf numFmtId="166" fontId="2" fillId="0" borderId="0" xfId="0" applyNumberFormat="1" applyFont="1"/>
    <xf numFmtId="166" fontId="2" fillId="12" borderId="35" xfId="0" applyNumberFormat="1" applyFont="1" applyFill="1" applyBorder="1"/>
    <xf numFmtId="9" fontId="2" fillId="0" borderId="17" xfId="1" applyFont="1" applyBorder="1"/>
    <xf numFmtId="9" fontId="2" fillId="0" borderId="34" xfId="1" applyFont="1" applyFill="1" applyBorder="1"/>
    <xf numFmtId="9" fontId="2" fillId="0" borderId="0" xfId="1" applyFont="1" applyBorder="1"/>
    <xf numFmtId="165" fontId="2" fillId="0" borderId="38" xfId="2" applyNumberFormat="1" applyFont="1" applyBorder="1"/>
    <xf numFmtId="165" fontId="2" fillId="0" borderId="18" xfId="2" applyNumberFormat="1" applyFont="1" applyBorder="1"/>
    <xf numFmtId="3" fontId="0" fillId="0" borderId="41" xfId="0" applyNumberFormat="1" applyBorder="1"/>
    <xf numFmtId="0" fontId="0" fillId="0" borderId="33" xfId="0" applyBorder="1"/>
    <xf numFmtId="165" fontId="0" fillId="0" borderId="33" xfId="2" applyNumberFormat="1" applyFont="1" applyFill="1" applyBorder="1"/>
    <xf numFmtId="3" fontId="28" fillId="12" borderId="33" xfId="3" applyNumberFormat="1" applyFont="1" applyFill="1" applyBorder="1"/>
    <xf numFmtId="3" fontId="0" fillId="0" borderId="42" xfId="0" applyNumberFormat="1" applyBorder="1"/>
    <xf numFmtId="3" fontId="28" fillId="0" borderId="30" xfId="3" applyNumberFormat="1" applyFont="1" applyFill="1" applyBorder="1"/>
    <xf numFmtId="3" fontId="28" fillId="12" borderId="30" xfId="3" applyNumberFormat="1" applyFont="1" applyFill="1" applyBorder="1"/>
    <xf numFmtId="3" fontId="0" fillId="12" borderId="33" xfId="3" applyNumberFormat="1" applyFont="1" applyFill="1" applyBorder="1"/>
    <xf numFmtId="17" fontId="18" fillId="17" borderId="11" xfId="0" applyNumberFormat="1" applyFont="1" applyFill="1" applyBorder="1" applyAlignment="1">
      <alignment horizontal="left"/>
    </xf>
    <xf numFmtId="0" fontId="18" fillId="16" borderId="11" xfId="0" applyFont="1" applyFill="1" applyBorder="1" applyAlignment="1">
      <alignment horizontal="left"/>
    </xf>
    <xf numFmtId="0" fontId="18" fillId="16" borderId="7" xfId="0" applyFont="1" applyFill="1" applyBorder="1" applyAlignment="1">
      <alignment horizontal="left"/>
    </xf>
    <xf numFmtId="17" fontId="18" fillId="16" borderId="8" xfId="0" applyNumberFormat="1" applyFont="1" applyFill="1" applyBorder="1" applyAlignment="1">
      <alignment horizontal="left"/>
    </xf>
    <xf numFmtId="17" fontId="18" fillId="16" borderId="7" xfId="0" applyNumberFormat="1" applyFont="1" applyFill="1" applyBorder="1" applyAlignment="1">
      <alignment horizontal="left"/>
    </xf>
    <xf numFmtId="17" fontId="18" fillId="17" borderId="0" xfId="0" applyNumberFormat="1" applyFont="1" applyFill="1" applyAlignment="1">
      <alignment horizontal="left"/>
    </xf>
    <xf numFmtId="17" fontId="18" fillId="17" borderId="4" xfId="0" applyNumberFormat="1" applyFont="1" applyFill="1" applyBorder="1" applyAlignment="1">
      <alignment horizontal="left"/>
    </xf>
    <xf numFmtId="0" fontId="41" fillId="14" borderId="0" xfId="0" applyFont="1" applyFill="1"/>
    <xf numFmtId="0" fontId="18" fillId="17" borderId="15" xfId="0" applyFont="1" applyFill="1" applyBorder="1"/>
    <xf numFmtId="17" fontId="18" fillId="17" borderId="15" xfId="0" applyNumberFormat="1" applyFont="1" applyFill="1" applyBorder="1"/>
    <xf numFmtId="17" fontId="18" fillId="17" borderId="25" xfId="0" applyNumberFormat="1" applyFont="1" applyFill="1" applyBorder="1" applyProtection="1">
      <protection locked="0"/>
    </xf>
    <xf numFmtId="17" fontId="18" fillId="17" borderId="26" xfId="0" applyNumberFormat="1" applyFont="1" applyFill="1" applyBorder="1"/>
    <xf numFmtId="17" fontId="38" fillId="15" borderId="17" xfId="0" applyNumberFormat="1" applyFont="1" applyFill="1" applyBorder="1" applyProtection="1">
      <protection locked="0"/>
    </xf>
    <xf numFmtId="17" fontId="38" fillId="14" borderId="17" xfId="0" applyNumberFormat="1" applyFont="1" applyFill="1" applyBorder="1" applyProtection="1">
      <protection locked="0"/>
    </xf>
    <xf numFmtId="17" fontId="2" fillId="15" borderId="0" xfId="0" applyNumberFormat="1" applyFont="1" applyFill="1"/>
    <xf numFmtId="17" fontId="18" fillId="17" borderId="25" xfId="0" applyNumberFormat="1" applyFont="1" applyFill="1" applyBorder="1" applyAlignment="1" applyProtection="1">
      <alignment horizontal="left"/>
      <protection locked="0"/>
    </xf>
    <xf numFmtId="165" fontId="2" fillId="0" borderId="17" xfId="2" applyNumberFormat="1" applyFont="1" applyFill="1" applyBorder="1"/>
    <xf numFmtId="3" fontId="2" fillId="0" borderId="45" xfId="0" applyNumberFormat="1" applyFont="1" applyBorder="1" applyProtection="1">
      <protection locked="0"/>
    </xf>
    <xf numFmtId="17" fontId="38" fillId="0" borderId="0" xfId="0" applyNumberFormat="1" applyFont="1" applyAlignment="1" applyProtection="1">
      <alignment horizontal="left"/>
      <protection locked="0"/>
    </xf>
    <xf numFmtId="17" fontId="38" fillId="0" borderId="17" xfId="0" applyNumberFormat="1" applyFont="1" applyBorder="1" applyAlignment="1" applyProtection="1">
      <alignment horizontal="left"/>
      <protection locked="0"/>
    </xf>
    <xf numFmtId="0" fontId="44" fillId="0" borderId="15" xfId="3" applyFont="1" applyFill="1" applyBorder="1"/>
    <xf numFmtId="3" fontId="38" fillId="0" borderId="15" xfId="0" applyNumberFormat="1" applyFont="1" applyBorder="1" applyAlignment="1">
      <alignment horizontal="right"/>
    </xf>
    <xf numFmtId="0" fontId="44" fillId="0" borderId="22" xfId="3" applyFont="1" applyFill="1" applyBorder="1"/>
    <xf numFmtId="0" fontId="38" fillId="0" borderId="22" xfId="0" applyFont="1" applyBorder="1"/>
    <xf numFmtId="3" fontId="38" fillId="0" borderId="22" xfId="0" applyNumberFormat="1" applyFont="1" applyBorder="1" applyAlignment="1">
      <alignment horizontal="right"/>
    </xf>
    <xf numFmtId="3" fontId="38" fillId="0" borderId="22" xfId="1" applyNumberFormat="1" applyFont="1" applyBorder="1"/>
    <xf numFmtId="17" fontId="18" fillId="4" borderId="17" xfId="0" applyNumberFormat="1" applyFont="1" applyFill="1" applyBorder="1" applyAlignment="1" applyProtection="1">
      <alignment horizontal="left"/>
      <protection locked="0"/>
    </xf>
    <xf numFmtId="17" fontId="18" fillId="17" borderId="16" xfId="0" applyNumberFormat="1" applyFont="1" applyFill="1" applyBorder="1" applyAlignment="1" applyProtection="1">
      <alignment horizontal="left"/>
      <protection locked="0"/>
    </xf>
    <xf numFmtId="3" fontId="2" fillId="0" borderId="0" xfId="1" applyNumberFormat="1" applyFont="1" applyFill="1" applyProtection="1">
      <protection locked="0"/>
    </xf>
    <xf numFmtId="3" fontId="38" fillId="0" borderId="0" xfId="1" applyNumberFormat="1" applyFont="1" applyFill="1" applyProtection="1">
      <protection locked="0"/>
    </xf>
    <xf numFmtId="3" fontId="5" fillId="0" borderId="0" xfId="0" applyNumberFormat="1" applyFont="1"/>
    <xf numFmtId="165" fontId="0" fillId="0" borderId="27" xfId="2" applyNumberFormat="1" applyFont="1" applyFill="1" applyBorder="1" applyProtection="1">
      <protection locked="0"/>
    </xf>
    <xf numFmtId="1" fontId="38" fillId="0" borderId="17" xfId="1" applyNumberFormat="1" applyFont="1" applyFill="1" applyBorder="1"/>
    <xf numFmtId="3" fontId="38" fillId="0" borderId="17" xfId="1" applyNumberFormat="1" applyFont="1" applyFill="1" applyBorder="1"/>
    <xf numFmtId="1" fontId="38" fillId="0" borderId="32" xfId="1" applyNumberFormat="1" applyFont="1" applyFill="1" applyBorder="1"/>
    <xf numFmtId="1" fontId="5" fillId="0" borderId="0" xfId="0" applyNumberFormat="1" applyFont="1"/>
    <xf numFmtId="0" fontId="9" fillId="0" borderId="15" xfId="0" applyFont="1" applyBorder="1"/>
    <xf numFmtId="3" fontId="9" fillId="0" borderId="15" xfId="0" applyNumberFormat="1" applyFont="1" applyBorder="1"/>
    <xf numFmtId="1" fontId="9" fillId="0" borderId="0" xfId="0" applyNumberFormat="1" applyFont="1"/>
    <xf numFmtId="0" fontId="5" fillId="0" borderId="0" xfId="0" applyFont="1"/>
    <xf numFmtId="1" fontId="5" fillId="0" borderId="15" xfId="0" applyNumberFormat="1" applyFont="1" applyBorder="1"/>
    <xf numFmtId="165" fontId="25" fillId="0" borderId="15" xfId="3" applyNumberFormat="1" applyFill="1" applyBorder="1"/>
    <xf numFmtId="0" fontId="25" fillId="0" borderId="15" xfId="3" applyFill="1" applyBorder="1" applyAlignment="1">
      <alignment horizontal="left" vertical="center" wrapText="1"/>
    </xf>
    <xf numFmtId="1" fontId="38" fillId="0" borderId="0" xfId="1" applyNumberFormat="1" applyFont="1" applyFill="1" applyBorder="1"/>
    <xf numFmtId="0" fontId="27" fillId="0" borderId="15" xfId="0" applyFont="1" applyBorder="1" applyAlignment="1">
      <alignment horizontal="left" vertical="center" wrapText="1"/>
    </xf>
    <xf numFmtId="1" fontId="2" fillId="0" borderId="0" xfId="1" applyNumberFormat="1" applyFont="1" applyFill="1" applyBorder="1"/>
    <xf numFmtId="17" fontId="2" fillId="18" borderId="17" xfId="0" applyNumberFormat="1" applyFont="1" applyFill="1" applyBorder="1" applyProtection="1">
      <protection locked="0"/>
    </xf>
    <xf numFmtId="165" fontId="2" fillId="0" borderId="0" xfId="0" applyNumberFormat="1" applyFont="1" applyProtection="1">
      <protection locked="0"/>
    </xf>
    <xf numFmtId="1" fontId="5" fillId="0" borderId="17" xfId="0" applyNumberFormat="1" applyFont="1" applyBorder="1"/>
    <xf numFmtId="0" fontId="28" fillId="19" borderId="15" xfId="3" applyFont="1" applyFill="1" applyBorder="1" applyAlignment="1" applyProtection="1">
      <alignment wrapText="1"/>
    </xf>
    <xf numFmtId="0" fontId="28" fillId="19" borderId="15" xfId="3" applyFont="1" applyFill="1" applyBorder="1" applyProtection="1"/>
    <xf numFmtId="0" fontId="2" fillId="19" borderId="15" xfId="0" applyFont="1" applyFill="1" applyBorder="1"/>
    <xf numFmtId="0" fontId="38" fillId="0" borderId="22" xfId="1" applyNumberFormat="1" applyFont="1" applyFill="1" applyBorder="1"/>
    <xf numFmtId="166" fontId="5" fillId="0" borderId="6" xfId="1" applyNumberFormat="1" applyFont="1" applyFill="1" applyBorder="1"/>
    <xf numFmtId="0" fontId="9" fillId="0" borderId="6" xfId="0" applyFont="1" applyBorder="1"/>
    <xf numFmtId="166" fontId="45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" fontId="38" fillId="18" borderId="17" xfId="0" applyNumberFormat="1" applyFont="1" applyFill="1" applyBorder="1" applyProtection="1">
      <protection locked="0"/>
    </xf>
    <xf numFmtId="0" fontId="41" fillId="0" borderId="0" xfId="0" applyFont="1"/>
    <xf numFmtId="166" fontId="2" fillId="22" borderId="6" xfId="1" applyNumberFormat="1" applyFont="1" applyFill="1" applyBorder="1"/>
    <xf numFmtId="166" fontId="2" fillId="20" borderId="6" xfId="1" applyNumberFormat="1" applyFont="1" applyFill="1" applyBorder="1"/>
    <xf numFmtId="17" fontId="18" fillId="4" borderId="21" xfId="0" applyNumberFormat="1" applyFont="1" applyFill="1" applyBorder="1"/>
    <xf numFmtId="166" fontId="2" fillId="0" borderId="6" xfId="1" applyNumberFormat="1" applyFont="1" applyFill="1" applyBorder="1" applyProtection="1">
      <protection locked="0"/>
    </xf>
    <xf numFmtId="3" fontId="2" fillId="0" borderId="6" xfId="1" applyNumberFormat="1" applyFont="1" applyFill="1" applyBorder="1" applyProtection="1">
      <protection locked="0"/>
    </xf>
    <xf numFmtId="3" fontId="35" fillId="0" borderId="6" xfId="1" applyNumberFormat="1" applyFont="1" applyBorder="1" applyProtection="1">
      <protection locked="0"/>
    </xf>
    <xf numFmtId="17" fontId="18" fillId="2" borderId="22" xfId="0" applyNumberFormat="1" applyFont="1" applyFill="1" applyBorder="1"/>
    <xf numFmtId="3" fontId="2" fillId="0" borderId="6" xfId="1" applyNumberFormat="1" applyFont="1" applyBorder="1"/>
    <xf numFmtId="3" fontId="2" fillId="21" borderId="6" xfId="1" applyNumberFormat="1" applyFont="1" applyFill="1" applyBorder="1"/>
    <xf numFmtId="17" fontId="35" fillId="0" borderId="0" xfId="0" applyNumberFormat="1" applyFont="1" applyProtection="1">
      <protection locked="0"/>
    </xf>
    <xf numFmtId="17" fontId="3" fillId="18" borderId="32" xfId="0" applyNumberFormat="1" applyFont="1" applyFill="1" applyBorder="1" applyProtection="1">
      <protection locked="0"/>
    </xf>
    <xf numFmtId="166" fontId="35" fillId="0" borderId="6" xfId="1" applyNumberFormat="1" applyFont="1" applyBorder="1" applyProtection="1">
      <protection locked="0"/>
    </xf>
    <xf numFmtId="166" fontId="5" fillId="0" borderId="6" xfId="1" applyNumberFormat="1" applyFont="1" applyBorder="1" applyProtection="1">
      <protection locked="0"/>
    </xf>
    <xf numFmtId="3" fontId="5" fillId="0" borderId="6" xfId="1" applyNumberFormat="1" applyFont="1" applyBorder="1" applyProtection="1">
      <protection locked="0"/>
    </xf>
    <xf numFmtId="166" fontId="5" fillId="20" borderId="6" xfId="1" applyNumberFormat="1" applyFont="1" applyFill="1" applyBorder="1"/>
    <xf numFmtId="17" fontId="18" fillId="17" borderId="21" xfId="0" applyNumberFormat="1" applyFont="1" applyFill="1" applyBorder="1"/>
    <xf numFmtId="3" fontId="2" fillId="0" borderId="6" xfId="0" applyNumberFormat="1" applyFont="1" applyBorder="1" applyProtection="1">
      <protection locked="0"/>
    </xf>
    <xf numFmtId="166" fontId="5" fillId="0" borderId="43" xfId="1" applyNumberFormat="1" applyFont="1" applyFill="1" applyBorder="1" applyProtection="1">
      <protection locked="0"/>
    </xf>
    <xf numFmtId="0" fontId="29" fillId="0" borderId="43" xfId="0" applyFont="1" applyBorder="1" applyProtection="1">
      <protection locked="0"/>
    </xf>
    <xf numFmtId="10" fontId="5" fillId="0" borderId="6" xfId="1" applyNumberFormat="1" applyFont="1" applyBorder="1" applyProtection="1">
      <protection locked="0"/>
    </xf>
    <xf numFmtId="10" fontId="2" fillId="0" borderId="14" xfId="1" applyNumberFormat="1" applyFont="1" applyBorder="1" applyProtection="1">
      <protection locked="0"/>
    </xf>
    <xf numFmtId="10" fontId="2" fillId="0" borderId="43" xfId="1" applyNumberFormat="1" applyFont="1" applyBorder="1" applyProtection="1">
      <protection locked="0"/>
    </xf>
    <xf numFmtId="10" fontId="2" fillId="0" borderId="6" xfId="1" applyNumberFormat="1" applyFont="1" applyBorder="1" applyProtection="1">
      <protection locked="0"/>
    </xf>
    <xf numFmtId="3" fontId="5" fillId="0" borderId="6" xfId="0" applyNumberFormat="1" applyFont="1" applyBorder="1" applyProtection="1">
      <protection locked="0"/>
    </xf>
    <xf numFmtId="3" fontId="5" fillId="12" borderId="30" xfId="0" applyNumberFormat="1" applyFont="1" applyFill="1" applyBorder="1"/>
    <xf numFmtId="3" fontId="5" fillId="12" borderId="0" xfId="0" applyNumberFormat="1" applyFont="1" applyFill="1"/>
    <xf numFmtId="17" fontId="18" fillId="3" borderId="46" xfId="0" applyNumberFormat="1" applyFont="1" applyFill="1" applyBorder="1" applyAlignment="1">
      <alignment horizontal="left"/>
    </xf>
    <xf numFmtId="17" fontId="18" fillId="2" borderId="47" xfId="0" applyNumberFormat="1" applyFont="1" applyFill="1" applyBorder="1" applyAlignment="1">
      <alignment horizontal="left"/>
    </xf>
    <xf numFmtId="17" fontId="18" fillId="4" borderId="34" xfId="0" applyNumberFormat="1" applyFont="1" applyFill="1" applyBorder="1" applyAlignment="1">
      <alignment horizontal="left"/>
    </xf>
    <xf numFmtId="17" fontId="18" fillId="17" borderId="48" xfId="0" applyNumberFormat="1" applyFont="1" applyFill="1" applyBorder="1" applyAlignment="1">
      <alignment horizontal="left"/>
    </xf>
    <xf numFmtId="166" fontId="5" fillId="0" borderId="17" xfId="1" applyNumberFormat="1" applyFont="1" applyFill="1" applyBorder="1"/>
    <xf numFmtId="3" fontId="5" fillId="0" borderId="22" xfId="0" applyNumberFormat="1" applyFont="1" applyBorder="1"/>
    <xf numFmtId="3" fontId="5" fillId="0" borderId="22" xfId="1" applyNumberFormat="1" applyFont="1" applyFill="1" applyBorder="1"/>
    <xf numFmtId="166" fontId="5" fillId="0" borderId="22" xfId="1" applyNumberFormat="1" applyFont="1" applyFill="1" applyBorder="1"/>
    <xf numFmtId="0" fontId="0" fillId="19" borderId="0" xfId="0" applyFill="1" applyAlignment="1">
      <alignment horizontal="left"/>
    </xf>
    <xf numFmtId="0" fontId="0" fillId="19" borderId="0" xfId="0" applyFill="1"/>
    <xf numFmtId="0" fontId="2" fillId="19" borderId="0" xfId="0" applyFont="1" applyFill="1" applyProtection="1">
      <protection locked="0"/>
    </xf>
    <xf numFmtId="3" fontId="2" fillId="0" borderId="22" xfId="2" applyNumberFormat="1" applyFont="1" applyBorder="1"/>
    <xf numFmtId="3" fontId="35" fillId="0" borderId="22" xfId="0" applyNumberFormat="1" applyFont="1" applyBorder="1"/>
    <xf numFmtId="3" fontId="21" fillId="0" borderId="22" xfId="0" applyNumberFormat="1" applyFont="1" applyBorder="1"/>
    <xf numFmtId="165" fontId="25" fillId="0" borderId="15" xfId="3" applyNumberFormat="1" applyFill="1" applyBorder="1" applyProtection="1"/>
    <xf numFmtId="0" fontId="42" fillId="0" borderId="22" xfId="3" applyFont="1" applyBorder="1" applyProtection="1"/>
    <xf numFmtId="165" fontId="25" fillId="0" borderId="0" xfId="3" applyNumberFormat="1" applyFill="1" applyBorder="1"/>
    <xf numFmtId="0" fontId="28" fillId="19" borderId="22" xfId="3" applyFont="1" applyFill="1" applyBorder="1" applyAlignment="1" applyProtection="1">
      <alignment wrapText="1"/>
    </xf>
    <xf numFmtId="17" fontId="18" fillId="3" borderId="49" xfId="0" applyNumberFormat="1" applyFont="1" applyFill="1" applyBorder="1" applyAlignment="1">
      <alignment horizontal="left"/>
    </xf>
    <xf numFmtId="17" fontId="18" fillId="2" borderId="50" xfId="0" applyNumberFormat="1" applyFont="1" applyFill="1" applyBorder="1"/>
    <xf numFmtId="10" fontId="2" fillId="0" borderId="15" xfId="1" applyNumberFormat="1" applyFont="1" applyBorder="1"/>
    <xf numFmtId="3" fontId="37" fillId="23" borderId="0" xfId="0" applyNumberFormat="1" applyFont="1" applyFill="1"/>
    <xf numFmtId="0" fontId="12" fillId="0" borderId="0" xfId="0" applyFont="1"/>
  </cellXfs>
  <cellStyles count="5">
    <cellStyle name="Lien hypertexte" xfId="3" builtinId="8"/>
    <cellStyle name="Milliers" xfId="2" builtinId="3"/>
    <cellStyle name="Milliers 2" xfId="4" xr:uid="{00000000-0005-0000-0000-000031000000}"/>
    <cellStyle name="Normal" xfId="0" builtinId="0"/>
    <cellStyle name="Pourcentage" xfId="1" builtinId="5"/>
  </cellStyles>
  <dxfs count="1310"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protection locked="1" hidden="0"/>
    </dxf>
    <dxf>
      <font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protection locked="1" hidden="0"/>
    </dxf>
    <dxf>
      <font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</dxf>
    <dxf>
      <fill>
        <patternFill>
          <bgColor rgb="FF7030A0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theme="7" tint="0.79998168889431442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font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1" hidden="0"/>
    </dxf>
    <dxf>
      <border outline="0">
        <top style="thin">
          <color rgb="FF92CDDC"/>
        </top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rgb="FF92CDDC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1" hidden="0"/>
    </dxf>
    <dxf>
      <border outline="0">
        <top style="thin">
          <color rgb="FF92CDDC"/>
        </top>
      </border>
    </dxf>
    <dxf>
      <border outline="0">
        <top style="thin">
          <color rgb="FF92CDDC"/>
        </top>
        <bottom style="thin">
          <color rgb="FF92CDDC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2CDDC"/>
        </bottom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rgb="FF000000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1" hidden="0"/>
    </dxf>
    <dxf>
      <border outline="0">
        <top style="thin">
          <color rgb="FF95B3D7"/>
        </top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5B3D7"/>
        </bottom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3" formatCode="0%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7" tint="0.39997558519241921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right style="thin">
          <color theme="0" tint="-0.249977111117893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numFmt numFmtId="22" formatCode="mmm\-yy"/>
      <fill>
        <patternFill patternType="solid">
          <fgColor theme="4"/>
          <bgColor rgb="FF7030A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numFmt numFmtId="22" formatCode="mmm\-yy"/>
      <fill>
        <patternFill patternType="solid">
          <fgColor theme="4"/>
          <bgColor rgb="FFFF33CC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alignment horizontal="left" vertical="bottom" textRotation="0" wrapText="0" indent="0" justifyLastLine="0" shrinkToFit="0" readingOrder="0"/>
    </dxf>
    <dxf>
      <font>
        <b/>
        <family val="2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</dxf>
    <dxf>
      <numFmt numFmtId="2" formatCode="0.0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numFmt numFmtId="22" formatCode="mmm\-yy"/>
      <fill>
        <patternFill patternType="solid">
          <fgColor theme="4"/>
          <bgColor rgb="FF7030A0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22" formatCode="mmm\-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6" formatCode="0.0%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_-* #,##0\ _€_-;\-* #,##0\ _€_-;_-* &quot;-&quot;??\ _€_-;_-@_-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outline="0">
        <top style="thin">
          <color theme="4" tint="0.39997558519241921"/>
        </top>
      </border>
    </dxf>
    <dxf>
      <font>
        <b val="0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numFmt numFmtId="22" formatCode="mmm\-yy"/>
      <fill>
        <patternFill patternType="solid">
          <fgColor theme="4"/>
          <bgColor rgb="FFFF33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0" formatCode="General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border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3" formatCode="#,##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166" formatCode="0.0%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3" formatCode="#,##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protection locked="0" hidden="0"/>
    </dxf>
    <dxf>
      <border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name val="Arial Narrow"/>
        <scheme val="none"/>
      </font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</dxfs>
  <tableStyles count="0" defaultTableStyle="TableStyleMedium2" defaultPivotStyle="PivotStyleLight16"/>
  <colors>
    <mruColors>
      <color rgb="FFFF33CC"/>
      <color rgb="FFE46C09"/>
      <color rgb="FF974807"/>
      <color rgb="FFDD6909"/>
      <color rgb="FF00DE6F"/>
      <color rgb="FF00CC66"/>
      <color rgb="FF06FA97"/>
      <color rgb="FF66FF33"/>
      <color rgb="FF006600"/>
      <color rgb="FFFFD8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1"/>
              <a:t>Evolution</a:t>
            </a:r>
            <a:r>
              <a:rPr lang="fr-FR" sz="1400" b="1" i="1" baseline="0"/>
              <a:t> du nombre de Followers entre 2022 et 2024</a:t>
            </a:r>
            <a:endParaRPr lang="fr-FR" sz="1400" b="1" i="1"/>
          </a:p>
        </c:rich>
      </c:tx>
      <c:layout>
        <c:manualLayout>
          <c:xMode val="edge"/>
          <c:yMode val="edge"/>
          <c:x val="0.11122338455940205"/>
          <c:y val="8.0167098399548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9553435951152625E-2"/>
          <c:y val="0.17759121955984178"/>
          <c:w val="0.86657952099136404"/>
          <c:h val="0.642828167655217"/>
        </c:manualLayout>
      </c:layout>
      <c:barChart>
        <c:barDir val="col"/>
        <c:grouping val="clustered"/>
        <c:varyColors val="0"/>
        <c:ser>
          <c:idx val="1"/>
          <c:order val="0"/>
          <c:tx>
            <c:v>2022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('Réseaux sociaux courses'!$D$167,'Réseaux sociaux courses'!$D$168,'Réseaux sociaux courses'!$D$170)</c:f>
              <c:strCache>
                <c:ptCount val="3"/>
                <c:pt idx="0">
                  <c:v>Tour de France</c:v>
                </c:pt>
                <c:pt idx="1">
                  <c:v>Giro d'Italia</c:v>
                </c:pt>
                <c:pt idx="2">
                  <c:v>La Vuelta</c:v>
                </c:pt>
              </c:strCache>
            </c:strRef>
          </c:cat>
          <c:val>
            <c:numRef>
              <c:f>('Réseaux sociaux courses'!$BS$167,'Réseaux sociaux courses'!$BS$168,'Réseaux sociaux courses'!$BS$170)</c:f>
            </c:numRef>
          </c:val>
          <c:extLst>
            <c:ext xmlns:c16="http://schemas.microsoft.com/office/drawing/2014/chart" uri="{C3380CC4-5D6E-409C-BE32-E72D297353CC}">
              <c16:uniqueId val="{00000002-1245-4DCC-A081-2A0BDCAA61E3}"/>
            </c:ext>
          </c:extLst>
        </c:ser>
        <c:ser>
          <c:idx val="0"/>
          <c:order val="1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('Réseaux sociaux courses'!$D$167,'Réseaux sociaux courses'!$D$168,'Réseaux sociaux courses'!$D$170)</c:f>
              <c:strCache>
                <c:ptCount val="3"/>
                <c:pt idx="0">
                  <c:v>Tour de France</c:v>
                </c:pt>
                <c:pt idx="1">
                  <c:v>Giro d'Italia</c:v>
                </c:pt>
                <c:pt idx="2">
                  <c:v>La Vuelta</c:v>
                </c:pt>
              </c:strCache>
            </c:strRef>
          </c:cat>
          <c:val>
            <c:numRef>
              <c:f>('Réseaux sociaux courses'!$BW$167,'Réseaux sociaux courses'!$BW$168,'Réseaux sociaux courses'!$BW$170)</c:f>
              <c:numCache>
                <c:formatCode>_-* #\ ##0\ _€_-;\-* #\ ##0\ _€_-;_-* "-"??\ _€_-;_-@_-</c:formatCode>
                <c:ptCount val="3"/>
                <c:pt idx="0">
                  <c:v>9270959</c:v>
                </c:pt>
                <c:pt idx="1">
                  <c:v>4561837</c:v>
                </c:pt>
                <c:pt idx="2">
                  <c:v>1778986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5-4DCC-A081-2A0BDCA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9"/>
        <c:overlap val="-27"/>
        <c:axId val="521975488"/>
        <c:axId val="437042096"/>
      </c:barChart>
      <c:catAx>
        <c:axId val="5219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042096"/>
        <c:crosses val="autoZero"/>
        <c:auto val="1"/>
        <c:lblAlgn val="ctr"/>
        <c:lblOffset val="100"/>
        <c:noMultiLvlLbl val="0"/>
      </c:catAx>
      <c:valAx>
        <c:axId val="437042096"/>
        <c:scaling>
          <c:orientation val="minMax"/>
        </c:scaling>
        <c:delete val="1"/>
        <c:axPos val="l"/>
        <c:numFmt formatCode="_-* #\ ##0\ _€_-;\-* #\ ##0\ _€_-;_-* &quot;-&quot;??\ _€_-;_-@_-" sourceLinked="1"/>
        <c:majorTickMark val="none"/>
        <c:minorTickMark val="none"/>
        <c:tickLblPos val="nextTo"/>
        <c:crossAx val="521975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Evolution</a:t>
            </a:r>
            <a:r>
              <a:rPr lang="fr-FR" sz="1200" baseline="0"/>
              <a:t> du nombre de Folowers entre 2022 et 2024</a:t>
            </a:r>
            <a:endParaRPr lang="fr-F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'Réseaux sociaux courses'!$CP$186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'Réseaux sociaux courses'!$CO$187:$CO$188</c:f>
              <c:strCache>
                <c:ptCount val="2"/>
                <c:pt idx="0">
                  <c:v>Tour of Oman</c:v>
                </c:pt>
                <c:pt idx="1">
                  <c:v>Paris-Nice</c:v>
                </c:pt>
              </c:strCache>
            </c:strRef>
          </c:cat>
          <c:val>
            <c:numRef>
              <c:f>'Réseaux sociaux courses'!$CP$187:$CP$188</c:f>
              <c:numCache>
                <c:formatCode>_-* #\ ##0\ _€_-;\-* #\ ##0\ _€_-;_-* "-"??\ _€_-;_-@_-</c:formatCode>
                <c:ptCount val="2"/>
                <c:pt idx="0">
                  <c:v>40177</c:v>
                </c:pt>
                <c:pt idx="1">
                  <c:v>180283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F-4267-B756-41D1F940C143}"/>
            </c:ext>
          </c:extLst>
        </c:ser>
        <c:ser>
          <c:idx val="1"/>
          <c:order val="1"/>
          <c:tx>
            <c:strRef>
              <c:f>'Réseaux sociaux courses'!$CQ$186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'Réseaux sociaux courses'!$CO$187:$CO$188</c:f>
              <c:strCache>
                <c:ptCount val="2"/>
                <c:pt idx="0">
                  <c:v>Tour of Oman</c:v>
                </c:pt>
                <c:pt idx="1">
                  <c:v>Paris-Nice</c:v>
                </c:pt>
              </c:strCache>
            </c:strRef>
          </c:cat>
          <c:val>
            <c:numRef>
              <c:f>'Réseaux sociaux courses'!$CQ$187:$CQ$188</c:f>
              <c:numCache>
                <c:formatCode>_-* #\ ##0\ _€_-;\-* #\ ##0\ _€_-;_-* "-"??\ _€_-;_-@_-</c:formatCode>
                <c:ptCount val="2"/>
                <c:pt idx="0">
                  <c:v>59086</c:v>
                </c:pt>
                <c:pt idx="1">
                  <c:v>194207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F-4267-B756-41D1F940C143}"/>
            </c:ext>
          </c:extLst>
        </c:ser>
        <c:ser>
          <c:idx val="2"/>
          <c:order val="2"/>
          <c:tx>
            <c:strRef>
              <c:f>'Réseaux sociaux courses'!$CR$186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'Réseaux sociaux courses'!$CO$187:$CO$188</c:f>
              <c:strCache>
                <c:ptCount val="2"/>
                <c:pt idx="0">
                  <c:v>Tour of Oman</c:v>
                </c:pt>
                <c:pt idx="1">
                  <c:v>Paris-Nice</c:v>
                </c:pt>
              </c:strCache>
            </c:strRef>
          </c:cat>
          <c:val>
            <c:numRef>
              <c:f>'Réseaux sociaux courses'!$CR$187:$CR$188</c:f>
              <c:numCache>
                <c:formatCode>_-* #\ ##0\ _€_-;\-* #\ ##0\ _€_-;_-* "-"??\ _€_-;_-@_-</c:formatCode>
                <c:ptCount val="2"/>
                <c:pt idx="0">
                  <c:v>78067</c:v>
                </c:pt>
                <c:pt idx="1">
                  <c:v>227001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F-4267-B756-41D1F940C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305360"/>
        <c:axId val="654303440"/>
      </c:barChart>
      <c:catAx>
        <c:axId val="6543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4303440"/>
        <c:crosses val="autoZero"/>
        <c:auto val="1"/>
        <c:lblAlgn val="ctr"/>
        <c:lblOffset val="100"/>
        <c:noMultiLvlLbl val="0"/>
      </c:catAx>
      <c:valAx>
        <c:axId val="654303440"/>
        <c:scaling>
          <c:orientation val="minMax"/>
        </c:scaling>
        <c:delete val="1"/>
        <c:axPos val="l"/>
        <c:numFmt formatCode="_-* #\ ##0\ _€_-;\-* #\ ##0\ _€_-;_-* &quot;-&quot;??\ _€_-;_-@_-" sourceLinked="1"/>
        <c:majorTickMark val="none"/>
        <c:minorTickMark val="none"/>
        <c:tickLblPos val="nextTo"/>
        <c:crossAx val="65430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</a:t>
            </a:r>
            <a:r>
              <a:rPr lang="en-US" baseline="0"/>
              <a:t> du nombre de Followers des courses ASO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'Réseaux sociaux courses'!$CV$199</c:f>
              <c:strCache>
                <c:ptCount val="1"/>
                <c:pt idx="0">
                  <c:v>ASO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D-4BF7-9B27-4A6F2EF4E5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FD-4BF7-9B27-4A6F2EF4E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'Réseaux sociaux courses'!$CU$200:$CU$202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'Réseaux sociaux courses'!$CV$200:$CV$202</c:f>
              <c:numCache>
                <c:formatCode>_-* #\ ##0\ _€_-;\-* #\ ##0\ _€_-;_-* "-"??\ _€_-;_-@_-</c:formatCode>
                <c:ptCount val="3"/>
                <c:pt idx="0">
                  <c:v>10108346</c:v>
                </c:pt>
                <c:pt idx="1">
                  <c:v>12082398</c:v>
                </c:pt>
                <c:pt idx="2">
                  <c:v>12297473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D-4BF7-9B27-4A6F2EF4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119264"/>
        <c:axId val="442119744"/>
      </c:barChart>
      <c:catAx>
        <c:axId val="4421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2119744"/>
        <c:crosses val="autoZero"/>
        <c:auto val="1"/>
        <c:lblAlgn val="ctr"/>
        <c:lblOffset val="100"/>
        <c:noMultiLvlLbl val="0"/>
      </c:catAx>
      <c:valAx>
        <c:axId val="442119744"/>
        <c:scaling>
          <c:orientation val="minMax"/>
        </c:scaling>
        <c:delete val="1"/>
        <c:axPos val="l"/>
        <c:numFmt formatCode="_-* #\ ##0\ _€_-;\-* #\ ##0\ _€_-;_-* &quot;-&quot;??\ _€_-;_-@_-" sourceLinked="1"/>
        <c:majorTickMark val="none"/>
        <c:minorTickMark val="none"/>
        <c:tickLblPos val="nextTo"/>
        <c:crossAx val="442119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398637</xdr:colOff>
      <xdr:row>154</xdr:row>
      <xdr:rowOff>104361</xdr:rowOff>
    </xdr:from>
    <xdr:to>
      <xdr:col>99</xdr:col>
      <xdr:colOff>396428</xdr:colOff>
      <xdr:row>172</xdr:row>
      <xdr:rowOff>45157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7625C36-0803-0068-701A-849E96B94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91</xdr:col>
      <xdr:colOff>531282</xdr:colOff>
      <xdr:row>188</xdr:row>
      <xdr:rowOff>131234</xdr:rowOff>
    </xdr:from>
    <xdr:to>
      <xdr:col>97</xdr:col>
      <xdr:colOff>286807</xdr:colOff>
      <xdr:row>203</xdr:row>
      <xdr:rowOff>166159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B8508DB-3677-9E85-E9EA-A357B413B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99</xdr:col>
      <xdr:colOff>434975</xdr:colOff>
      <xdr:row>167</xdr:row>
      <xdr:rowOff>38100</xdr:rowOff>
    </xdr:from>
    <xdr:to>
      <xdr:col>106</xdr:col>
      <xdr:colOff>687918</xdr:colOff>
      <xdr:row>183</xdr:row>
      <xdr:rowOff>173567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BDBFDFF-AD62-8B9D-B82A-BD25F08BC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BX47" totalsRowCount="1" headerRowDxfId="1309" dataDxfId="1307" totalsRowDxfId="1305" headerRowBorderDxfId="1308" tableBorderDxfId="1306" totalsRowBorderDxfId="1304">
  <sortState xmlns:xlrd2="http://schemas.microsoft.com/office/spreadsheetml/2017/richdata2" ref="A2:BT46">
    <sortCondition descending="1" ref="BT2:BT46"/>
  </sortState>
  <tableColumns count="76">
    <tableColumn id="15" xr3:uid="{00000000-0010-0000-0000-00000F000000}" name="#" dataDxfId="1303" totalsRowDxfId="1302"/>
    <tableColumn id="1" xr3:uid="{00000000-0010-0000-0000-000001000000}" name="FACEBOOK" totalsRowLabel="Total" dataDxfId="1301" totalsRowDxfId="1300"/>
    <tableColumn id="17" xr3:uid="{00000000-0010-0000-0000-000011000000}" name="WorldTour" dataDxfId="1299" totalsRowDxfId="1298"/>
    <tableColumn id="16" xr3:uid="{00000000-0010-0000-0000-000010000000}" name="Type" dataDxfId="1297" totalsRowDxfId="1296"/>
    <tableColumn id="2" xr3:uid="{00000000-0010-0000-0000-000002000000}" name="févr-15" totalsRowFunction="sum" dataDxfId="1295" totalsRowDxfId="1294"/>
    <tableColumn id="3" xr3:uid="{00000000-0010-0000-0000-000003000000}" name="mars-15" totalsRowFunction="sum" dataDxfId="1293" totalsRowDxfId="1292"/>
    <tableColumn id="4" xr3:uid="{00000000-0010-0000-0000-000004000000}" name="avr-15" totalsRowFunction="sum" dataDxfId="1291" totalsRowDxfId="1290"/>
    <tableColumn id="5" xr3:uid="{00000000-0010-0000-0000-000005000000}" name="mai-15" totalsRowFunction="sum" dataDxfId="1289" totalsRowDxfId="1288"/>
    <tableColumn id="6" xr3:uid="{00000000-0010-0000-0000-000006000000}" name="juin-15" totalsRowFunction="sum" dataDxfId="1287" totalsRowDxfId="1286"/>
    <tableColumn id="7" xr3:uid="{00000000-0010-0000-0000-000007000000}" name="juil-15" totalsRowFunction="sum" dataDxfId="1285" totalsRowDxfId="1284"/>
    <tableColumn id="8" xr3:uid="{00000000-0010-0000-0000-000008000000}" name="août-15" totalsRowFunction="sum" dataDxfId="1283" totalsRowDxfId="1282"/>
    <tableColumn id="9" xr3:uid="{00000000-0010-0000-0000-000009000000}" name="sept-15" totalsRowFunction="sum" dataDxfId="1281" totalsRowDxfId="1280"/>
    <tableColumn id="10" xr3:uid="{00000000-0010-0000-0000-00000A000000}" name="oct-15" totalsRowFunction="sum" dataDxfId="1279" totalsRowDxfId="1278"/>
    <tableColumn id="11" xr3:uid="{00000000-0010-0000-0000-00000B000000}" name="nov-15" totalsRowFunction="sum" dataDxfId="1277" totalsRowDxfId="1276"/>
    <tableColumn id="12" xr3:uid="{00000000-0010-0000-0000-00000C000000}" name="déc-15" totalsRowFunction="sum" dataDxfId="1275" totalsRowDxfId="1274"/>
    <tableColumn id="13" xr3:uid="{00000000-0010-0000-0000-00000D000000}" name="janv-16" totalsRowFunction="sum" dataDxfId="1273" totalsRowDxfId="1272"/>
    <tableColumn id="14" xr3:uid="{00000000-0010-0000-0000-00000E000000}" name="févr-16" totalsRowFunction="sum" dataDxfId="1271" totalsRowDxfId="1270"/>
    <tableColumn id="20" xr3:uid="{00000000-0010-0000-0000-000014000000}" name="mars-16" totalsRowFunction="sum" dataDxfId="1269" totalsRowDxfId="1268"/>
    <tableColumn id="21" xr3:uid="{00000000-0010-0000-0000-000015000000}" name="avr-16" totalsRowFunction="sum" dataDxfId="1267" totalsRowDxfId="1266"/>
    <tableColumn id="23" xr3:uid="{00000000-0010-0000-0000-000017000000}" name="mai-16" totalsRowFunction="sum" dataDxfId="1265" totalsRowDxfId="1264"/>
    <tableColumn id="22" xr3:uid="{00000000-0010-0000-0000-000016000000}" name="juin-16" totalsRowFunction="sum" dataDxfId="1263" totalsRowDxfId="1262"/>
    <tableColumn id="24" xr3:uid="{00000000-0010-0000-0000-000018000000}" name="juil-16" totalsRowFunction="sum" dataDxfId="1261" totalsRowDxfId="1260"/>
    <tableColumn id="25" xr3:uid="{00000000-0010-0000-0000-000019000000}" name="août-16" totalsRowFunction="sum" dataDxfId="1259" totalsRowDxfId="1258"/>
    <tableColumn id="26" xr3:uid="{00000000-0010-0000-0000-00001A000000}" name="sept-16" totalsRowFunction="sum" dataDxfId="1257" totalsRowDxfId="1256"/>
    <tableColumn id="27" xr3:uid="{00000000-0010-0000-0000-00001B000000}" name="oct-16" totalsRowFunction="sum" dataDxfId="1255" totalsRowDxfId="1254"/>
    <tableColumn id="28" xr3:uid="{00000000-0010-0000-0000-00001C000000}" name="nov-16" totalsRowFunction="sum" dataDxfId="1253" totalsRowDxfId="1252"/>
    <tableColumn id="29" xr3:uid="{00000000-0010-0000-0000-00001D000000}" name="déc-16" totalsRowFunction="sum" dataDxfId="1251" totalsRowDxfId="1250"/>
    <tableColumn id="30" xr3:uid="{00000000-0010-0000-0000-00001E000000}" name="janv-17" totalsRowFunction="sum" dataDxfId="1249" totalsRowDxfId="1248"/>
    <tableColumn id="31" xr3:uid="{00000000-0010-0000-0000-00001F000000}" name="févr-17" totalsRowFunction="sum" dataDxfId="1247" totalsRowDxfId="1246"/>
    <tableColumn id="33" xr3:uid="{00000000-0010-0000-0000-000021000000}" name="mars-17" totalsRowFunction="sum" dataDxfId="1245" totalsRowDxfId="1244"/>
    <tableColumn id="34" xr3:uid="{00000000-0010-0000-0000-000022000000}" name="avr-17" totalsRowFunction="sum" dataDxfId="1243" totalsRowDxfId="1242"/>
    <tableColumn id="35" xr3:uid="{00000000-0010-0000-0000-000023000000}" name="mai-17" totalsRowFunction="sum" dataDxfId="1241" totalsRowDxfId="1240"/>
    <tableColumn id="36" xr3:uid="{00000000-0010-0000-0000-000024000000}" name="juin-17" totalsRowFunction="sum" dataDxfId="1239" totalsRowDxfId="1238"/>
    <tableColumn id="37" xr3:uid="{00000000-0010-0000-0000-000025000000}" name="juil-17" totalsRowFunction="sum" dataDxfId="1237" totalsRowDxfId="1236"/>
    <tableColumn id="38" xr3:uid="{00000000-0010-0000-0000-000026000000}" name="août-17" totalsRowFunction="sum" dataDxfId="1235" totalsRowDxfId="1234"/>
    <tableColumn id="39" xr3:uid="{00000000-0010-0000-0000-000027000000}" name="sept-17" totalsRowFunction="sum" dataDxfId="1233" totalsRowDxfId="1232"/>
    <tableColumn id="40" xr3:uid="{00000000-0010-0000-0000-000028000000}" name="oct-17" totalsRowFunction="sum" dataDxfId="1231" totalsRowDxfId="1230"/>
    <tableColumn id="41" xr3:uid="{00000000-0010-0000-0000-000029000000}" name="nov-17" totalsRowFunction="sum" dataDxfId="1229" totalsRowDxfId="1228"/>
    <tableColumn id="42" xr3:uid="{00000000-0010-0000-0000-00002A000000}" name="déc-17" totalsRowFunction="custom" dataDxfId="1227" totalsRowDxfId="1226">
      <totalsRowFormula>SUM(AM2:AM46)</totalsRowFormula>
    </tableColumn>
    <tableColumn id="44" xr3:uid="{00000000-0010-0000-0000-00002C000000}" name="janv-18" totalsRowFunction="custom" dataDxfId="1225" totalsRowDxfId="1224">
      <totalsRowFormula>SUM(AN2:AN46)</totalsRowFormula>
    </tableColumn>
    <tableColumn id="43" xr3:uid="{00000000-0010-0000-0000-00002B000000}" name="fev-18" totalsRowFunction="custom" dataDxfId="1223" totalsRowDxfId="1222">
      <totalsRowFormula>SUM(AO2:AO46)</totalsRowFormula>
    </tableColumn>
    <tableColumn id="45" xr3:uid="{00000000-0010-0000-0000-00002D000000}" name="mars-18" totalsRowFunction="custom" dataDxfId="1221" totalsRowDxfId="1220">
      <totalsRowFormula>SUM(AP2:AP46)</totalsRowFormula>
    </tableColumn>
    <tableColumn id="46" xr3:uid="{00000000-0010-0000-0000-00002E000000}" name="avr-18" totalsRowFunction="custom" dataDxfId="1219" totalsRowDxfId="1218">
      <totalsRowFormula>SUM(AQ2:AQ46)</totalsRowFormula>
    </tableColumn>
    <tableColumn id="47" xr3:uid="{D6174276-CDDE-4304-9E62-0E990744FF37}" name="mai-18" totalsRowFunction="custom" dataDxfId="1217" totalsRowDxfId="1216">
      <totalsRowFormula>SUM(AR2:AR46)</totalsRowFormula>
    </tableColumn>
    <tableColumn id="48" xr3:uid="{10737188-10D2-40AB-B893-D841E6177715}" name="juin-18" totalsRowFunction="custom" dataDxfId="1215" totalsRowDxfId="1214">
      <totalsRowFormula>SUM(AS2:AS46)</totalsRowFormula>
    </tableColumn>
    <tableColumn id="49" xr3:uid="{B0C5912B-E4D3-4177-8773-EAFA53ECDADE}" name="juil-18" totalsRowFunction="sum" dataDxfId="1213" totalsRowDxfId="1212"/>
    <tableColumn id="50" xr3:uid="{4679DA79-9412-41E2-B140-4A9F62A9737E}" name="août-18" totalsRowFunction="sum" dataDxfId="1211" totalsRowDxfId="1210"/>
    <tableColumn id="51" xr3:uid="{C6AD3813-8C5C-4FFA-9E53-B45C2F772464}" name="sept-18" totalsRowFunction="sum" dataDxfId="1209" totalsRowDxfId="1208"/>
    <tableColumn id="52" xr3:uid="{B7926E70-A218-4A1E-AB15-6D331A65716F}" name="oct-18" totalsRowFunction="sum" dataDxfId="1207" totalsRowDxfId="1206"/>
    <tableColumn id="53" xr3:uid="{82AA92FE-859A-4351-9D2E-18E8A0320EF5}" name="nov-18" totalsRowFunction="sum" dataDxfId="1205" totalsRowDxfId="1204"/>
    <tableColumn id="54" xr3:uid="{2B2293B6-8ED7-420B-97D3-1DCBD0B2FC6F}" name="dec-18" totalsRowFunction="sum" dataDxfId="1203" totalsRowDxfId="1202"/>
    <tableColumn id="55" xr3:uid="{E8DBDEE0-1B75-41FD-89B7-66AF5AD75E12}" name="janv-19" totalsRowFunction="sum" dataDxfId="1201" totalsRowDxfId="1200"/>
    <tableColumn id="56" xr3:uid="{1A74F7F1-644B-433B-98CB-03B332450C84}" name="févr-19" totalsRowFunction="sum" dataDxfId="1199" totalsRowDxfId="1198"/>
    <tableColumn id="57" xr3:uid="{97CBC791-E268-404B-A21E-CDB109BBE2BB}" name="mars-19" totalsRowFunction="sum" dataDxfId="1197" totalsRowDxfId="1196"/>
    <tableColumn id="58" xr3:uid="{554F84AC-F84E-4E2F-ABC2-B83E9EB8CEFE}" name="avr-19" totalsRowFunction="sum" dataDxfId="1195" totalsRowDxfId="1194"/>
    <tableColumn id="59" xr3:uid="{D26A0668-CE02-433E-BE5D-E9EFEF8C4B27}" name="mai-19" totalsRowFunction="sum" dataDxfId="1193" totalsRowDxfId="1192"/>
    <tableColumn id="19" xr3:uid="{64513F75-4847-4201-8912-DE492AC09CD1}" name="juin-19" totalsRowFunction="sum" dataDxfId="1191" totalsRowDxfId="1190"/>
    <tableColumn id="60" xr3:uid="{EBACFAC1-0B2B-4265-92B3-AA5355A09D6A}" name="juil-19" totalsRowFunction="sum" dataDxfId="1189" totalsRowDxfId="1188"/>
    <tableColumn id="61" xr3:uid="{ABE0298F-ADEB-4109-BB12-198E57787865}" name="août-19" totalsRowFunction="sum" dataDxfId="1187" totalsRowDxfId="1186"/>
    <tableColumn id="62" xr3:uid="{F2CD4808-E43A-4E00-BE54-F306199888E9}" name="sept-19" totalsRowFunction="sum" dataDxfId="1185" totalsRowDxfId="1184"/>
    <tableColumn id="63" xr3:uid="{39A9DEE5-F92E-44B6-BA7E-65A992AC2CE0}" name="oct-19" totalsRowFunction="sum" dataDxfId="1183" totalsRowDxfId="1182"/>
    <tableColumn id="64" xr3:uid="{B1FAB4B1-ACB1-44D4-93E4-AAE71F43C53C}" name="nov-19" totalsRowFunction="sum" dataDxfId="1181" totalsRowDxfId="1180"/>
    <tableColumn id="65" xr3:uid="{ACC054A8-B641-4CF0-8C5A-21F08EE1F14C}" name="dec-19" totalsRowFunction="sum" dataDxfId="1179" totalsRowDxfId="1178"/>
    <tableColumn id="18" xr3:uid="{00000000-0010-0000-0000-000012000000}" name="mars-20" dataDxfId="1177" totalsRowDxfId="1176">
      <calculatedColumnFormula>(Tableau1[[#This Row],[nov-19]]-Tableau1[[#This Row],[oct-19]])/Tableau1[[#This Row],[oct-19]]</calculatedColumnFormula>
    </tableColumn>
    <tableColumn id="32" xr3:uid="{00000000-0010-0000-0000-000020000000}" name="Evol. Mensuelle" dataDxfId="1175" totalsRowDxfId="1174">
      <calculatedColumnFormula>(Tableau1[[#This Row],[mars-20]]-Tableau1[[#This Row],[dec-19]])/Tableau1[[#This Row],[dec-19]]</calculatedColumnFormula>
    </tableColumn>
    <tableColumn id="66" xr3:uid="{966CD4D9-F093-4150-BCF5-C7159C741A29}" name="Evol. Mensuelle2" dataDxfId="1173" totalsRowDxfId="1172">
      <calculatedColumnFormula>Tableau1[[#This Row],[mars-20]]-Tableau1[[#This Row],[dec-19]]</calculatedColumnFormula>
    </tableColumn>
    <tableColumn id="67" xr3:uid="{0B6B5E29-0DF4-4DEA-8F0B-1CAAC5FF0150}" name="sept-20" totalsRowFunction="sum" dataDxfId="1171" totalsRowDxfId="1170" dataCellStyle="Pourcentage"/>
    <tableColumn id="68" xr3:uid="{12C662BD-F379-4400-9DDD-12112F7087DE}" name="nov-20" totalsRowFunction="sum" dataDxfId="1169" totalsRowDxfId="1168"/>
    <tableColumn id="69" xr3:uid="{04E096BB-3B19-4411-A50B-D6DB5CADA570}" name="sept-21" totalsRowFunction="sum" dataDxfId="1167" totalsRowDxfId="1166"/>
    <tableColumn id="70" xr3:uid="{EC5C42EF-D809-4A19-BE35-3272E0BD1376}" name="mars-22" totalsRowFunction="sum" dataDxfId="1165" totalsRowDxfId="1164"/>
    <tableColumn id="71" xr3:uid="{B0B18A8B-A638-451F-B353-0B47FDF8FE1E}" name="avr-22" totalsRowFunction="sum" dataDxfId="1163" totalsRowDxfId="1162"/>
    <tableColumn id="72" xr3:uid="{92C5754B-4D56-4845-9DAF-00B6E578BD36}" name="sept-22" totalsRowFunction="custom" dataDxfId="1161" totalsRowDxfId="1160">
      <totalsRowFormula>SUM(Tableau1[sept-22])</totalsRowFormula>
    </tableColumn>
    <tableColumn id="73" xr3:uid="{CD596558-4B95-452F-888F-717B63A9982C}" name="nov-22" totalsRowFunction="custom" dataDxfId="1159" totalsRowDxfId="1158">
      <totalsRowFormula>SUM(Tableau1[nov-22])</totalsRowFormula>
    </tableColumn>
    <tableColumn id="74" xr3:uid="{DE1BC997-31AC-43E6-AF57-C8559F763997}" name="oct-23" totalsRowFunction="custom" dataDxfId="1157" totalsRowDxfId="1156">
      <totalsRowFormula>SUM(Tableau1[oct-23])</totalsRowFormula>
    </tableColumn>
    <tableColumn id="75" xr3:uid="{9B59329B-47CC-4034-B4D3-C55753A4A639}" name="avr-24" totalsRowFunction="custom" dataDxfId="1155" totalsRowDxfId="1154">
      <totalsRowFormula>SUM(Tableau1[avr-24])</totalsRowFormula>
    </tableColumn>
    <tableColumn id="76" xr3:uid="{AAA2284B-DC97-49BA-97B3-FC9B8240DBB2}" name="juin-24" totalsRowFunction="custom" dataDxfId="1153" totalsRowDxfId="1152">
      <totalsRowFormula>SUM(Tableau1[juin-24])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50:BX108" totalsRowCount="1" headerRowDxfId="1151" dataDxfId="1149" totalsRowDxfId="1147" headerRowBorderDxfId="1150" tableBorderDxfId="1148" totalsRowBorderDxfId="1146">
  <sortState xmlns:xlrd2="http://schemas.microsoft.com/office/spreadsheetml/2017/richdata2" ref="A51:BT105">
    <sortCondition descending="1" ref="BT51:BT105"/>
  </sortState>
  <tableColumns count="76">
    <tableColumn id="15" xr3:uid="{00000000-0010-0000-0100-00000F000000}" name="#" dataDxfId="1145" totalsRowDxfId="1144"/>
    <tableColumn id="1" xr3:uid="{00000000-0010-0000-0100-000001000000}" name="TWITTER" totalsRowLabel="Total" dataDxfId="1143" totalsRowDxfId="1142"/>
    <tableColumn id="17" xr3:uid="{00000000-0010-0000-0100-000011000000}" name="WorldTour" dataDxfId="1141" totalsRowDxfId="1140"/>
    <tableColumn id="16" xr3:uid="{00000000-0010-0000-0100-000010000000}" name="Type" dataDxfId="1139" totalsRowDxfId="1138"/>
    <tableColumn id="2" xr3:uid="{00000000-0010-0000-0100-000002000000}" name="févr-15" totalsRowFunction="sum" dataDxfId="1137" totalsRowDxfId="1136"/>
    <tableColumn id="3" xr3:uid="{00000000-0010-0000-0100-000003000000}" name="mars-15" totalsRowFunction="sum" dataDxfId="1135" totalsRowDxfId="1134"/>
    <tableColumn id="4" xr3:uid="{00000000-0010-0000-0100-000004000000}" name="avr-15" totalsRowFunction="sum" dataDxfId="1133" totalsRowDxfId="1132"/>
    <tableColumn id="5" xr3:uid="{00000000-0010-0000-0100-000005000000}" name="mai-15" totalsRowFunction="sum" dataDxfId="1131" totalsRowDxfId="1130"/>
    <tableColumn id="6" xr3:uid="{00000000-0010-0000-0100-000006000000}" name="juin-15" totalsRowFunction="sum" dataDxfId="1129" totalsRowDxfId="1128"/>
    <tableColumn id="7" xr3:uid="{00000000-0010-0000-0100-000007000000}" name="juil-15" totalsRowFunction="sum" dataDxfId="1127" totalsRowDxfId="1126"/>
    <tableColumn id="8" xr3:uid="{00000000-0010-0000-0100-000008000000}" name="août-15" totalsRowFunction="sum" dataDxfId="1125" totalsRowDxfId="1124"/>
    <tableColumn id="9" xr3:uid="{00000000-0010-0000-0100-000009000000}" name="sept-15" totalsRowFunction="sum" dataDxfId="1123" totalsRowDxfId="1122"/>
    <tableColumn id="10" xr3:uid="{00000000-0010-0000-0100-00000A000000}" name="oct-15" totalsRowFunction="sum" dataDxfId="1121" totalsRowDxfId="1120"/>
    <tableColumn id="11" xr3:uid="{00000000-0010-0000-0100-00000B000000}" name="nov-15" totalsRowFunction="sum" dataDxfId="1119" totalsRowDxfId="1118"/>
    <tableColumn id="12" xr3:uid="{00000000-0010-0000-0100-00000C000000}" name="déc-15" totalsRowFunction="sum" dataDxfId="1117" totalsRowDxfId="1116"/>
    <tableColumn id="13" xr3:uid="{00000000-0010-0000-0100-00000D000000}" name="janv-16" totalsRowFunction="sum" dataDxfId="1115" totalsRowDxfId="1114"/>
    <tableColumn id="14" xr3:uid="{00000000-0010-0000-0100-00000E000000}" name="févr-16" totalsRowFunction="sum" dataDxfId="1113" totalsRowDxfId="1112"/>
    <tableColumn id="20" xr3:uid="{00000000-0010-0000-0100-000014000000}" name="mars-16" totalsRowFunction="sum" dataDxfId="1111" totalsRowDxfId="1110"/>
    <tableColumn id="21" xr3:uid="{00000000-0010-0000-0100-000015000000}" name="avr-16" totalsRowFunction="sum" dataDxfId="1109" totalsRowDxfId="1108"/>
    <tableColumn id="22" xr3:uid="{00000000-0010-0000-0100-000016000000}" name="mai-16" totalsRowFunction="sum" dataDxfId="1107" totalsRowDxfId="1106"/>
    <tableColumn id="23" xr3:uid="{00000000-0010-0000-0100-000017000000}" name="juin-16" totalsRowFunction="sum" dataDxfId="1105" totalsRowDxfId="1104"/>
    <tableColumn id="24" xr3:uid="{00000000-0010-0000-0100-000018000000}" name="juil-16" totalsRowFunction="sum" dataDxfId="1103" totalsRowDxfId="1102"/>
    <tableColumn id="25" xr3:uid="{00000000-0010-0000-0100-000019000000}" name="août-16" totalsRowFunction="sum" dataDxfId="1101" totalsRowDxfId="1100"/>
    <tableColumn id="26" xr3:uid="{00000000-0010-0000-0100-00001A000000}" name="sept-16" totalsRowFunction="sum" dataDxfId="1099" totalsRowDxfId="1098"/>
    <tableColumn id="27" xr3:uid="{00000000-0010-0000-0100-00001B000000}" name="oct-16" totalsRowFunction="sum" dataDxfId="1097" totalsRowDxfId="1096"/>
    <tableColumn id="28" xr3:uid="{00000000-0010-0000-0100-00001C000000}" name="nov-16" totalsRowFunction="sum" dataDxfId="1095" totalsRowDxfId="1094"/>
    <tableColumn id="29" xr3:uid="{00000000-0010-0000-0100-00001D000000}" name="déc-16" totalsRowFunction="sum" dataDxfId="1093" totalsRowDxfId="1092"/>
    <tableColumn id="30" xr3:uid="{00000000-0010-0000-0100-00001E000000}" name="janv-17" totalsRowFunction="sum" dataDxfId="1091" totalsRowDxfId="1090"/>
    <tableColumn id="31" xr3:uid="{00000000-0010-0000-0100-00001F000000}" name="févr-17" totalsRowFunction="sum" dataDxfId="1089" totalsRowDxfId="1088"/>
    <tableColumn id="33" xr3:uid="{00000000-0010-0000-0100-000021000000}" name="mars-17" totalsRowFunction="sum" dataDxfId="1087" totalsRowDxfId="1086"/>
    <tableColumn id="34" xr3:uid="{00000000-0010-0000-0100-000022000000}" name="avr-17" totalsRowFunction="sum" dataDxfId="1085" totalsRowDxfId="1084"/>
    <tableColumn id="35" xr3:uid="{00000000-0010-0000-0100-000023000000}" name="mai-17" totalsRowFunction="sum" dataDxfId="1083" totalsRowDxfId="1082"/>
    <tableColumn id="36" xr3:uid="{00000000-0010-0000-0100-000024000000}" name="juin-17" totalsRowFunction="sum" dataDxfId="1081" totalsRowDxfId="1080"/>
    <tableColumn id="37" xr3:uid="{00000000-0010-0000-0100-000025000000}" name="juil-17" totalsRowFunction="sum" dataDxfId="1079" totalsRowDxfId="1078"/>
    <tableColumn id="38" xr3:uid="{00000000-0010-0000-0100-000026000000}" name="août-17" totalsRowFunction="sum" dataDxfId="1077" totalsRowDxfId="1076"/>
    <tableColumn id="39" xr3:uid="{00000000-0010-0000-0100-000027000000}" name="sept-17" totalsRowFunction="sum" dataDxfId="1075" totalsRowDxfId="1074"/>
    <tableColumn id="40" xr3:uid="{00000000-0010-0000-0100-000028000000}" name="oct-17" totalsRowFunction="sum" dataDxfId="1073" totalsRowDxfId="1072"/>
    <tableColumn id="41" xr3:uid="{00000000-0010-0000-0100-000029000000}" name="nov-17" totalsRowFunction="sum" dataDxfId="1071" totalsRowDxfId="1070"/>
    <tableColumn id="42" xr3:uid="{00000000-0010-0000-0100-00002A000000}" name="déc-17" totalsRowFunction="sum" dataDxfId="1069" totalsRowDxfId="1068"/>
    <tableColumn id="44" xr3:uid="{00000000-0010-0000-0100-00002C000000}" name="janv-18" totalsRowFunction="sum" dataDxfId="1067" totalsRowDxfId="1066"/>
    <tableColumn id="43" xr3:uid="{00000000-0010-0000-0100-00002B000000}" name="fev-18" totalsRowFunction="sum" dataDxfId="1065" totalsRowDxfId="1064"/>
    <tableColumn id="45" xr3:uid="{00000000-0010-0000-0100-00002D000000}" name="mars-18" totalsRowFunction="sum" dataDxfId="1063" totalsRowDxfId="1062"/>
    <tableColumn id="46" xr3:uid="{00000000-0010-0000-0100-00002E000000}" name="avr-18" totalsRowFunction="sum" dataDxfId="1061" totalsRowDxfId="1060"/>
    <tableColumn id="47" xr3:uid="{E00AD226-260C-40B1-9D7F-82D613646B04}" name="mai-18" totalsRowFunction="sum" dataDxfId="1059" totalsRowDxfId="1058"/>
    <tableColumn id="48" xr3:uid="{109141B5-EFD8-4E1F-95D5-BEE11BDB5C7F}" name="juin-18" totalsRowFunction="sum" dataDxfId="1057" totalsRowDxfId="1056"/>
    <tableColumn id="49" xr3:uid="{21C109AA-3C3E-4FBF-B36F-509704071E42}" name="juil-18" totalsRowFunction="sum" dataDxfId="1055" totalsRowDxfId="1054"/>
    <tableColumn id="50" xr3:uid="{50ABF230-5C53-4F13-8465-0B9E0CD9B68F}" name="août-18" totalsRowFunction="sum" dataDxfId="1053" totalsRowDxfId="1052"/>
    <tableColumn id="51" xr3:uid="{B1EF239F-9168-4583-8976-E853EF6160DC}" name="sept-18" totalsRowFunction="sum" dataDxfId="1051" totalsRowDxfId="1050"/>
    <tableColumn id="52" xr3:uid="{ECD8529D-C81F-4407-B9A2-B673C6C234A8}" name="oct-18" totalsRowFunction="sum" dataDxfId="1049" totalsRowDxfId="1048"/>
    <tableColumn id="53" xr3:uid="{EAC1C864-1E7D-4184-8F7C-32FC0530CB7B}" name="nov-18" totalsRowFunction="sum" dataDxfId="1047" totalsRowDxfId="1046"/>
    <tableColumn id="54" xr3:uid="{CC80313D-7094-44A9-9EA6-E67B733103D9}" name="dec-18" totalsRowFunction="sum" dataDxfId="1045" totalsRowDxfId="1044"/>
    <tableColumn id="55" xr3:uid="{E6A74781-3364-4319-AF8B-122CEC975490}" name="janv-19" totalsRowFunction="sum" dataDxfId="1043" totalsRowDxfId="1042"/>
    <tableColumn id="57" xr3:uid="{C029E4BE-F04C-4289-8B44-2C4D3BEDCD1D}" name="févr-19" totalsRowFunction="sum" dataDxfId="1041" totalsRowDxfId="1040"/>
    <tableColumn id="56" xr3:uid="{83CD4A6E-83FD-4717-AC6E-C012A5D5BDD9}" name="mars-19" totalsRowFunction="sum" dataDxfId="1039" totalsRowDxfId="1038"/>
    <tableColumn id="58" xr3:uid="{0A70BE22-3C7F-4F22-82CD-D6D36BCF6B1B}" name="avr-19" totalsRowFunction="sum" dataDxfId="1037" totalsRowDxfId="1036"/>
    <tableColumn id="19" xr3:uid="{67A8C682-417D-4CDE-8ADE-3297FCAA9AD7}" name="mai-19" totalsRowFunction="sum" dataDxfId="1035" totalsRowDxfId="1034"/>
    <tableColumn id="60" xr3:uid="{26D69EFC-3118-45B6-9F15-2E9B08AD97FA}" name="juin-19" totalsRowFunction="sum" dataDxfId="1033" totalsRowDxfId="1032"/>
    <tableColumn id="59" xr3:uid="{2B59FB5E-8409-4098-82C6-D042C747D947}" name="juil-19" totalsRowFunction="sum" dataDxfId="1031" totalsRowDxfId="1030"/>
    <tableColumn id="61" xr3:uid="{B416EF0C-9B88-4B6C-A962-77EA440B0D48}" name="août-19" totalsRowFunction="sum" dataDxfId="1029" totalsRowDxfId="1028"/>
    <tableColumn id="62" xr3:uid="{786FE76D-D548-4789-94D8-560ADE38051C}" name="sept-19" totalsRowFunction="sum" dataDxfId="1027" totalsRowDxfId="1026"/>
    <tableColumn id="63" xr3:uid="{F11AC468-D6B2-4CF7-AA2D-3112C4360A04}" name="oct-19" totalsRowFunction="sum" dataDxfId="1025" totalsRowDxfId="1024"/>
    <tableColumn id="64" xr3:uid="{6A4E9640-3A01-4CA2-BEB3-A2E8955270A8}" name="nov-19" totalsRowFunction="sum" dataDxfId="1023" totalsRowDxfId="1022"/>
    <tableColumn id="65" xr3:uid="{2F7980C7-0F03-4A8D-9344-F7647D4E4B50}" name="dec-19" totalsRowFunction="sum" dataDxfId="1021" totalsRowDxfId="1020"/>
    <tableColumn id="18" xr3:uid="{00000000-0010-0000-0100-000012000000}" name="mars-20" dataDxfId="1019" totalsRowDxfId="1018" dataCellStyle="Pourcentage">
      <calculatedColumnFormula>(Tableau2[[#This Row],[mars-18]]-Tableau2[[#This Row],[fev-18]])/Tableau2[[#This Row],[fev-18]]</calculatedColumnFormula>
    </tableColumn>
    <tableColumn id="32" xr3:uid="{00000000-0010-0000-0100-000020000000}" name="Evol. mensuelle" dataDxfId="1017" totalsRowDxfId="1016">
      <calculatedColumnFormula>(Tableau1[[#This Row],[mars-20]]-Tableau1[[#This Row],[dec-19]])/Tableau1[[#This Row],[dec-19]]</calculatedColumnFormula>
    </tableColumn>
    <tableColumn id="66" xr3:uid="{20DDA5A0-9DB2-4936-8F41-E1A6AB835DB2}" name="Evol. Mensuelle2" dataDxfId="1015" totalsRowDxfId="1014"/>
    <tableColumn id="67" xr3:uid="{4A1A5FCC-3093-492F-8679-E9A5FD29509F}" name="sept-20" totalsRowFunction="sum" dataDxfId="1013" totalsRowDxfId="1012" dataCellStyle="Pourcentage"/>
    <tableColumn id="68" xr3:uid="{BB5DEDE2-E5F9-4CFE-9970-02D9CE03FF8A}" name="nov-20" totalsRowFunction="sum" dataDxfId="1011" totalsRowDxfId="1010"/>
    <tableColumn id="69" xr3:uid="{996CD64A-8BA4-4E09-9B05-60B4005264F2}" name="sept-21" totalsRowFunction="sum" dataDxfId="1009" totalsRowDxfId="1008"/>
    <tableColumn id="70" xr3:uid="{3CEBE18A-1F5A-4703-A9B5-C4C4D8E44059}" name="mars-22" totalsRowFunction="sum" dataDxfId="1007" totalsRowDxfId="1006"/>
    <tableColumn id="71" xr3:uid="{24FC1487-B9FA-42F8-97F9-D77820B595CF}" name="avr-22" totalsRowFunction="sum" dataDxfId="1005" totalsRowDxfId="1004"/>
    <tableColumn id="72" xr3:uid="{916BB7EF-AD39-40DA-8DE0-18AE6830AF43}" name="sept-22" totalsRowFunction="custom" dataDxfId="1003" totalsRowDxfId="1002">
      <totalsRowFormula>SUM(Tableau2[sept-22])</totalsRowFormula>
    </tableColumn>
    <tableColumn id="73" xr3:uid="{4CDEB6D2-9F8B-4965-8317-36733F9D79EC}" name="nov-22" totalsRowFunction="custom" dataDxfId="1001" totalsRowDxfId="1000">
      <totalsRowFormula>SUM(Tableau2[nov-22])</totalsRowFormula>
    </tableColumn>
    <tableColumn id="74" xr3:uid="{C7B6A1CE-091A-47DD-BBFE-FB7FB7184FD5}" name="oct-23" totalsRowFunction="custom" dataDxfId="999" totalsRowDxfId="998">
      <totalsRowFormula>SUM(Tableau2[oct-23])</totalsRowFormula>
    </tableColumn>
    <tableColumn id="75" xr3:uid="{239D9669-2E61-41AD-AC00-347C6A2EB148}" name="avr-24" totalsRowFunction="custom" dataDxfId="997" totalsRowDxfId="996">
      <totalsRowFormula>SUM(Tableau2[avr-24])</totalsRowFormula>
    </tableColumn>
    <tableColumn id="76" xr3:uid="{ADA7DD78-7F5C-450B-9E11-559EA9051A29}" name="juin-24" totalsRowFunction="custom" dataDxfId="995" totalsRowDxfId="994">
      <totalsRowFormula>SUM(Tableau2[juin-24])</totalsRow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au7" displayName="Tableau7" ref="A111:BX151" totalsRowShown="0" headerRowDxfId="993" dataDxfId="991" headerRowBorderDxfId="992" tableBorderDxfId="990">
  <sortState xmlns:xlrd2="http://schemas.microsoft.com/office/spreadsheetml/2017/richdata2" ref="A112:BT150">
    <sortCondition descending="1" ref="BT112:BT150"/>
  </sortState>
  <tableColumns count="76">
    <tableColumn id="1" xr3:uid="{00000000-0010-0000-0400-000001000000}" name="#" dataDxfId="989"/>
    <tableColumn id="2" xr3:uid="{00000000-0010-0000-0400-000002000000}" name="INSTAGRAM" dataDxfId="988" dataCellStyle="Lien hypertexte"/>
    <tableColumn id="3" xr3:uid="{00000000-0010-0000-0400-000003000000}" name="WorldTour" dataDxfId="987"/>
    <tableColumn id="4" xr3:uid="{00000000-0010-0000-0400-000004000000}" name="Type" dataDxfId="986"/>
    <tableColumn id="5" xr3:uid="{00000000-0010-0000-0400-000005000000}" name="févr-15" dataDxfId="985"/>
    <tableColumn id="6" xr3:uid="{00000000-0010-0000-0400-000006000000}" name="mars-15" dataDxfId="984"/>
    <tableColumn id="7" xr3:uid="{00000000-0010-0000-0400-000007000000}" name="avr-15" dataDxfId="983"/>
    <tableColumn id="8" xr3:uid="{00000000-0010-0000-0400-000008000000}" name="mai-15" dataDxfId="982"/>
    <tableColumn id="9" xr3:uid="{00000000-0010-0000-0400-000009000000}" name="juin-15" dataDxfId="981"/>
    <tableColumn id="10" xr3:uid="{00000000-0010-0000-0400-00000A000000}" name="juil-15" dataDxfId="980"/>
    <tableColumn id="11" xr3:uid="{00000000-0010-0000-0400-00000B000000}" name="août-15" dataDxfId="979"/>
    <tableColumn id="12" xr3:uid="{00000000-0010-0000-0400-00000C000000}" name="sept-15" dataDxfId="978"/>
    <tableColumn id="13" xr3:uid="{00000000-0010-0000-0400-00000D000000}" name="oct-15" dataDxfId="977"/>
    <tableColumn id="14" xr3:uid="{00000000-0010-0000-0400-00000E000000}" name="nov-15" dataDxfId="976"/>
    <tableColumn id="15" xr3:uid="{00000000-0010-0000-0400-00000F000000}" name="déc-15" dataDxfId="975"/>
    <tableColumn id="16" xr3:uid="{00000000-0010-0000-0400-000010000000}" name="janv-16" dataDxfId="974"/>
    <tableColumn id="17" xr3:uid="{00000000-0010-0000-0400-000011000000}" name="févr-16" dataDxfId="973"/>
    <tableColumn id="18" xr3:uid="{00000000-0010-0000-0400-000012000000}" name="mars-16" dataDxfId="972"/>
    <tableColumn id="19" xr3:uid="{00000000-0010-0000-0400-000013000000}" name="avr-16" dataDxfId="971"/>
    <tableColumn id="20" xr3:uid="{00000000-0010-0000-0400-000014000000}" name="mai-16" dataDxfId="970"/>
    <tableColumn id="21" xr3:uid="{00000000-0010-0000-0400-000015000000}" name="juin-16" dataDxfId="969"/>
    <tableColumn id="22" xr3:uid="{00000000-0010-0000-0400-000016000000}" name="juil-16" dataDxfId="968"/>
    <tableColumn id="23" xr3:uid="{00000000-0010-0000-0400-000017000000}" name="août-16" dataDxfId="967"/>
    <tableColumn id="24" xr3:uid="{00000000-0010-0000-0400-000018000000}" name="sept-16" dataDxfId="966"/>
    <tableColumn id="25" xr3:uid="{00000000-0010-0000-0400-000019000000}" name="oct-16" dataDxfId="965"/>
    <tableColumn id="26" xr3:uid="{00000000-0010-0000-0400-00001A000000}" name="nov-16" dataDxfId="964"/>
    <tableColumn id="27" xr3:uid="{00000000-0010-0000-0400-00001B000000}" name="déc-16" dataDxfId="963"/>
    <tableColumn id="28" xr3:uid="{00000000-0010-0000-0400-00001C000000}" name="janv-17" dataDxfId="962"/>
    <tableColumn id="29" xr3:uid="{00000000-0010-0000-0400-00001D000000}" name="févr-17" dataDxfId="961"/>
    <tableColumn id="30" xr3:uid="{00000000-0010-0000-0400-00001E000000}" name="mars-17" dataDxfId="960"/>
    <tableColumn id="31" xr3:uid="{00000000-0010-0000-0400-00001F000000}" name="avr-17" dataDxfId="959"/>
    <tableColumn id="32" xr3:uid="{00000000-0010-0000-0400-000020000000}" name="mai-17" dataDxfId="958"/>
    <tableColumn id="33" xr3:uid="{00000000-0010-0000-0400-000021000000}" name="juin-17" dataDxfId="957"/>
    <tableColumn id="34" xr3:uid="{00000000-0010-0000-0400-000022000000}" name="juil-17" dataDxfId="956"/>
    <tableColumn id="35" xr3:uid="{00000000-0010-0000-0400-000023000000}" name="août-17" dataDxfId="955"/>
    <tableColumn id="36" xr3:uid="{00000000-0010-0000-0400-000024000000}" name="sept-17" dataDxfId="954"/>
    <tableColumn id="37" xr3:uid="{00000000-0010-0000-0400-000025000000}" name="oct-17" dataDxfId="953"/>
    <tableColumn id="38" xr3:uid="{00000000-0010-0000-0400-000026000000}" name="nov-17" dataDxfId="952"/>
    <tableColumn id="39" xr3:uid="{00000000-0010-0000-0400-000027000000}" name="déc-17" dataDxfId="951"/>
    <tableColumn id="40" xr3:uid="{00000000-0010-0000-0400-000028000000}" name="janv-18" dataDxfId="950"/>
    <tableColumn id="41" xr3:uid="{00000000-0010-0000-0400-000029000000}" name="fev-18" dataDxfId="949"/>
    <tableColumn id="42" xr3:uid="{00000000-0010-0000-0400-00002A000000}" name="mars-18" dataDxfId="948" dataCellStyle="Milliers"/>
    <tableColumn id="43" xr3:uid="{00000000-0010-0000-0400-00002B000000}" name="avr-18" dataDxfId="947" dataCellStyle="Milliers"/>
    <tableColumn id="47" xr3:uid="{B1E1B6BD-7F5B-45BD-8D84-04D19C0D7F36}" name="mai-18" dataDxfId="946" dataCellStyle="Milliers"/>
    <tableColumn id="48" xr3:uid="{90526E0D-5400-460C-9540-05B1DC524263}" name="juin-18" dataDxfId="945" dataCellStyle="Milliers"/>
    <tableColumn id="49" xr3:uid="{18B6FCAA-A4C8-4233-B39E-F9BD57DB83B8}" name="juil-18" dataDxfId="944" dataCellStyle="Milliers"/>
    <tableColumn id="50" xr3:uid="{16A59B98-4134-4F2C-83BF-500F67230F16}" name="août-18" dataDxfId="943" dataCellStyle="Milliers"/>
    <tableColumn id="51" xr3:uid="{A47B8791-4E50-4481-986F-EDACC54649DA}" name="sept-18" dataDxfId="942" dataCellStyle="Milliers"/>
    <tableColumn id="52" xr3:uid="{DBB09E2D-6450-4063-9996-C60771851CB4}" name="oct-18" dataDxfId="941" dataCellStyle="Milliers"/>
    <tableColumn id="53" xr3:uid="{950AF122-10ED-46FB-9186-8613E23C5CB0}" name="nov-18" dataDxfId="940" dataCellStyle="Milliers"/>
    <tableColumn id="54" xr3:uid="{0BAEB772-209D-4F38-8D57-402A005FFC4D}" name="dec-18"/>
    <tableColumn id="55" xr3:uid="{564C8C86-6981-4B3E-9EEB-6E78AA1647A8}" name="janv-19"/>
    <tableColumn id="56" xr3:uid="{3EEA4ED2-A7D7-45C7-BAF5-23DB8022A3CE}" name="févr-19"/>
    <tableColumn id="57" xr3:uid="{8C9E36A6-24C9-4DE6-9121-81D6D095B420}" name="mars-19"/>
    <tableColumn id="45" xr3:uid="{177D9F4D-FBF9-498A-8ECD-CC4575392771}" name="avr-19" dataDxfId="939" dataCellStyle="Milliers"/>
    <tableColumn id="58" xr3:uid="{DEE584E5-3201-42D5-987F-D0176F80FFA6}" name="mai-19"/>
    <tableColumn id="59" xr3:uid="{B8B406D4-55A7-4BB1-BD64-4408730F1484}" name="juin-19"/>
    <tableColumn id="60" xr3:uid="{AECA368B-3D31-48A2-BDA1-4A8372E503B1}" name="juil-19"/>
    <tableColumn id="61" xr3:uid="{7BAF46B9-C9C8-4519-92BA-FCDCE436A30C}" name="août-19"/>
    <tableColumn id="62" xr3:uid="{ACF175C8-B9A7-4949-89AC-AF4EE4E72DB2}" name="sept-19"/>
    <tableColumn id="63" xr3:uid="{F5F14390-8449-4EE0-B590-D273AC2EFB35}" name="oct-19"/>
    <tableColumn id="64" xr3:uid="{7C98B2A7-53B4-4308-AAD3-B1986D596578}" name="nov-19"/>
    <tableColumn id="65" xr3:uid="{15563EE5-07F7-48ED-87E6-D8FEC8BDFDF9}" name="dec-19"/>
    <tableColumn id="44" xr3:uid="{00000000-0010-0000-0400-00002C000000}" name="mars-20" dataDxfId="938" dataCellStyle="Pourcentage">
      <calculatedColumnFormula>(Tableau7[[#This Row],[août-19]]-Tableau7[[#This Row],[juil-19]])/Tableau7[[#This Row],[juil-19]]</calculatedColumnFormula>
    </tableColumn>
    <tableColumn id="46" xr3:uid="{00000000-0010-0000-0400-00002E000000}" name="Evol. mensuelle" dataDxfId="937" dataCellStyle="Pourcentage"/>
    <tableColumn id="66" xr3:uid="{9765EF9A-BBD5-42D2-8B9C-EC14DC0C655F}" name="Evol. Mensuelle2" dataDxfId="936"/>
    <tableColumn id="67" xr3:uid="{99B4C56E-F562-4100-9ABB-A8987D62B98D}" name="sept-20" dataDxfId="935"/>
    <tableColumn id="68" xr3:uid="{F08A42F6-F763-4FF0-9A40-E1A97A4DD08C}" name="nov-20" dataDxfId="934"/>
    <tableColumn id="69" xr3:uid="{DF224529-C9BB-4F32-8370-B57EEEEE6924}" name="sept-21" dataDxfId="933"/>
    <tableColumn id="70" xr3:uid="{47EDA07E-971E-4F2D-97E2-5155C5645805}" name="mars-22" dataDxfId="932"/>
    <tableColumn id="71" xr3:uid="{2AE9712A-C5E3-4AC0-A760-8C2A8ED54D97}" name="avr-22" dataDxfId="931"/>
    <tableColumn id="72" xr3:uid="{BEA24C33-56E5-4F55-9D80-10A1B1E7CB93}" name="sept-22" dataDxfId="930"/>
    <tableColumn id="73" xr3:uid="{D6FFB1DA-D56B-4B16-BB41-16A0D3E04096}" name="nov-22" dataDxfId="929"/>
    <tableColumn id="74" xr3:uid="{74A5D432-37B1-4881-A79B-ADDA9394BF03}" name="oct-23" dataDxfId="928"/>
    <tableColumn id="75" xr3:uid="{757B9A91-BBE6-4163-8B32-1B6366460BEC}" name="avr-24" dataDxfId="927"/>
    <tableColumn id="76" xr3:uid="{5AB6496F-F07C-4B06-839B-62CFE29DB60C}" name="juin-24" dataDxfId="92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83466A-9607-47A0-80F6-FD37757B8EB3}" name="Tableau12" displayName="Tableau12" ref="D166:BX207" totalsRowShown="0" headerRowDxfId="925" dataDxfId="924">
  <autoFilter ref="D166:BX207" xr:uid="{750B80BE-5989-48C5-9FEB-A5D53B367555}"/>
  <sortState xmlns:xlrd2="http://schemas.microsoft.com/office/spreadsheetml/2017/richdata2" ref="D167:BT206">
    <sortCondition descending="1" ref="BT166:BT206"/>
  </sortState>
  <tableColumns count="73">
    <tableColumn id="1" xr3:uid="{5B06F8C5-5FA8-40EA-AC02-1E08D0056414}" name="Epreuves" dataDxfId="923"/>
    <tableColumn id="4" xr3:uid="{88903561-9AF6-4D4B-A69C-8BA657E52EAD}" name="févr-15" dataDxfId="922"/>
    <tableColumn id="5" xr3:uid="{519FDB2C-09C5-4893-ADC5-C0AA6471A5EE}" name="mars-15" dataDxfId="921"/>
    <tableColumn id="6" xr3:uid="{D3E95F9A-5E3E-4755-BB82-0B26650051E2}" name="avr-15" dataDxfId="920"/>
    <tableColumn id="7" xr3:uid="{AD112F8E-8169-40E7-A37D-408432FD093A}" name="mai-15" dataDxfId="919"/>
    <tableColumn id="8" xr3:uid="{5BA50DC5-B56B-4B87-A648-2463739CD7A2}" name="juin-15" dataDxfId="918"/>
    <tableColumn id="9" xr3:uid="{40FEEE75-D679-4694-986B-35031648BAC5}" name="juil-15" dataDxfId="917"/>
    <tableColumn id="10" xr3:uid="{CC4F5E16-51AF-4596-9D57-716E3060F2DE}" name="août-15" dataDxfId="916"/>
    <tableColumn id="11" xr3:uid="{227BB857-E451-41B6-BBAD-448AE97FA92C}" name="sept-15" dataDxfId="915"/>
    <tableColumn id="12" xr3:uid="{557762ED-3D7E-4681-9BE7-C1C7CC2621BF}" name="oct-15" dataDxfId="914"/>
    <tableColumn id="13" xr3:uid="{0A8B755E-1184-4E6D-B6C3-47944A53AEDF}" name="nov-15" dataDxfId="913"/>
    <tableColumn id="14" xr3:uid="{0FB486F2-0610-450B-80A8-F6FCC12F66FE}" name="déc-15" dataDxfId="912"/>
    <tableColumn id="15" xr3:uid="{6229FA26-3DB3-4FAC-91A8-A62F0307BBB5}" name="janv-16" dataDxfId="911"/>
    <tableColumn id="16" xr3:uid="{FC278CCB-3EBB-455A-90F2-756D11BACC2F}" name="févr-16" dataDxfId="910"/>
    <tableColumn id="17" xr3:uid="{5B3C46C0-1B3A-481A-82D7-57985BB9711E}" name="mars-16" dataDxfId="909"/>
    <tableColumn id="18" xr3:uid="{92C7403C-C124-4508-BE26-EAAA3421F1C6}" name="avr-16" dataDxfId="908"/>
    <tableColumn id="19" xr3:uid="{796B692B-0983-4F54-A3FB-9AF8C1C6655B}" name="mai-16" dataDxfId="907"/>
    <tableColumn id="20" xr3:uid="{BC742E4E-67F2-43A3-ACB2-C7B114C80D31}" name="juin-16" dataDxfId="906"/>
    <tableColumn id="21" xr3:uid="{8FD57C4D-C5D8-4F02-AE80-E2443538E6FD}" name="juil-16" dataDxfId="905"/>
    <tableColumn id="22" xr3:uid="{0E76D245-F71B-43AE-8F17-D07EE4DE9197}" name="août-16" dataDxfId="904"/>
    <tableColumn id="23" xr3:uid="{F0E8CA91-4A51-4EF4-AFFA-25EF157A1158}" name="sept-16" dataDxfId="903"/>
    <tableColumn id="24" xr3:uid="{10FA1A37-3F98-4408-BD6F-30F2DF50226E}" name="oct-16" dataDxfId="902"/>
    <tableColumn id="25" xr3:uid="{CEDC2083-0802-4B10-B800-2959705E765E}" name="nov-16" dataDxfId="901"/>
    <tableColumn id="26" xr3:uid="{A376589B-8EA5-429C-8C75-9275DA7A4433}" name="déc-16" dataDxfId="900"/>
    <tableColumn id="27" xr3:uid="{351F690A-D8E4-4496-AC05-E7CEA346EDE9}" name="janv-17" dataDxfId="899"/>
    <tableColumn id="28" xr3:uid="{690A8011-F376-463B-9518-EEB2D1C9F8E5}" name="févr-17" dataDxfId="898"/>
    <tableColumn id="29" xr3:uid="{8E614074-E8AE-4947-8F03-1BA5D1930A95}" name="mars-17" dataDxfId="897"/>
    <tableColumn id="30" xr3:uid="{28F8D66B-5DD5-46E4-95A4-F97963C79D87}" name="avr-17" dataDxfId="896"/>
    <tableColumn id="31" xr3:uid="{4F61FBB2-D9D3-417D-9E07-DE79C7790B75}" name="mai-17" dataDxfId="895"/>
    <tableColumn id="32" xr3:uid="{7451E8FB-7A28-423F-B630-AB85DB53D83B}" name="juin-17" dataDxfId="894"/>
    <tableColumn id="33" xr3:uid="{4319040F-8390-4D58-BFD3-2EFEAEDBC6E0}" name="juil-17" dataDxfId="893"/>
    <tableColumn id="34" xr3:uid="{E18B931B-0D8B-45A9-8822-1AE76AF06FDF}" name="août-17" dataDxfId="892"/>
    <tableColumn id="35" xr3:uid="{442F8C9B-0A35-496B-98D2-8F30FAFBBD4F}" name="sept-17" dataDxfId="891"/>
    <tableColumn id="36" xr3:uid="{2885687F-938E-44F9-BB2E-18299CDB40F9}" name="oct-17" dataDxfId="890"/>
    <tableColumn id="37" xr3:uid="{EB396AF0-EC08-4541-9786-CEDAFA6BF14E}" name="nov-17" dataDxfId="889"/>
    <tableColumn id="38" xr3:uid="{8DF6C060-4900-4404-BC1E-8A3C62DA3D09}" name="déc-17" dataDxfId="888"/>
    <tableColumn id="39" xr3:uid="{C956F57F-431A-4F47-AACC-8CD19536F116}" name="janv-18" dataDxfId="887"/>
    <tableColumn id="40" xr3:uid="{2D8DE1A1-E02F-4D9D-A88D-4610027D91A4}" name="fev-18" dataDxfId="886"/>
    <tableColumn id="41" xr3:uid="{A209368D-AF99-4FA4-9F12-6976C28A1999}" name="mars-18" dataDxfId="885"/>
    <tableColumn id="42" xr3:uid="{5A458121-1AA8-4368-BC55-C744516FDA0A}" name="avr-18" dataDxfId="884"/>
    <tableColumn id="43" xr3:uid="{3CF6661C-BB95-46AD-837E-FB83429E8980}" name="mai-18" dataDxfId="883"/>
    <tableColumn id="44" xr3:uid="{6E5E5746-2750-4AA2-A221-534139E98E79}" name="juin-18" dataDxfId="882"/>
    <tableColumn id="45" xr3:uid="{E6AB96E7-C642-46A9-9309-3EA22D78EA64}" name="juil-18" dataDxfId="881"/>
    <tableColumn id="46" xr3:uid="{694325A5-DFD8-4749-A96C-2CE32DF6846D}" name="août-18" dataDxfId="880"/>
    <tableColumn id="47" xr3:uid="{636FA707-F103-482D-B9AA-7D1C8E10F022}" name="sept-18" dataDxfId="879"/>
    <tableColumn id="2" xr3:uid="{182E85FA-69AC-462E-BC1B-FF41312E8E71}" name="oct-18" dataDxfId="878">
      <calculatedColumnFormula>VLOOKUP(E167,$B$1:$CB$44,47,0)+VLOOKUP(E167,$B$49:$BF$105,47,0)+VLOOKUP(E167,$B$109:$BD$139,47,0)</calculatedColumnFormula>
    </tableColumn>
    <tableColumn id="3" xr3:uid="{C27AD08E-64A9-43F1-B638-66AD42DFEC7F}" name="nov-18" dataDxfId="877" dataCellStyle="Milliers">
      <calculatedColumnFormula>VLOOKUP($D167,$B$2:$CB$44,49,0)+VLOOKUP($D167,$B$51:$CB$105,49,0)+VLOOKUP($D167,$B$112:$BZ$147,49,0)</calculatedColumnFormula>
    </tableColumn>
    <tableColumn id="51" xr3:uid="{5F85C610-05AA-45D7-A212-8B341FD8F3FA}" name="dec-18" dataDxfId="876" dataCellStyle="Milliers"/>
    <tableColumn id="49" xr3:uid="{48183446-7050-49F1-B434-B5D0B5A8B79E}" name="janv-19" dataDxfId="875" dataCellStyle="Milliers">
      <calculatedColumnFormula>VLOOKUP($D167,$B$2:$CB$44,51,0)+VLOOKUP($D167,$B$51:$CB$105,51,0)+VLOOKUP($D167,$B$112:$BZ$147,51,0)</calculatedColumnFormula>
    </tableColumn>
    <tableColumn id="52" xr3:uid="{EC700F1B-7747-4E81-84EA-A4129A4182CF}" name="févr-19" dataDxfId="874" dataCellStyle="Milliers"/>
    <tableColumn id="53" xr3:uid="{DC03933F-FA12-496D-99A2-03478351CEE4}" name="mars-19" dataDxfId="873" dataCellStyle="Milliers"/>
    <tableColumn id="54" xr3:uid="{39098036-C413-424B-97BB-9200EE280C3C}" name="avr-19" dataDxfId="872" dataCellStyle="Milliers"/>
    <tableColumn id="55" xr3:uid="{187E8F8D-7FA4-41B8-A6D0-217291760562}" name="mai-19" dataDxfId="871" dataCellStyle="Milliers">
      <calculatedColumnFormula>VLOOKUP($D167,$B$2:$CB$44,55,0)+VLOOKUP($D167,$B$51:$CB$105,55,0)+VLOOKUP($D167,$B$112:$BZ$147,55,0)</calculatedColumnFormula>
    </tableColumn>
    <tableColumn id="56" xr3:uid="{48D74682-59D3-4D4F-92A9-951939AE25C7}" name="juin-19" dataDxfId="870" dataCellStyle="Milliers">
      <calculatedColumnFormula>VLOOKUP($D167,$B$2:$CB$44,56,0)+VLOOKUP($D167,$B$49:$BM$82,56,0)+VLOOKUP($D167,$B$110:$BM$141,56,0)</calculatedColumnFormula>
    </tableColumn>
    <tableColumn id="57" xr3:uid="{0D313BAA-D6E7-4BC5-AE66-502130B3DC36}" name="juil-19" dataDxfId="869" dataCellStyle="Milliers">
      <calculatedColumnFormula>VLOOKUP($D167,$B$2:$BM$46,57,0)+VLOOKUP($D167,$B$51:$BN$85,57,0)+VLOOKUP($D167,$B$112:$BN$148,57,0)</calculatedColumnFormula>
    </tableColumn>
    <tableColumn id="58" xr3:uid="{AB75CA7E-2D19-4E70-855F-DB6445CB231A}" name="août-19" dataDxfId="868" dataCellStyle="Milliers">
      <calculatedColumnFormula>VLOOKUP($D167,$B$2:$BM$46,58,0)+VLOOKUP($D167,$B$51:$BM$93,58,0)+VLOOKUP($D167,$B$112:$BN$148,58,0)</calculatedColumnFormula>
    </tableColumn>
    <tableColumn id="59" xr3:uid="{EB71761B-AB0D-4702-B073-F4AE54E80BC3}" name="sept-19" dataDxfId="867" dataCellStyle="Milliers">
      <calculatedColumnFormula>VLOOKUP($D167,$B$2:$BM$46,59,0)+VLOOKUP($D167,$B$51:$BM$107,59,0)+VLOOKUP($D167,$B$112:$BM$151,59,0)</calculatedColumnFormula>
    </tableColumn>
    <tableColumn id="60" xr3:uid="{FDB09F19-5E6A-45DE-B98B-03CD3C258817}" name="oct-19" dataDxfId="866" dataCellStyle="Milliers">
      <calculatedColumnFormula>VLOOKUP($D167,$B$2:$BM$46,60,0)+VLOOKUP($D167,$B$51:$BM$107,60,0)+VLOOKUP($D167,$B$112:$BM$151,60,0)</calculatedColumnFormula>
    </tableColumn>
    <tableColumn id="61" xr3:uid="{D759A86E-6121-41EA-8232-3491AB4CF7F5}" name="nov-19" dataDxfId="865" dataCellStyle="Milliers">
      <calculatedColumnFormula>VLOOKUP($D167,$B$2:$BM$46,61,0)+VLOOKUP($D167,$B$51:$BM$107,61,0)+VLOOKUP($D167,$B$112:$BM$151,61,0)</calculatedColumnFormula>
    </tableColumn>
    <tableColumn id="62" xr3:uid="{DF96DDBB-86B2-427A-9FE7-FED9589F8029}" name="dec-19" dataDxfId="864" dataCellStyle="Milliers">
      <calculatedColumnFormula>VLOOKUP($D167,$B$2:$BM$46,62,0)+VLOOKUP($D167,$B$51:$BM$107,62,0)+VLOOKUP($D167,$B$112:$BM$151,62,0)</calculatedColumnFormula>
    </tableColumn>
    <tableColumn id="48" xr3:uid="{B98776AA-B4C2-4F4C-BAD4-6754B37DCDF7}" name="mars-20" dataDxfId="863">
      <calculatedColumnFormula>VLOOKUP($D167,$B$2:$BM$46,63,0)+VLOOKUP($D167,$B$51:$BM$107,63,0)+VLOOKUP($D167,$B$112:$BM$151,63,0)</calculatedColumnFormula>
    </tableColumn>
    <tableColumn id="50" xr3:uid="{AEE9F454-579A-48B2-9772-0B33D2F7D250}" name="mars-21" dataDxfId="862" dataCellStyle="Pourcentage"/>
    <tableColumn id="63" xr3:uid="{9F200E6B-F482-483F-9610-A5C0BE63DA9F}" name="mars-22" dataDxfId="861" dataCellStyle="Milliers"/>
    <tableColumn id="64" xr3:uid="{E2229AED-F6AE-42A2-AAD9-FB373406D9E4}" name="sept-20" dataDxfId="860" dataCellStyle="Milliers"/>
    <tableColumn id="65" xr3:uid="{3A9A6E7A-238F-4EBD-8BA7-A571A02CA85F}" name="nov-20" dataDxfId="859" dataCellStyle="Milliers"/>
    <tableColumn id="66" xr3:uid="{2B63ADFC-0018-4944-9C51-E2AA0DE5C94F}" name="sept-21" dataDxfId="858" dataCellStyle="Milliers"/>
    <tableColumn id="67" xr3:uid="{56ADE8E1-0C53-40D1-AF52-D0C871BFB028}" name="mars-222" dataDxfId="857" dataCellStyle="Milliers"/>
    <tableColumn id="68" xr3:uid="{76A848AC-28C3-4592-B75F-F3A2F4084A36}" name="avr-22" dataDxfId="856" dataCellStyle="Milliers"/>
    <tableColumn id="69" xr3:uid="{4C747FD5-387D-46FC-968C-88B303759DC4}" name="sept-22" dataDxfId="855" dataCellStyle="Milliers">
      <calculatedColumnFormula>VLOOKUP(D167,Tableau1[[FACEBOOK]:[sept-22]],71,0)+VLOOKUP(Tableau12[[#This Row],[Epreuves]],$B$52:$BT$106,71,0)+VLOOKUP(Tableau12[[#This Row],[Epreuves]],Tableau7[[INSTAGRAM]:[sept-22]],71,0)</calculatedColumnFormula>
    </tableColumn>
    <tableColumn id="70" xr3:uid="{79EFDB2A-383D-431E-AAF6-C2D724D4A320}" name="nov-22" dataDxfId="854" dataCellStyle="Milliers">
      <calculatedColumnFormula>VLOOKUP(D167,Tableau1[[FACEBOOK]:[nov-22]],72,0)+VLOOKUP(Tableau12[[#This Row],[Epreuves]],B25:BU81,72,0)+VLOOKUP(Tableau12[[#This Row],[Epreuves]],Tableau7[[INSTAGRAM]:[nov-22]],72,0)</calculatedColumnFormula>
    </tableColumn>
    <tableColumn id="71" xr3:uid="{E3AECF8C-0DF8-4544-9FD9-2CFC784B84C1}" name="oct-23" dataDxfId="853" dataCellStyle="Milliers">
      <calculatedColumnFormula>BV2+BV112+BV51+BV157</calculatedColumnFormula>
    </tableColumn>
    <tableColumn id="72" xr3:uid="{0A08DAFE-8402-411B-81D4-9A2184748908}" name="avr-24" dataDxfId="852" dataCellStyle="Milliers">
      <calculatedColumnFormula>BW2+BW112+BW51+BW157</calculatedColumnFormula>
    </tableColumn>
    <tableColumn id="73" xr3:uid="{AF561EFE-E9DE-4ED4-96F0-FFD0183243C3}" name="avr-25" dataDxfId="851" dataCellStyle="Milliers">
      <calculatedColumnFormula>BX2+BX51+BX112+BX157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3DCBB1-2731-4229-A433-03161D95502C}" name="Tableau15" displayName="Tableau15" ref="BZ1:BZ47" totalsRowShown="0" headerRowDxfId="850" dataDxfId="848" headerRowBorderDxfId="849" tableBorderDxfId="847" totalsRowBorderDxfId="846" dataCellStyle="Pourcentage">
  <autoFilter ref="BZ1:BZ47" xr:uid="{1B3DCBB1-2731-4229-A433-03161D95502C}"/>
  <tableColumns count="1">
    <tableColumn id="1" xr3:uid="{6680A95A-2094-4FE7-A3AC-D5B0453AD228}" name="Evol. Mensuelle" dataDxfId="845" dataCellStyle="Pourcentag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DF02422-C708-475E-A284-1EE5707F3BB4}" name="Tableau21" displayName="Tableau21" ref="A155:BX163" totalsRowShown="0" headerRowDxfId="844" dataDxfId="843">
  <autoFilter ref="A155:BX163" xr:uid="{7DF02422-C708-475E-A284-1EE5707F3BB4}"/>
  <tableColumns count="76">
    <tableColumn id="1" xr3:uid="{5BEBA9FC-0278-426D-A59D-E7903EB864D1}" name="#" dataDxfId="842"/>
    <tableColumn id="2" xr3:uid="{A0FB1F67-7DB8-46AA-B9C5-6F3616F13B99}" name="Tik Tok" dataDxfId="841" dataCellStyle="Lien hypertexte"/>
    <tableColumn id="3" xr3:uid="{5571A497-9383-4AF0-8186-F279200DF85E}" name="WorldTour" dataDxfId="840"/>
    <tableColumn id="4" xr3:uid="{B81B996C-11EE-4DFC-A4EF-615ADF7F49E6}" name="Type" dataDxfId="839"/>
    <tableColumn id="5" xr3:uid="{B26FD910-5D95-492E-B837-052CB83B0451}" name="févr-15" dataDxfId="838"/>
    <tableColumn id="6" xr3:uid="{6AE485CE-73EB-4279-9C23-21F77CCAC607}" name="mars-15" dataDxfId="837"/>
    <tableColumn id="7" xr3:uid="{74DF6D92-2BE8-4355-A991-02FD1CA9D25A}" name="avr-15" dataDxfId="836"/>
    <tableColumn id="8" xr3:uid="{77F97ED7-9C04-43B1-8837-8EA8775C5806}" name="mai-15" dataDxfId="835"/>
    <tableColumn id="9" xr3:uid="{86EF999A-3E25-4B77-9090-432260EAF82A}" name="juin-15" dataDxfId="834"/>
    <tableColumn id="10" xr3:uid="{17E7ADBD-A91F-45E7-B4A3-3C9267701F81}" name="juil-15" dataDxfId="833"/>
    <tableColumn id="11" xr3:uid="{C0DB83B8-0BF0-4D2B-9AFD-DBA37007C511}" name="août-15" dataDxfId="832"/>
    <tableColumn id="12" xr3:uid="{C3776FCA-B5AD-4D9E-943E-DF995DB8BF84}" name="sept-15" dataDxfId="831"/>
    <tableColumn id="13" xr3:uid="{C1749AAE-7920-459C-960D-99E6731CB8BF}" name="oct-15" dataDxfId="830"/>
    <tableColumn id="14" xr3:uid="{40D9B020-D28D-46AE-8272-CF23A39CE336}" name="nov-15" dataDxfId="829"/>
    <tableColumn id="15" xr3:uid="{AE9AB610-174B-4DF3-AED5-A2867FA6EF80}" name="déc-15" dataDxfId="828"/>
    <tableColumn id="16" xr3:uid="{267943F3-FB4D-4867-976A-F6B7EDDFCD1F}" name="janv-16" dataDxfId="827"/>
    <tableColumn id="17" xr3:uid="{03CE1422-CFA3-4A05-8F5B-E437229E689D}" name="févr-16" dataDxfId="826"/>
    <tableColumn id="18" xr3:uid="{A7DD8DAA-6AEC-4ECD-8307-D4D591AC1109}" name="mars-16" dataDxfId="825"/>
    <tableColumn id="19" xr3:uid="{098E5AEA-0B30-4C92-BD6C-11BC38E1CE55}" name="avr-16" dataDxfId="824"/>
    <tableColumn id="20" xr3:uid="{78D60A43-6F68-4938-B129-311DFED02CEA}" name="mai-16" dataDxfId="823"/>
    <tableColumn id="21" xr3:uid="{6151AA57-4AFC-4E9D-B140-E3E2679A2A19}" name="juin-16" dataDxfId="822"/>
    <tableColumn id="22" xr3:uid="{D2DB77CE-B790-4AED-A0DA-52583F85D1E5}" name="juil-16" dataDxfId="821"/>
    <tableColumn id="23" xr3:uid="{1704B2D6-3E07-46F0-A95C-E4B437AB204D}" name="août-16" dataDxfId="820"/>
    <tableColumn id="24" xr3:uid="{A86B1A63-A6C3-47E8-B1F6-FCC9142376F3}" name="sept-16" dataDxfId="819"/>
    <tableColumn id="25" xr3:uid="{849C4445-031D-4FDA-8EF6-BDFA5A1B1D71}" name="oct-16" dataDxfId="818"/>
    <tableColumn id="26" xr3:uid="{6A39D3FA-1454-4230-9DCE-4076EDA1E042}" name="nov-16" dataDxfId="817"/>
    <tableColumn id="27" xr3:uid="{23AB60E8-FF87-43D4-A7DF-F03B9BAB7B57}" name="déc-16" dataDxfId="816"/>
    <tableColumn id="28" xr3:uid="{8734E3F0-DDA7-4DC1-8E65-E0C609F46C59}" name="janv-17" dataDxfId="815"/>
    <tableColumn id="29" xr3:uid="{2A484289-F9C4-4EDD-A6AC-F9516BA84673}" name="févr-17" dataDxfId="814"/>
    <tableColumn id="30" xr3:uid="{87ADE66E-BA2D-4011-83BD-394AEC9C228F}" name="mars-17" dataDxfId="813"/>
    <tableColumn id="31" xr3:uid="{E7BD8881-36E1-4FE6-BF3A-CD520C7459A5}" name="avr-17" dataDxfId="812"/>
    <tableColumn id="32" xr3:uid="{B7603052-3EF6-4E89-A182-6846408C9487}" name="mai-17" dataDxfId="811"/>
    <tableColumn id="33" xr3:uid="{80955007-2688-404B-97E4-72BC7E4D590E}" name="juin-17" dataDxfId="810"/>
    <tableColumn id="34" xr3:uid="{075C150B-A9EC-4031-87E9-C58A1AF19266}" name="juil-17" dataDxfId="809"/>
    <tableColumn id="35" xr3:uid="{8CD2FB5A-D383-42CF-AABD-BFDA6133B4C6}" name="août-17" dataDxfId="808"/>
    <tableColumn id="36" xr3:uid="{A6378F50-9AB6-4861-B09D-98C2019B786B}" name="sept-17" dataDxfId="807"/>
    <tableColumn id="37" xr3:uid="{1E227A72-1771-453A-8C6B-34C777F03833}" name="oct-17" dataDxfId="806"/>
    <tableColumn id="38" xr3:uid="{DED7A8D7-9913-4835-BF5C-374D5EFA446C}" name="nov-17" dataDxfId="805"/>
    <tableColumn id="39" xr3:uid="{BE774906-161C-4FD2-8DCE-A6F9B322EB75}" name="déc-17" dataDxfId="804"/>
    <tableColumn id="40" xr3:uid="{2089F10E-CA91-4728-B8BD-95EBB5D982E6}" name="janv-18" dataDxfId="803"/>
    <tableColumn id="41" xr3:uid="{EF44722E-3560-4795-A664-151BCDF7D00B}" name="fev-18" dataDxfId="802"/>
    <tableColumn id="42" xr3:uid="{D20F09D8-02AC-44BB-9710-C8FD181DF221}" name="mars-18" dataDxfId="801" dataCellStyle="Pourcentage"/>
    <tableColumn id="43" xr3:uid="{01F30954-55F9-4751-94D5-2C2522B137FB}" name="avr-18" dataDxfId="800" dataCellStyle="Pourcentage"/>
    <tableColumn id="44" xr3:uid="{9C630A03-725C-48F1-A95C-F10AA3660AAC}" name="mai-18" dataDxfId="799" dataCellStyle="Pourcentage"/>
    <tableColumn id="45" xr3:uid="{444E6330-CA91-4446-88D6-4BF082BE1AAE}" name="juin-18" dataDxfId="798" dataCellStyle="Pourcentage"/>
    <tableColumn id="46" xr3:uid="{40058B5F-A334-405C-BF16-AC99EF98FFD4}" name="juil-18" dataDxfId="797" dataCellStyle="Pourcentage"/>
    <tableColumn id="47" xr3:uid="{A9D0924F-5356-47CD-9F65-8487E639AED9}" name="août-18" dataDxfId="796"/>
    <tableColumn id="48" xr3:uid="{4B319F21-DF1B-49F1-BEB8-38BBD1E339BE}" name="sept-18" dataDxfId="795"/>
    <tableColumn id="49" xr3:uid="{DE951524-5B7D-41FD-91D2-0F651317D6CE}" name="oct-18" dataDxfId="794"/>
    <tableColumn id="50" xr3:uid="{076ABFAC-D1A3-4A64-80D4-F802371DDD48}" name="nov-18" dataDxfId="793"/>
    <tableColumn id="51" xr3:uid="{6C3D6089-0E81-4D0C-9020-17DA9BF6C389}" name="dec-18" dataDxfId="792"/>
    <tableColumn id="52" xr3:uid="{75CDBC5F-86F5-42A1-8A35-D3D2422376A8}" name="janv-19" dataDxfId="791"/>
    <tableColumn id="53" xr3:uid="{5401D06D-210C-45BE-BA16-CE86112D26D1}" name="févr-19" dataDxfId="790"/>
    <tableColumn id="54" xr3:uid="{BF4A3F35-ECEC-4657-B775-C6269D01FBDA}" name="mars-19" dataDxfId="789"/>
    <tableColumn id="55" xr3:uid="{664D6075-6C54-4158-A5DA-D4FCAC428472}" name="avr-19" dataDxfId="788"/>
    <tableColumn id="56" xr3:uid="{5667D7DB-DB13-4474-8E71-207C459D1911}" name="mai-19" dataDxfId="787"/>
    <tableColumn id="57" xr3:uid="{0385AA87-C569-4C49-BE13-C3BD97C9C415}" name="juin-19" dataDxfId="786"/>
    <tableColumn id="58" xr3:uid="{88C0DE47-2A42-4762-BA77-22AC0F6EA583}" name="juil-19" dataDxfId="785"/>
    <tableColumn id="59" xr3:uid="{BFE1EC8F-26DA-4D31-B1A2-80259AC95F9F}" name="août-19" dataDxfId="784"/>
    <tableColumn id="60" xr3:uid="{2C39E501-FAB0-4D62-B356-9BCD289F6A90}" name="sept-19" dataDxfId="783"/>
    <tableColumn id="61" xr3:uid="{A155179F-96C0-4A2E-94F5-F3F85C429D1A}" name="oct-19" dataDxfId="782"/>
    <tableColumn id="62" xr3:uid="{A5E888D7-CBF5-4D27-8BBF-B67C08FB576B}" name="nov-19" dataDxfId="781"/>
    <tableColumn id="63" xr3:uid="{EBA70E9B-25A8-4C9A-8AEE-253549EA8243}" name="dec-19" dataDxfId="780"/>
    <tableColumn id="64" xr3:uid="{ABE2259B-E82A-47B3-83AD-BFECBBCADED9}" name="mars-20" dataDxfId="779"/>
    <tableColumn id="65" xr3:uid="{F5E6E427-5638-4938-8B2E-46B74E8A9308}" name="Evol. mensuelle" dataDxfId="778"/>
    <tableColumn id="66" xr3:uid="{16F33DFD-48CE-45D4-9074-5044BA0F7E7C}" name="Evol. Mensuelle2" dataDxfId="777"/>
    <tableColumn id="67" xr3:uid="{E5E110BA-6741-478A-A8CA-D65CE26A887D}" name="sept-20" dataDxfId="776"/>
    <tableColumn id="68" xr3:uid="{8D6488C7-50B0-4809-9D65-870422B0C6A1}" name="nov-20" dataDxfId="775"/>
    <tableColumn id="69" xr3:uid="{BF1BEE23-7ADC-4F3F-946D-15E961FDE48C}" name="sept-21" dataDxfId="774"/>
    <tableColumn id="70" xr3:uid="{00333082-890B-4DF2-9992-07A6959CE322}" name="mars-22" dataDxfId="773"/>
    <tableColumn id="71" xr3:uid="{AA8B1291-6225-4863-9A41-0DFE996CC307}" name="avr-22" dataDxfId="772"/>
    <tableColumn id="72" xr3:uid="{D7360296-8920-4249-BD7E-40CD56BF95F3}" name="sept-22" dataDxfId="771"/>
    <tableColumn id="73" xr3:uid="{7475BBB3-9403-4DEF-A786-82DE8DB29A94}" name="nov-22" dataDxfId="770"/>
    <tableColumn id="74" xr3:uid="{301A7B2D-AA09-47DA-A288-4BA4EB75BA0D}" name="oct-23" dataDxfId="769"/>
    <tableColumn id="75" xr3:uid="{14CEB23A-D408-4239-9B3D-A9084F7F7B5B}" name="avr-24" dataDxfId="768"/>
    <tableColumn id="76" xr3:uid="{69683AE5-0420-4D5B-A80D-B0A4A764795B}" name="juin-24" dataDxfId="767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au5" displayName="Tableau5" ref="A1:BW38" totalsRowShown="0" headerRowDxfId="766" dataDxfId="765">
  <sortState xmlns:xlrd2="http://schemas.microsoft.com/office/spreadsheetml/2017/richdata2" ref="A2:BP25">
    <sortCondition ref="B2:B25"/>
  </sortState>
  <tableColumns count="75">
    <tableColumn id="57" xr3:uid="{6A99BCDD-2D9D-4A6D-8E1E-5A2DB0A413C0}" name="Colonne1" dataDxfId="764" totalsRowDxfId="763"/>
    <tableColumn id="1" xr3:uid="{00000000-0010-0000-0500-000001000000}" name="FACEBOOK" dataDxfId="762" totalsRowDxfId="761"/>
    <tableColumn id="17" xr3:uid="{00000000-0010-0000-0500-000011000000}" name="Catégorie" dataDxfId="760"/>
    <tableColumn id="2" xr3:uid="{00000000-0010-0000-0500-000002000000}" name="févr-15" dataDxfId="759"/>
    <tableColumn id="3" xr3:uid="{00000000-0010-0000-0500-000003000000}" name="mars-15" dataDxfId="758"/>
    <tableColumn id="4" xr3:uid="{00000000-0010-0000-0500-000004000000}" name="avr-15" dataDxfId="757"/>
    <tableColumn id="5" xr3:uid="{00000000-0010-0000-0500-000005000000}" name="mai-15" dataDxfId="756"/>
    <tableColumn id="6" xr3:uid="{00000000-0010-0000-0500-000006000000}" name="juin-15" dataDxfId="755"/>
    <tableColumn id="7" xr3:uid="{00000000-0010-0000-0500-000007000000}" name="juil-15" dataDxfId="754"/>
    <tableColumn id="8" xr3:uid="{00000000-0010-0000-0500-000008000000}" name="août-15" dataDxfId="753"/>
    <tableColumn id="9" xr3:uid="{00000000-0010-0000-0500-000009000000}" name="sept-15" dataDxfId="752"/>
    <tableColumn id="10" xr3:uid="{00000000-0010-0000-0500-00000A000000}" name="oct-15" dataDxfId="751"/>
    <tableColumn id="11" xr3:uid="{00000000-0010-0000-0500-00000B000000}" name="nov-15" dataDxfId="750"/>
    <tableColumn id="12" xr3:uid="{00000000-0010-0000-0500-00000C000000}" name="déc-15" dataDxfId="749"/>
    <tableColumn id="13" xr3:uid="{00000000-0010-0000-0500-00000D000000}" name="janv-16" dataDxfId="748"/>
    <tableColumn id="14" xr3:uid="{00000000-0010-0000-0500-00000E000000}" name="févr-16" dataDxfId="747"/>
    <tableColumn id="15" xr3:uid="{00000000-0010-0000-0500-00000F000000}" name="mars-16" dataDxfId="746"/>
    <tableColumn id="16" xr3:uid="{00000000-0010-0000-0500-000010000000}" name="avr-16" dataDxfId="745"/>
    <tableColumn id="20" xr3:uid="{00000000-0010-0000-0500-000014000000}" name="mai-16" dataDxfId="744"/>
    <tableColumn id="21" xr3:uid="{00000000-0010-0000-0500-000015000000}" name="juin-16" dataDxfId="743" totalsRowDxfId="742"/>
    <tableColumn id="22" xr3:uid="{00000000-0010-0000-0500-000016000000}" name="juil-16" dataDxfId="741"/>
    <tableColumn id="23" xr3:uid="{00000000-0010-0000-0500-000017000000}" name="août-16" dataDxfId="740"/>
    <tableColumn id="24" xr3:uid="{00000000-0010-0000-0500-000018000000}" name="sept-16" dataDxfId="739"/>
    <tableColumn id="25" xr3:uid="{00000000-0010-0000-0500-000019000000}" name="oct-16" dataDxfId="738"/>
    <tableColumn id="26" xr3:uid="{00000000-0010-0000-0500-00001A000000}" name="nov-16" dataDxfId="737"/>
    <tableColumn id="27" xr3:uid="{00000000-0010-0000-0500-00001B000000}" name="déc-16" dataDxfId="736"/>
    <tableColumn id="28" xr3:uid="{00000000-0010-0000-0500-00001C000000}" name="janv-17" dataDxfId="735"/>
    <tableColumn id="29" xr3:uid="{00000000-0010-0000-0500-00001D000000}" name="févr-17" dataDxfId="734"/>
    <tableColumn id="31" xr3:uid="{00000000-0010-0000-0500-00001F000000}" name="mars-17" dataDxfId="733"/>
    <tableColumn id="32" xr3:uid="{00000000-0010-0000-0500-000020000000}" name="avr-17" dataDxfId="732"/>
    <tableColumn id="33" xr3:uid="{00000000-0010-0000-0500-000021000000}" name="mai-17" dataDxfId="731"/>
    <tableColumn id="34" xr3:uid="{00000000-0010-0000-0500-000022000000}" name="juin-17" dataDxfId="730"/>
    <tableColumn id="35" xr3:uid="{00000000-0010-0000-0500-000023000000}" name="juil-17" dataDxfId="729"/>
    <tableColumn id="36" xr3:uid="{00000000-0010-0000-0500-000024000000}" name="août-17" dataDxfId="728"/>
    <tableColumn id="37" xr3:uid="{00000000-0010-0000-0500-000025000000}" name="sept-17" dataDxfId="727"/>
    <tableColumn id="38" xr3:uid="{00000000-0010-0000-0500-000026000000}" name="oct-17" dataDxfId="726"/>
    <tableColumn id="39" xr3:uid="{00000000-0010-0000-0500-000027000000}" name="nov-17" dataDxfId="725"/>
    <tableColumn id="40" xr3:uid="{00000000-0010-0000-0500-000028000000}" name="déc-17" dataDxfId="724"/>
    <tableColumn id="41" xr3:uid="{00000000-0010-0000-0500-000029000000}" name="janv-18" dataDxfId="723"/>
    <tableColumn id="42" xr3:uid="{00000000-0010-0000-0500-00002A000000}" name="fev-18" dataDxfId="722"/>
    <tableColumn id="43" xr3:uid="{00000000-0010-0000-0500-00002B000000}" name="mars-18" dataDxfId="721"/>
    <tableColumn id="44" xr3:uid="{00000000-0010-0000-0500-00002C000000}" name="avr-18" dataDxfId="720"/>
    <tableColumn id="45" xr3:uid="{74F04DB1-53C4-43CB-B415-D34E84921876}" name="mai-18" dataDxfId="719"/>
    <tableColumn id="46" xr3:uid="{0F8AD1E7-1FE9-4A59-A1D6-5373D39C68E4}" name="juin-18" dataDxfId="718"/>
    <tableColumn id="47" xr3:uid="{9EFEC443-70E2-4072-8874-2B2FE792B685}" name="juil-18" dataDxfId="717"/>
    <tableColumn id="48" xr3:uid="{AB156C24-75D7-44D8-804E-555981A9A221}" name="août-18" dataDxfId="716"/>
    <tableColumn id="49" xr3:uid="{BD0A1749-8EC5-431C-BCCE-D8999E71BAAC}" name="sept-18" dataDxfId="715"/>
    <tableColumn id="50" xr3:uid="{F4EDDD46-6110-4049-8848-03F1CC3B0C95}" name="oct-18" dataDxfId="714"/>
    <tableColumn id="51" xr3:uid="{DA38B0CB-3CA4-4ED1-9510-543D0BE872FA}" name="nov-18" dataDxfId="713"/>
    <tableColumn id="52" xr3:uid="{8DF87EE2-97D1-4C4F-A903-8FAF024E8B7B}" name="dec-18" dataDxfId="712"/>
    <tableColumn id="53" xr3:uid="{E72B83FE-526D-4B2F-BCB6-1997A5AECD7D}" name="janv-19" dataDxfId="711"/>
    <tableColumn id="54" xr3:uid="{EE7CA665-3801-45BF-9081-0764654775A7}" name="févr-19" dataDxfId="710"/>
    <tableColumn id="55" xr3:uid="{C830AAFB-F1D0-4528-9CE5-2ECA96D8C946}" name="mars-19" dataDxfId="709"/>
    <tableColumn id="56" xr3:uid="{2D9F33E3-D655-4B07-A53A-1066DAA312FA}" name="avr-19" dataDxfId="708"/>
    <tableColumn id="19" xr3:uid="{FA790CFA-D24F-4AFF-BFA0-678FC2AFFA52}" name="mai-19" dataDxfId="707"/>
    <tableColumn id="58" xr3:uid="{E5104ABC-5017-4724-AACF-D8AF76F1E6B3}" name="juin-19" dataDxfId="706"/>
    <tableColumn id="59" xr3:uid="{8B8BB3DD-E037-4ACD-8479-376446EB9C3F}" name="juil-19" dataDxfId="705"/>
    <tableColumn id="60" xr3:uid="{656BDC68-62DD-4190-B6CE-E4D23CE4DC30}" name="août-19" dataDxfId="704"/>
    <tableColumn id="61" xr3:uid="{E979CDA9-5CE0-4666-9970-E301DBA91743}" name="sept-19" dataDxfId="703"/>
    <tableColumn id="62" xr3:uid="{18EEB524-32BC-450C-A331-A99F091438F2}" name="oct-19" dataDxfId="702"/>
    <tableColumn id="63" xr3:uid="{0D30160C-576E-48FC-B79A-A5006B510976}" name="nov-19" dataDxfId="701"/>
    <tableColumn id="64" xr3:uid="{58A1CF38-FD4D-46E7-A843-739869B47929}" name="dec-19" dataDxfId="700"/>
    <tableColumn id="18" xr3:uid="{00000000-0010-0000-0500-000012000000}" name="mars-20" dataDxfId="699"/>
    <tableColumn id="30" xr3:uid="{00000000-0010-0000-0500-00001E000000}" name="Evol. mensuelle" dataDxfId="698" dataCellStyle="Pourcentage">
      <calculatedColumnFormula>(Tableau5[[#This Row],[mars-20]]-Tableau5[[#This Row],[dec-19]])/Tableau5[[#This Row],[dec-19]]</calculatedColumnFormula>
    </tableColumn>
    <tableColumn id="65" xr3:uid="{A0FE28BA-87EC-4316-999D-5A4A6AE78781}" name="Evol. Mensuelle2" dataDxfId="697" dataCellStyle="Pourcentage">
      <calculatedColumnFormula>Tableau5[[#This Row],[mars-20]]-Tableau5[[#This Row],[dec-19]]</calculatedColumnFormula>
    </tableColumn>
    <tableColumn id="66" xr3:uid="{6AFB84A1-FFCF-4C80-A836-60F432F0783E}" name="sept-20" dataDxfId="696"/>
    <tableColumn id="67" xr3:uid="{04351605-D83E-47A3-A806-268E9BB7B708}" name="nov-20" dataDxfId="695"/>
    <tableColumn id="68" xr3:uid="{743F070E-ADE0-4857-BE23-C558487741A7}" name="sept-21" dataDxfId="694"/>
    <tableColumn id="69" xr3:uid="{94F92025-FF8E-4676-9B79-733E9E8B3128}" name="mars-22" dataDxfId="693"/>
    <tableColumn id="70" xr3:uid="{0527612C-6395-40F5-88F6-C8B94672920B}" name="avr-22" dataDxfId="692"/>
    <tableColumn id="71" xr3:uid="{5AC8876C-6492-41C3-AE7C-92FEFBDF1C0D}" name="sept-22" dataDxfId="691"/>
    <tableColumn id="72" xr3:uid="{B15C351C-E253-4F50-ADF1-0F2CACEB8BC2}" name="nov-22" dataDxfId="690" totalsRowDxfId="689"/>
    <tableColumn id="73" xr3:uid="{BE5EBAAA-AE76-4C14-A509-8250C68E0F06}" name="oct-23" dataDxfId="688"/>
    <tableColumn id="74" xr3:uid="{D9FE3CDB-3C2C-4496-827B-AC70F244517C}" name="avr-24" dataDxfId="687"/>
    <tableColumn id="75" xr3:uid="{5DB3586C-9AA9-46F4-8D59-89C466B625AE}" name="juin-24" dataDxfId="686" totalsRowDxfId="68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au6" displayName="Tableau6" ref="A42:BW80" totalsRowShown="0" headerRowDxfId="684" dataDxfId="683">
  <sortState xmlns:xlrd2="http://schemas.microsoft.com/office/spreadsheetml/2017/richdata2" ref="A43:BP66">
    <sortCondition ref="B43:B66"/>
  </sortState>
  <tableColumns count="75">
    <tableColumn id="19" xr3:uid="{1C49958C-7E0F-4302-859B-39AE82515299}" name="Colonne1" dataDxfId="682" totalsRowDxfId="681"/>
    <tableColumn id="1" xr3:uid="{00000000-0010-0000-0600-000001000000}" name="TWITTER" dataDxfId="680" totalsRowDxfId="679"/>
    <tableColumn id="17" xr3:uid="{00000000-0010-0000-0600-000011000000}" name="Catégorie" dataDxfId="678" totalsRowDxfId="677"/>
    <tableColumn id="2" xr3:uid="{00000000-0010-0000-0600-000002000000}" name="févr-15" dataDxfId="676" totalsRowDxfId="675"/>
    <tableColumn id="3" xr3:uid="{00000000-0010-0000-0600-000003000000}" name="mars-15" dataDxfId="674" totalsRowDxfId="673"/>
    <tableColumn id="4" xr3:uid="{00000000-0010-0000-0600-000004000000}" name="avr-15" dataDxfId="672" totalsRowDxfId="671"/>
    <tableColumn id="5" xr3:uid="{00000000-0010-0000-0600-000005000000}" name="mai-15" dataDxfId="670" totalsRowDxfId="669"/>
    <tableColumn id="6" xr3:uid="{00000000-0010-0000-0600-000006000000}" name="juin-15" dataDxfId="668" totalsRowDxfId="667"/>
    <tableColumn id="7" xr3:uid="{00000000-0010-0000-0600-000007000000}" name="juil-15" dataDxfId="666" totalsRowDxfId="665"/>
    <tableColumn id="8" xr3:uid="{00000000-0010-0000-0600-000008000000}" name="août-15" dataDxfId="664" totalsRowDxfId="663"/>
    <tableColumn id="9" xr3:uid="{00000000-0010-0000-0600-000009000000}" name="sept-15" dataDxfId="662" totalsRowDxfId="661"/>
    <tableColumn id="10" xr3:uid="{00000000-0010-0000-0600-00000A000000}" name="oct-15" dataDxfId="660" totalsRowDxfId="659"/>
    <tableColumn id="11" xr3:uid="{00000000-0010-0000-0600-00000B000000}" name="nov-15" dataDxfId="658" totalsRowDxfId="657"/>
    <tableColumn id="12" xr3:uid="{00000000-0010-0000-0600-00000C000000}" name="déc-15" dataDxfId="656" totalsRowDxfId="655"/>
    <tableColumn id="13" xr3:uid="{00000000-0010-0000-0600-00000D000000}" name="janv-16" dataDxfId="654" totalsRowDxfId="653"/>
    <tableColumn id="14" xr3:uid="{00000000-0010-0000-0600-00000E000000}" name="févr-16" dataDxfId="652" totalsRowDxfId="651"/>
    <tableColumn id="15" xr3:uid="{00000000-0010-0000-0600-00000F000000}" name="mars-16" dataDxfId="650" totalsRowDxfId="649"/>
    <tableColumn id="16" xr3:uid="{00000000-0010-0000-0600-000010000000}" name="avr-16" dataDxfId="648" totalsRowDxfId="647"/>
    <tableColumn id="20" xr3:uid="{00000000-0010-0000-0600-000014000000}" name="mai-16" dataDxfId="646" totalsRowDxfId="645"/>
    <tableColumn id="21" xr3:uid="{00000000-0010-0000-0600-000015000000}" name="juin-16" dataDxfId="644" totalsRowDxfId="643"/>
    <tableColumn id="22" xr3:uid="{00000000-0010-0000-0600-000016000000}" name="juil-16" dataDxfId="642" totalsRowDxfId="641"/>
    <tableColumn id="23" xr3:uid="{00000000-0010-0000-0600-000017000000}" name="août-16" dataDxfId="640" totalsRowDxfId="639"/>
    <tableColumn id="24" xr3:uid="{00000000-0010-0000-0600-000018000000}" name="sept-16" dataDxfId="638" totalsRowDxfId="637"/>
    <tableColumn id="25" xr3:uid="{00000000-0010-0000-0600-000019000000}" name="oct-16" dataDxfId="636" totalsRowDxfId="635"/>
    <tableColumn id="26" xr3:uid="{00000000-0010-0000-0600-00001A000000}" name="nov-16" dataDxfId="634" totalsRowDxfId="633"/>
    <tableColumn id="27" xr3:uid="{00000000-0010-0000-0600-00001B000000}" name="déc-16" dataDxfId="632" totalsRowDxfId="631"/>
    <tableColumn id="28" xr3:uid="{00000000-0010-0000-0600-00001C000000}" name="janv-17" dataDxfId="630" totalsRowDxfId="629"/>
    <tableColumn id="29" xr3:uid="{00000000-0010-0000-0600-00001D000000}" name="févr-17" dataDxfId="628" totalsRowDxfId="627"/>
    <tableColumn id="31" xr3:uid="{00000000-0010-0000-0600-00001F000000}" name="mars-17" dataDxfId="626" totalsRowDxfId="625"/>
    <tableColumn id="32" xr3:uid="{00000000-0010-0000-0600-000020000000}" name="avr-17" dataDxfId="624" totalsRowDxfId="623"/>
    <tableColumn id="33" xr3:uid="{00000000-0010-0000-0600-000021000000}" name="mai-17" dataDxfId="622" totalsRowDxfId="621"/>
    <tableColumn id="34" xr3:uid="{00000000-0010-0000-0600-000022000000}" name="juin-17" dataDxfId="620" totalsRowDxfId="619"/>
    <tableColumn id="35" xr3:uid="{00000000-0010-0000-0600-000023000000}" name="juil-17" dataDxfId="618" totalsRowDxfId="617"/>
    <tableColumn id="36" xr3:uid="{00000000-0010-0000-0600-000024000000}" name="août-17" dataDxfId="616" totalsRowDxfId="615"/>
    <tableColumn id="37" xr3:uid="{00000000-0010-0000-0600-000025000000}" name="sept-17" dataDxfId="614" totalsRowDxfId="613"/>
    <tableColumn id="38" xr3:uid="{00000000-0010-0000-0600-000026000000}" name="oct-17" dataDxfId="612" totalsRowDxfId="611"/>
    <tableColumn id="39" xr3:uid="{00000000-0010-0000-0600-000027000000}" name="nov-17" dataDxfId="610" totalsRowDxfId="609"/>
    <tableColumn id="40" xr3:uid="{00000000-0010-0000-0600-000028000000}" name="déc-17" dataDxfId="608" totalsRowDxfId="607"/>
    <tableColumn id="41" xr3:uid="{00000000-0010-0000-0600-000029000000}" name="janv-18" dataDxfId="606" totalsRowDxfId="605"/>
    <tableColumn id="42" xr3:uid="{00000000-0010-0000-0600-00002A000000}" name="fev-18" dataDxfId="604" totalsRowDxfId="603"/>
    <tableColumn id="43" xr3:uid="{00000000-0010-0000-0600-00002B000000}" name="mars-18" dataDxfId="602" totalsRowDxfId="601"/>
    <tableColumn id="44" xr3:uid="{00000000-0010-0000-0600-00002C000000}" name="avr-18" dataDxfId="600" totalsRowDxfId="599"/>
    <tableColumn id="45" xr3:uid="{66C31165-354C-4205-86E0-45FDB550D280}" name="mai-18" dataDxfId="598" totalsRowDxfId="597"/>
    <tableColumn id="46" xr3:uid="{50CCA6FD-F5D7-4AAA-9A31-B3C90A532668}" name="juin-18" dataDxfId="596" totalsRowDxfId="595"/>
    <tableColumn id="47" xr3:uid="{E94D8E22-8DFC-4BDF-81B8-B3CEBFF46526}" name="juil-18" dataDxfId="594" totalsRowDxfId="593"/>
    <tableColumn id="48" xr3:uid="{D577570E-04E2-4E52-9BBA-8650FF71DFEB}" name="août-18" dataDxfId="592" totalsRowDxfId="591"/>
    <tableColumn id="49" xr3:uid="{C4AE45F2-A828-4391-A231-687CFADB1663}" name="sept-18" dataDxfId="590" totalsRowDxfId="589"/>
    <tableColumn id="50" xr3:uid="{6EE38599-50E8-4C87-9E57-D2B1EBE312B6}" name="oct-18" dataDxfId="588" totalsRowDxfId="587"/>
    <tableColumn id="51" xr3:uid="{4E8B4573-0B8E-4CCF-AD6F-24542FC2D24A}" name="nov-18" dataDxfId="586" totalsRowDxfId="585"/>
    <tableColumn id="52" xr3:uid="{0E6D8D74-B5F5-4991-8727-90CCAA578EFB}" name="dec-18" dataDxfId="584" totalsRowDxfId="583"/>
    <tableColumn id="53" xr3:uid="{68838B65-5415-4834-B625-01053128C23D}" name="janv-19" dataDxfId="582"/>
    <tableColumn id="54" xr3:uid="{2B2983D0-1886-47E7-95F3-09566B06DFBD}" name="févr-19" dataDxfId="581"/>
    <tableColumn id="55" xr3:uid="{96C1DB46-952E-4A34-BB3F-2785310EFB63}" name="mars-19" dataDxfId="580"/>
    <tableColumn id="56" xr3:uid="{B281E10E-05C9-49DF-B457-93E48466F0AE}" name="avr-19" dataDxfId="579"/>
    <tableColumn id="57" xr3:uid="{03A3385C-A7C8-4DA5-A93D-C0A3A230FB2A}" name="mai-19" dataDxfId="578"/>
    <tableColumn id="58" xr3:uid="{3CA4E96B-44E7-4F3A-920C-DBA8F80D42A7}" name="juin-19" dataDxfId="577"/>
    <tableColumn id="59" xr3:uid="{469BF08E-5FC7-4C8E-BA41-F1456E10B644}" name="juil-19" dataDxfId="576"/>
    <tableColumn id="60" xr3:uid="{0561F03D-E049-4F04-A821-EF1A12A35947}" name="août-19" dataDxfId="575"/>
    <tableColumn id="61" xr3:uid="{342DEC29-5229-448A-86A6-BC5DEF1CD0FD}" name="sept-19" dataDxfId="574"/>
    <tableColumn id="62" xr3:uid="{32E66BCA-3569-4FF8-B647-0DFCBD0C9A15}" name="oct-19" dataDxfId="573"/>
    <tableColumn id="63" xr3:uid="{C0B3B330-E6C7-4394-8B6A-8CBB7EDD32A1}" name="nov-19" dataDxfId="572"/>
    <tableColumn id="64" xr3:uid="{8B833AC5-2D6E-4155-B984-4C77A4C9A72A}" name="dec-19" dataDxfId="571"/>
    <tableColumn id="18" xr3:uid="{00000000-0010-0000-0600-000012000000}" name="mars-20" dataDxfId="570" dataCellStyle="Pourcentage"/>
    <tableColumn id="30" xr3:uid="{00000000-0010-0000-0600-00001E000000}" name="Evol. mensuelle" dataDxfId="569" dataCellStyle="Pourcentage">
      <calculatedColumnFormula>(Tableau6[[#This Row],[mars-20]]-Tableau6[[#This Row],[dec-19]])/Tableau6[[#This Row],[dec-19]]</calculatedColumnFormula>
    </tableColumn>
    <tableColumn id="65" xr3:uid="{B2DA74A2-EC26-4FE8-9F02-2B57FC86D132}" name="Evol. Mensuelle2" dataDxfId="568">
      <calculatedColumnFormula>Tableau6[[#This Row],[mars-20]]-Tableau6[[#This Row],[dec-19]]</calculatedColumnFormula>
    </tableColumn>
    <tableColumn id="66" xr3:uid="{D3682045-F5A9-4C37-BBDC-9231DDF14D21}" name="sept-20" dataDxfId="567"/>
    <tableColumn id="67" xr3:uid="{A575EC86-35E7-4260-AD04-60EA4BE1EAEA}" name="nov-20" dataDxfId="566"/>
    <tableColumn id="70" xr3:uid="{8ABFF47B-1963-470F-9781-E632E5498512}" name="sept-21" dataDxfId="565"/>
    <tableColumn id="68" xr3:uid="{62E28352-2FD7-4395-88FB-E0D2AA3463A0}" name="mars-22" dataDxfId="564"/>
    <tableColumn id="69" xr3:uid="{883AA9E6-63D4-43EA-8F9A-6258635E39ED}" name="avr-22" dataDxfId="563"/>
    <tableColumn id="71" xr3:uid="{06250721-3E51-4D08-BBE3-E34BEBDEF1D7}" name="sept-22" dataDxfId="562"/>
    <tableColumn id="72" xr3:uid="{64ACF47F-0B99-44EE-AC4B-16B385FF007A}" name="nov-22" dataDxfId="561"/>
    <tableColumn id="73" xr3:uid="{5FE26E28-20A2-4714-A35D-37A81DFC0759}" name="oct-23" dataDxfId="560"/>
    <tableColumn id="74" xr3:uid="{4F9DA945-720D-4FFB-BF1A-D790E0EE7B20}" name="avr-24" dataDxfId="559"/>
    <tableColumn id="75" xr3:uid="{0F02FC96-7318-4113-AB06-E827FFCDD673}" name="juin-24" dataDxfId="558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eau8" displayName="Tableau8" ref="A84:BW121" totalsRowShown="0" headerRowDxfId="557" dataDxfId="556">
  <sortState xmlns:xlrd2="http://schemas.microsoft.com/office/spreadsheetml/2017/richdata2" ref="A85:BP108">
    <sortCondition ref="B85:B108"/>
  </sortState>
  <tableColumns count="75">
    <tableColumn id="43" xr3:uid="{18C88AE8-C2E3-45E4-A948-0B6913E18E8B}" name="Colonne1" dataDxfId="555" dataCellStyle="Lien hypertexte"/>
    <tableColumn id="1" xr3:uid="{00000000-0010-0000-0700-000001000000}" name="INSTAGRAM" dataDxfId="554" dataCellStyle="Lien hypertexte"/>
    <tableColumn id="2" xr3:uid="{00000000-0010-0000-0700-000002000000}" name="Catégorie" dataDxfId="553"/>
    <tableColumn id="3" xr3:uid="{00000000-0010-0000-0700-000003000000}" name="févr-15" dataDxfId="552"/>
    <tableColumn id="4" xr3:uid="{00000000-0010-0000-0700-000004000000}" name="mars-15" dataDxfId="551"/>
    <tableColumn id="5" xr3:uid="{00000000-0010-0000-0700-000005000000}" name="avr-15" dataDxfId="550"/>
    <tableColumn id="6" xr3:uid="{00000000-0010-0000-0700-000006000000}" name="mai-15" dataDxfId="549"/>
    <tableColumn id="7" xr3:uid="{00000000-0010-0000-0700-000007000000}" name="juin-15" dataDxfId="548"/>
    <tableColumn id="8" xr3:uid="{00000000-0010-0000-0700-000008000000}" name="juil-15" dataDxfId="547"/>
    <tableColumn id="9" xr3:uid="{00000000-0010-0000-0700-000009000000}" name="août-15" dataDxfId="546"/>
    <tableColumn id="10" xr3:uid="{00000000-0010-0000-0700-00000A000000}" name="sept-15" dataDxfId="545"/>
    <tableColumn id="11" xr3:uid="{00000000-0010-0000-0700-00000B000000}" name="oct-15" dataDxfId="544"/>
    <tableColumn id="12" xr3:uid="{00000000-0010-0000-0700-00000C000000}" name="nov-15" dataDxfId="543"/>
    <tableColumn id="13" xr3:uid="{00000000-0010-0000-0700-00000D000000}" name="déc-15" dataDxfId="542"/>
    <tableColumn id="14" xr3:uid="{00000000-0010-0000-0700-00000E000000}" name="janv-16" dataDxfId="541"/>
    <tableColumn id="15" xr3:uid="{00000000-0010-0000-0700-00000F000000}" name="févr-16" dataDxfId="540"/>
    <tableColumn id="16" xr3:uid="{00000000-0010-0000-0700-000010000000}" name="mars-16" dataDxfId="539"/>
    <tableColumn id="17" xr3:uid="{00000000-0010-0000-0700-000011000000}" name="avr-16" dataDxfId="538"/>
    <tableColumn id="18" xr3:uid="{00000000-0010-0000-0700-000012000000}" name="mai-16" dataDxfId="537"/>
    <tableColumn id="19" xr3:uid="{00000000-0010-0000-0700-000013000000}" name="juin-16" dataDxfId="536"/>
    <tableColumn id="20" xr3:uid="{00000000-0010-0000-0700-000014000000}" name="juil-16" dataDxfId="535"/>
    <tableColumn id="21" xr3:uid="{00000000-0010-0000-0700-000015000000}" name="août-16" dataDxfId="534"/>
    <tableColumn id="22" xr3:uid="{00000000-0010-0000-0700-000016000000}" name="sept-16" dataDxfId="533"/>
    <tableColumn id="23" xr3:uid="{00000000-0010-0000-0700-000017000000}" name="oct-16" dataDxfId="532"/>
    <tableColumn id="24" xr3:uid="{00000000-0010-0000-0700-000018000000}" name="nov-16" dataDxfId="531"/>
    <tableColumn id="25" xr3:uid="{00000000-0010-0000-0700-000019000000}" name="déc-16" dataDxfId="530"/>
    <tableColumn id="26" xr3:uid="{00000000-0010-0000-0700-00001A000000}" name="janv-17" dataDxfId="529"/>
    <tableColumn id="27" xr3:uid="{00000000-0010-0000-0700-00001B000000}" name="févr-17" dataDxfId="528"/>
    <tableColumn id="28" xr3:uid="{00000000-0010-0000-0700-00001C000000}" name="mars-17" dataDxfId="527"/>
    <tableColumn id="29" xr3:uid="{00000000-0010-0000-0700-00001D000000}" name="avr-17" dataDxfId="526"/>
    <tableColumn id="30" xr3:uid="{00000000-0010-0000-0700-00001E000000}" name="mai-17" dataDxfId="525"/>
    <tableColumn id="31" xr3:uid="{00000000-0010-0000-0700-00001F000000}" name="juin-17" dataDxfId="524"/>
    <tableColumn id="32" xr3:uid="{00000000-0010-0000-0700-000020000000}" name="juil-17" dataDxfId="523"/>
    <tableColumn id="33" xr3:uid="{00000000-0010-0000-0700-000021000000}" name="août-17" dataDxfId="522"/>
    <tableColumn id="34" xr3:uid="{00000000-0010-0000-0700-000022000000}" name="sept-17" dataDxfId="521"/>
    <tableColumn id="35" xr3:uid="{00000000-0010-0000-0700-000023000000}" name="oct-17" dataDxfId="520"/>
    <tableColumn id="36" xr3:uid="{00000000-0010-0000-0700-000024000000}" name="nov-17" dataDxfId="519"/>
    <tableColumn id="37" xr3:uid="{00000000-0010-0000-0700-000025000000}" name="déc-17" dataDxfId="518"/>
    <tableColumn id="38" xr3:uid="{00000000-0010-0000-0700-000026000000}" name="janv-18" dataDxfId="517"/>
    <tableColumn id="39" xr3:uid="{00000000-0010-0000-0700-000027000000}" name="fev-18" dataDxfId="516"/>
    <tableColumn id="40" xr3:uid="{00000000-0010-0000-0700-000028000000}" name="mars-18" dataDxfId="515"/>
    <tableColumn id="41" xr3:uid="{00000000-0010-0000-0700-000029000000}" name="avr-18" dataDxfId="514" dataCellStyle="Milliers"/>
    <tableColumn id="45" xr3:uid="{08171749-BFC3-408F-912A-CDCE6C901656}" name="mai-18" dataDxfId="513" dataCellStyle="Milliers"/>
    <tableColumn id="46" xr3:uid="{49931660-FF22-4191-9C9D-69569E766931}" name="juin-18" dataDxfId="512" dataCellStyle="Milliers"/>
    <tableColumn id="47" xr3:uid="{C12B890A-FD79-483C-8F54-A4571EE8B99B}" name="juil-18" dataDxfId="511" dataCellStyle="Milliers"/>
    <tableColumn id="48" xr3:uid="{E002FFE8-5AE5-4477-BF53-01B21E6A6A65}" name="août-18" dataDxfId="510" dataCellStyle="Milliers"/>
    <tableColumn id="49" xr3:uid="{FE7F0BB9-7414-454E-95A8-CC438D3EA7D3}" name="sept-18" dataDxfId="509" dataCellStyle="Milliers"/>
    <tableColumn id="50" xr3:uid="{1EB7B0DB-D25F-4FC2-987F-0D9D9238CE8F}" name="oct-18" dataDxfId="508" dataCellStyle="Milliers"/>
    <tableColumn id="51" xr3:uid="{88BCA805-FE71-4943-888D-0BBB0189D823}" name="nov-18" dataDxfId="507" dataCellStyle="Milliers"/>
    <tableColumn id="52" xr3:uid="{5B9EFBAF-2F26-45AC-A3DD-97455F941995}" name="dec-18" dataDxfId="506" dataCellStyle="Milliers"/>
    <tableColumn id="53" xr3:uid="{A629985D-27BE-4463-A89D-6296EF36796F}" name="janv-19" dataDxfId="505" dataCellStyle="Milliers"/>
    <tableColumn id="54" xr3:uid="{7CC27274-EACA-4698-A4C9-2C7D68135C52}" name="févr-19" dataDxfId="504" dataCellStyle="Milliers"/>
    <tableColumn id="55" xr3:uid="{FC6843B3-3E46-4CF1-B778-D6DCDA1B4786}" name="mars-19" dataDxfId="503" dataCellStyle="Milliers"/>
    <tableColumn id="56" xr3:uid="{7EF19B42-9D97-4D09-A798-12D0F0C1C277}" name="avr-19" dataDxfId="502" dataCellStyle="Milliers"/>
    <tableColumn id="57" xr3:uid="{7652B8CF-8E3B-463B-A444-98AACCDBDBD0}" name="mai-19" dataDxfId="501" dataCellStyle="Milliers"/>
    <tableColumn id="58" xr3:uid="{2E6EB6CE-7EB6-4563-8BD6-B88FDC21BA8A}" name="juin-19" dataDxfId="500" dataCellStyle="Milliers"/>
    <tableColumn id="59" xr3:uid="{797E8019-6ABC-444A-9B09-EEF2F7762C99}" name="juil-19" dataDxfId="499" dataCellStyle="Milliers"/>
    <tableColumn id="60" xr3:uid="{C6056246-4E24-44DA-9256-CC3648111209}" name="août-19" dataDxfId="498" dataCellStyle="Milliers"/>
    <tableColumn id="61" xr3:uid="{2EB26C5D-7A39-4004-BEFF-706C1F5866CE}" name="sept-19" dataDxfId="497" dataCellStyle="Milliers"/>
    <tableColumn id="62" xr3:uid="{779754FB-1A84-4D37-80CE-50C52F634C95}" name="oct-19" dataDxfId="496" dataCellStyle="Milliers"/>
    <tableColumn id="63" xr3:uid="{D252C22B-1BF2-4E50-9AB8-58A287E5B26D}" name="nov-19" dataDxfId="495" dataCellStyle="Milliers"/>
    <tableColumn id="64" xr3:uid="{A2581046-C680-4019-8FCB-2977F2050909}" name="dec-19" dataDxfId="494" dataCellStyle="Milliers"/>
    <tableColumn id="42" xr3:uid="{00000000-0010-0000-0700-00002A000000}" name="mars-20" dataDxfId="493">
      <calculatedColumnFormula>(Tableau8[[#This Row],[dec-19]]-Tableau8[[#This Row],[nov-19]])/Tableau8[[#This Row],[nov-19]]</calculatedColumnFormula>
    </tableColumn>
    <tableColumn id="44" xr3:uid="{00000000-0010-0000-0700-00002C000000}" name="Evol. mensuelle" dataDxfId="492">
      <calculatedColumnFormula>(Tableau8[[#This Row],[mars-20]]-Tableau8[[#This Row],[dec-19]])/Tableau8[[#This Row],[dec-19]]</calculatedColumnFormula>
    </tableColumn>
    <tableColumn id="65" xr3:uid="{AEB0646D-BCF9-4BC2-B152-8EA32335206A}" name="Evol. Mensuelle2" dataDxfId="491" dataCellStyle="Milliers">
      <calculatedColumnFormula>Tableau8[[#This Row],[mars-20]]-Tableau8[[#This Row],[dec-19]]</calculatedColumnFormula>
    </tableColumn>
    <tableColumn id="66" xr3:uid="{4C6ABC6C-5959-4309-B2D3-F04849523D6B}" name="sept-20" dataDxfId="490"/>
    <tableColumn id="67" xr3:uid="{CCB4C4C7-4B05-4CED-9636-4C4F96A85848}" name="nov-20" dataDxfId="489"/>
    <tableColumn id="68" xr3:uid="{9CCD4CEA-A9BB-4486-A2FF-935DD1FB443D}" name="sept-21" dataDxfId="488"/>
    <tableColumn id="69" xr3:uid="{AE141D42-934D-4032-9CBA-C1AEA76A8651}" name="mars-22" dataDxfId="487"/>
    <tableColumn id="70" xr3:uid="{2B1BA650-F9F9-4A33-9B79-EF4B367E8964}" name="avr-22" dataDxfId="486"/>
    <tableColumn id="71" xr3:uid="{1C685521-639B-4CEB-B89D-EA0FFF930FFA}" name="sept-22" dataDxfId="485"/>
    <tableColumn id="72" xr3:uid="{16AB6484-C378-4358-BFB2-4F0AE959E13A}" name="nov-22" dataDxfId="484"/>
    <tableColumn id="73" xr3:uid="{68B6DE65-481C-4FA4-94B4-D08CCA9B222F}" name="oct-23" dataDxfId="483"/>
    <tableColumn id="74" xr3:uid="{05084191-7698-4636-9341-C79E82955F38}" name="avr-24" dataDxfId="482"/>
    <tableColumn id="75" xr3:uid="{393D397E-CCB2-4FBA-B5A7-92F8F9D2EA34}" name="juin-24" dataDxfId="481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2D4A65-9377-4B4A-B041-E2AAEA225625}" name="Tableau13" displayName="Tableau13" ref="A167:BZ207" totalsRowShown="0" headerRowDxfId="480" dataDxfId="479">
  <sortState xmlns:xlrd2="http://schemas.microsoft.com/office/spreadsheetml/2017/richdata2" ref="A168:BP194">
    <sortCondition ref="B168:B194"/>
  </sortState>
  <tableColumns count="78">
    <tableColumn id="57" xr3:uid="{9F34C130-D8BE-449C-8E05-B72554C94166}" name="Colonne1" dataDxfId="478"/>
    <tableColumn id="1" xr3:uid="{9834DC88-B6B1-4DCD-A2A5-203E48D0314D}" name="Equipes" dataDxfId="477"/>
    <tableColumn id="2" xr3:uid="{9A1DC091-E7A6-4518-AE1A-9E2D5585EBF9}" name="Catégorie" dataDxfId="476"/>
    <tableColumn id="3" xr3:uid="{DDF63579-7C2C-4E42-9DBB-4375B90E3CA7}" name="févr-15" dataDxfId="475"/>
    <tableColumn id="4" xr3:uid="{98A20D2F-3B29-4E90-B2A6-724E6FF3DAF8}" name="mars-15" dataDxfId="474"/>
    <tableColumn id="5" xr3:uid="{ED0C085E-B83F-48E4-8AF8-901464EA3C47}" name="avr-15" dataDxfId="473"/>
    <tableColumn id="6" xr3:uid="{874ED5ED-9AD9-49D4-BBD3-EC3A8DCF04C8}" name="mai-15" dataDxfId="472"/>
    <tableColumn id="7" xr3:uid="{E64C78A7-DCD1-4B7B-9E1C-E03C75E06636}" name="juin-15" dataDxfId="471"/>
    <tableColumn id="8" xr3:uid="{0DA92071-8F0F-4ADE-8F55-3322FDA5D2AE}" name="juil-15" dataDxfId="470"/>
    <tableColumn id="9" xr3:uid="{D079A945-FD5C-415D-8614-B161D7A145A5}" name="août-15" dataDxfId="469"/>
    <tableColumn id="10" xr3:uid="{F2238461-1660-43D5-A453-3616338D2C45}" name="sept-15" dataDxfId="468"/>
    <tableColumn id="11" xr3:uid="{2B31BF14-AFCD-4D57-8270-6484071C9C39}" name="oct-15" dataDxfId="467"/>
    <tableColumn id="12" xr3:uid="{0309DA4E-172E-462F-8C1D-65AC750F8419}" name="nov-15" dataDxfId="466"/>
    <tableColumn id="13" xr3:uid="{25ACCC54-6BFB-46B5-B61B-0C0FFE7F4286}" name="déc-15" dataDxfId="465"/>
    <tableColumn id="14" xr3:uid="{97D0E1F6-58C8-4EB6-B4DA-5C4932BDA072}" name="janv-16" dataDxfId="464"/>
    <tableColumn id="15" xr3:uid="{531DA5B8-1106-4D54-AFDB-532BECAB5DE5}" name="févr-16" dataDxfId="463"/>
    <tableColumn id="16" xr3:uid="{1B36A7C6-5C58-4C68-AD08-4788FC103B1E}" name="mars-16" dataDxfId="462"/>
    <tableColumn id="17" xr3:uid="{BDFE047F-8F11-4544-8CD3-C5229FDEE077}" name="avr-16" dataDxfId="461"/>
    <tableColumn id="18" xr3:uid="{4D6D2C92-4871-49DC-A7B8-604A7891A492}" name="mai-16" dataDxfId="460"/>
    <tableColumn id="19" xr3:uid="{FCC46B76-334A-489E-8E6F-BD12888651D6}" name="juin-16" dataDxfId="459"/>
    <tableColumn id="20" xr3:uid="{3C6BF9BA-BE24-470D-AAA9-5AF77B426E4F}" name="juil-16" dataDxfId="458"/>
    <tableColumn id="21" xr3:uid="{5ED82E29-C82F-40F8-B9E0-B1572077AC15}" name="août-16" dataDxfId="457"/>
    <tableColumn id="22" xr3:uid="{BD1E5356-2B9A-4F07-8E8A-B3FF8D4E5C62}" name="sept-16" dataDxfId="456"/>
    <tableColumn id="23" xr3:uid="{FFF22915-8B3C-4D14-ADB9-1BFF427B25A1}" name="oct-16" dataDxfId="455"/>
    <tableColumn id="24" xr3:uid="{DE5581BE-B02E-42EE-A510-BFBCAAB34DB9}" name="nov-16" dataDxfId="454"/>
    <tableColumn id="25" xr3:uid="{A514AA91-3D56-41B0-9926-D656BCCEBC4D}" name="déc-16" dataDxfId="453"/>
    <tableColumn id="26" xr3:uid="{D30F130F-314F-4A43-B059-4BF7F18CFBAF}" name="janv-17" dataDxfId="452"/>
    <tableColumn id="27" xr3:uid="{482290DA-241A-4EFA-B581-0D55BA623DF8}" name="févr-17" dataDxfId="451"/>
    <tableColumn id="28" xr3:uid="{A979FBD1-5442-4462-BDB6-BB3F05358F32}" name="mars-17" dataDxfId="450"/>
    <tableColumn id="29" xr3:uid="{2EF1E23A-424E-4542-8723-EC3661B28DB7}" name="avr-17" dataDxfId="449"/>
    <tableColumn id="30" xr3:uid="{8B12A51D-DF34-4297-B2A2-BF408FD33907}" name="mai-17" dataDxfId="448"/>
    <tableColumn id="31" xr3:uid="{791D5ED5-F4FE-4D2A-AFF0-57A321E3CB0D}" name="juin-17" dataDxfId="447"/>
    <tableColumn id="32" xr3:uid="{EF44003B-C9EE-423A-800D-D51983241E59}" name="juil-17" dataDxfId="446"/>
    <tableColumn id="33" xr3:uid="{20CCE8C5-66C9-4F1D-8D43-236DC8AB6F15}" name="août-17" dataDxfId="445"/>
    <tableColumn id="34" xr3:uid="{9536B29E-883F-4E21-8958-B8E4B40FCB92}" name="sept-17" dataDxfId="444"/>
    <tableColumn id="35" xr3:uid="{88A4F2DF-6DED-47C5-ACE6-6A56B5E34D49}" name="oct-17" dataDxfId="443"/>
    <tableColumn id="36" xr3:uid="{ED4ACBBD-3FF0-4D1E-B728-833089945FA0}" name="nov-17" dataDxfId="442"/>
    <tableColumn id="37" xr3:uid="{9E71BACE-59A6-4D8D-8E7F-B7F5494CAD6F}" name="déc-17" dataDxfId="441"/>
    <tableColumn id="38" xr3:uid="{1A23463B-C513-4120-99E6-A93E7681A888}" name="janv-18" dataDxfId="440"/>
    <tableColumn id="39" xr3:uid="{62D26740-5690-4AF0-8D2D-F819860DFD27}" name="fev-18" dataDxfId="439"/>
    <tableColumn id="40" xr3:uid="{3074E9C7-90E8-4F6E-A867-68EA6C24D996}" name="mars-18" dataDxfId="438"/>
    <tableColumn id="41" xr3:uid="{5488C14E-0446-4D58-81FA-87658FD1FA54}" name="avr-18" dataDxfId="437"/>
    <tableColumn id="42" xr3:uid="{01D5196C-95E5-48CD-B790-F57C561930DB}" name="mai-18" dataDxfId="436"/>
    <tableColumn id="43" xr3:uid="{44A17335-E143-4784-991F-6D063B4FCE25}" name="juin-18" dataDxfId="435"/>
    <tableColumn id="44" xr3:uid="{869780BD-1D8A-4567-A107-C8CD53704A50}" name="juil-18" dataDxfId="434"/>
    <tableColumn id="45" xr3:uid="{87F69748-1E0A-4318-8B21-D1667F604D1C}" name="août-18" dataDxfId="433">
      <calculatedColumnFormula>AT2+AT43+AT85</calculatedColumnFormula>
    </tableColumn>
    <tableColumn id="46" xr3:uid="{FCAB6905-54B6-477B-83A6-1D93F710F66C}" name="sept-18" dataDxfId="432">
      <calculatedColumnFormula>AU2+AU43+AU85</calculatedColumnFormula>
    </tableColumn>
    <tableColumn id="48" xr3:uid="{C23786AF-C8A9-42F3-A007-E5C4A589E3D4}" name="oct-18" dataDxfId="431">
      <calculatedColumnFormula>AV2+AV43+AV85</calculatedColumnFormula>
    </tableColumn>
    <tableColumn id="50" xr3:uid="{01FA1DF7-4B6A-4931-8110-CFD059E28D6E}" name="nov-18" dataDxfId="430">
      <calculatedColumnFormula>VLOOKUP($B168,$B$2:$WO$59,48,0)+VLOOKUP($B168,$B$73:$WO$157,48,0)+VLOOKUP($B168,$B$163:$WO$189,48,0)</calculatedColumnFormula>
    </tableColumn>
    <tableColumn id="51" xr3:uid="{DC796C7A-7FD8-4329-B342-8199587D5707}" name="dec-18" dataDxfId="429"/>
    <tableColumn id="52" xr3:uid="{44DE2BD9-A902-4E50-8A60-9500BD9F6E9B}" name="janv-19" dataDxfId="428">
      <calculatedColumnFormula>VLOOKUP($B168,$B$2:$WO$59,50,0)+VLOOKUP($B168,$B$73:$WO$157,50,0)+VLOOKUP($B168,$B$163:$WO$189,50,0)</calculatedColumnFormula>
    </tableColumn>
    <tableColumn id="53" xr3:uid="{991197C1-1359-4583-B460-0785793B4B20}" name="févr-19" dataDxfId="427"/>
    <tableColumn id="54" xr3:uid="{A95DF2AF-C18C-4B16-86A3-786B8114E2E4}" name="mars-19" dataDxfId="426"/>
    <tableColumn id="55" xr3:uid="{A3BDAAD5-ADD3-4B02-8ACA-E39FB79BDC98}" name="avr-19" dataDxfId="425"/>
    <tableColumn id="58" xr3:uid="{8D647AED-18F7-4801-9D73-0A34BA267F08}" name="mai-19" dataDxfId="424">
      <calculatedColumnFormula>VLOOKUP($B168,$B$2:$WO$59,54,0)+VLOOKUP($B168,$B$73:$WO$157,54,0)+VLOOKUP($B168,$B$163:$WO$189,53,0)</calculatedColumnFormula>
    </tableColumn>
    <tableColumn id="56" xr3:uid="{7E0D09F6-D28B-4203-8B6A-7E89581D4F21}" name="juin-19" dataDxfId="423">
      <calculatedColumnFormula>VLOOKUP($B168,$B$2:$WO$59,55,0)+VLOOKUP($B168,$B$73:$WO$157,55,0)+VLOOKUP($B168,$B$163:$WO$189,55,0)</calculatedColumnFormula>
    </tableColumn>
    <tableColumn id="59" xr3:uid="{9F9E8BCE-94E7-4B7F-BC02-07D86B2ABDEB}" name="juil-19" dataDxfId="422">
      <calculatedColumnFormula>VLOOKUP($B168,$B$2:$WO$59,56,0)+VLOOKUP($B168,$B$73:$WO$157,56,0)+VLOOKUP($B168,$B$163:$WO$188,56,0)</calculatedColumnFormula>
    </tableColumn>
    <tableColumn id="60" xr3:uid="{4DC6C660-BBB4-41B1-B62E-645F94A6C50C}" name="août-19" dataDxfId="421">
      <calculatedColumnFormula>VLOOKUP($B168,$B$2:$WO$59,57,0)+VLOOKUP($B168,$B$73:$WO$157,57,0)+VLOOKUP($B168,$B$163:$WO$188,57,0)</calculatedColumnFormula>
    </tableColumn>
    <tableColumn id="61" xr3:uid="{205646A1-71E8-4D83-B741-FA8964D5C928}" name="sept-19" dataDxfId="420">
      <calculatedColumnFormula>VLOOKUP($B168,$B$2:$WO$59,58,0)+VLOOKUP($B168,$B$73:$WO$157,58,0)+VLOOKUP($B168,$B$163:$WO$188,58,0)</calculatedColumnFormula>
    </tableColumn>
    <tableColumn id="62" xr3:uid="{8DDEF7AD-41CF-481E-8191-9384F0D976A9}" name="oct-19" dataDxfId="419">
      <calculatedColumnFormula>VLOOKUP($B168,$B$2:$WO$59,59,0)+VLOOKUP($B168,$B$73:$WO$157,59,0)+VLOOKUP($B168,$B$163:$WO$188,59,0)</calculatedColumnFormula>
    </tableColumn>
    <tableColumn id="63" xr3:uid="{BC2990B4-E05F-4E5E-93BC-0495BEA53F1E}" name="nov-19" dataDxfId="418">
      <calculatedColumnFormula>VLOOKUP($B168,$B$2:$WO$59,60,0)+VLOOKUP($B168,$B$73:$WO$157,60,0)+VLOOKUP($B168,$B$163:$WO$188,60,0)</calculatedColumnFormula>
    </tableColumn>
    <tableColumn id="64" xr3:uid="{30F15770-110B-41EC-AB66-AC1A8CDBA704}" name="dec-19" dataDxfId="417">
      <calculatedColumnFormula>VLOOKUP($B168,$B$2:$WO$59,61,0)+VLOOKUP($B168,$B$73:$WO$157,61,0)+VLOOKUP($B168,$B$163:$WO$188,61,0)</calculatedColumnFormula>
    </tableColumn>
    <tableColumn id="47" xr3:uid="{921D67B0-C6F0-4813-A3F7-CF3409CE7F4C}" name="mars-20" dataDxfId="416" dataCellStyle="Pourcentage">
      <calculatedColumnFormula>VLOOKUP($B168,$B$2:$WO$59,62,0)+VLOOKUP($B168,$B$73:$WO$157,62,0)+VLOOKUP($B168,$B$163:$WO$188,62,0)</calculatedColumnFormula>
    </tableColumn>
    <tableColumn id="49" xr3:uid="{9ECE3015-CCB4-4B17-8295-FAB117AFCFA6}" name="Evol. mensuelle" dataDxfId="415" dataCellStyle="Pourcentage">
      <calculatedColumnFormula>(Tableau13[[#This Row],[mars-20]]-Tableau13[[#This Row],[dec-19]])/Tableau13[[#This Row],[dec-19]]</calculatedColumnFormula>
    </tableColumn>
    <tableColumn id="65" xr3:uid="{6AE29625-D05A-405B-9E98-73AB38CA5CE8}" name="Evol. Mensuelle2" dataDxfId="414">
      <calculatedColumnFormula>Tableau13[[#This Row],[mars-20]]-Tableau13[[#This Row],[dec-19]]</calculatedColumnFormula>
    </tableColumn>
    <tableColumn id="66" xr3:uid="{1F361C6F-6EF0-4800-93D6-1D1EDAF416C9}" name="sept-20" dataDxfId="413"/>
    <tableColumn id="67" xr3:uid="{DBB3A658-13BA-499B-82DA-4CF6D4FDA605}" name="nov-20" dataDxfId="412">
      <calculatedColumnFormula>VLOOKUP($B168,$B$2:$WO$59,66,0)+VLOOKUP($B168,$B$73:$WO$157,66,0)+VLOOKUP($B168,$B$163:$WO$188,66,0)</calculatedColumnFormula>
    </tableColumn>
    <tableColumn id="68" xr3:uid="{B3FDF707-4A83-4F85-A44A-84A3AEB5823B}" name="sept-21" dataDxfId="411">
      <calculatedColumnFormula>BP3+BP44+BP86</calculatedColumnFormula>
    </tableColumn>
    <tableColumn id="71" xr3:uid="{D512AC2B-92B3-4D4B-B363-E1D1223E4EB4}" name="mars-22" dataDxfId="410">
      <calculatedColumnFormula>BQ2+BQ43+BQ85</calculatedColumnFormula>
    </tableColumn>
    <tableColumn id="72" xr3:uid="{8DBFF574-0EE3-4DDD-8178-31B394083978}" name="avr-22" dataDxfId="409">
      <calculatedColumnFormula>BR2+BR43+BR85</calculatedColumnFormula>
    </tableColumn>
    <tableColumn id="73" xr3:uid="{C6895D42-5888-4DB0-A3CA-91B1396BD0DB}" name="sept-22" dataDxfId="408">
      <calculatedColumnFormula>SUM(BS2,BS43,BS85)</calculatedColumnFormula>
    </tableColumn>
    <tableColumn id="74" xr3:uid="{AD8D9409-989E-4A31-8ED0-9072A3C47E8C}" name="nov-22" dataDxfId="407">
      <calculatedColumnFormula>SUM(BT2+BT43+BT85+BT127)</calculatedColumnFormula>
    </tableColumn>
    <tableColumn id="75" xr3:uid="{FE72AF2A-C223-4664-B2FD-EBD8829283CF}" name="oct-23" dataDxfId="406">
      <calculatedColumnFormula>SUM(BU2+BU43+BU85+BU131)</calculatedColumnFormula>
    </tableColumn>
    <tableColumn id="76" xr3:uid="{21619C4E-B1A6-4304-86A5-106384746930}" name="avr-24" dataDxfId="405">
      <calculatedColumnFormula>SUM(BV2+BV43+BV85+BV131)</calculatedColumnFormula>
    </tableColumn>
    <tableColumn id="77" xr3:uid="{FD515184-DFC4-4693-A172-C0C3FB06310E}" name="juin-24" dataDxfId="404"/>
    <tableColumn id="78" xr3:uid="{E6E032A5-AE6D-4980-AF61-4AD3DC651A7B}" name="Colonne2" dataCellStyle="Normal"/>
    <tableColumn id="69" xr3:uid="{47113B04-6B5F-456C-B0A1-B84AB5428520}" name="Evol. Mensuelle %" dataDxfId="403">
      <calculatedColumnFormula>(Tableau13[[#This Row],[juin-24]]-Tableau13[[#This Row],[avr-24]])/Tableau13[[#This Row],[avr-24]]</calculatedColumnFormula>
    </tableColumn>
    <tableColumn id="70" xr3:uid="{3F154CD1-83A4-4F1D-ABB2-B7C975EEE310}" name="Evol. Mensuelle Vol" dataDxfId="402">
      <calculatedColumnFormula>Tableau13[[#This Row],[juin-24]]-Tableau13[[#This Row],[avr-24]]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8E1B17-282E-464A-BA8D-CF08B884AE73}" name="Tableau9" displayName="Tableau9" ref="A126:BW162" totalsRowShown="0" headerRowDxfId="401" dataDxfId="400" tableBorderDxfId="399">
  <autoFilter ref="A126:BW162" xr:uid="{D78E1B17-282E-464A-BA8D-CF08B884AE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</autoFilter>
  <sortState xmlns:xlrd2="http://schemas.microsoft.com/office/spreadsheetml/2017/richdata2" ref="A127:BS160">
    <sortCondition descending="1" ref="BS127:BS160"/>
  </sortState>
  <tableColumns count="75">
    <tableColumn id="1" xr3:uid="{1EEAA2AF-23F4-41C4-9DEE-414CA4F2DE06}" name="Colonne1" dataDxfId="398" dataCellStyle="Lien hypertexte"/>
    <tableColumn id="2" xr3:uid="{898C9C18-3078-4A38-84DC-F612E6BC902D}" name="TikTok" dataDxfId="397"/>
    <tableColumn id="3" xr3:uid="{A70002EB-E082-4B3D-829A-B6D79EA25862}" name="Catégorie" dataDxfId="396"/>
    <tableColumn id="4" xr3:uid="{49F1220E-C53E-489A-AB44-AC9D9C0BFEAB}" name="févr-15" dataDxfId="395"/>
    <tableColumn id="5" xr3:uid="{376303B4-0C3D-4FF4-A326-28F5A670F9FA}" name="mars-15" dataDxfId="394"/>
    <tableColumn id="6" xr3:uid="{A8E4C7AF-2599-445D-9DBD-F2ED0F82E0F2}" name="avr-15" dataDxfId="393"/>
    <tableColumn id="7" xr3:uid="{2CF19223-FC34-4859-8E36-E05898D48A3D}" name="mai-15" dataDxfId="392"/>
    <tableColumn id="8" xr3:uid="{E55872EA-BA9D-4DBC-8640-FD345A59389B}" name="juin-15" dataDxfId="391"/>
    <tableColumn id="9" xr3:uid="{C55261A6-BD6E-4C63-A4D4-91E582FD2D23}" name="juil-15" dataDxfId="390"/>
    <tableColumn id="10" xr3:uid="{54AA19B2-B8A3-4762-A240-D20C1DD92BDD}" name="août-15" dataDxfId="389"/>
    <tableColumn id="11" xr3:uid="{869CBE62-F0CA-4BF2-B5BA-A73B9EE5D5A5}" name="sept-15" dataDxfId="388"/>
    <tableColumn id="12" xr3:uid="{C7821132-679F-46C1-AF44-292451AD6230}" name="oct-15" dataDxfId="387"/>
    <tableColumn id="13" xr3:uid="{9C0BE808-5176-4821-A7A1-98F46B66436C}" name="nov-15" dataDxfId="386"/>
    <tableColumn id="14" xr3:uid="{C9E3F759-1C68-47C1-BAC9-9D09817276E0}" name="déc-15" dataDxfId="385"/>
    <tableColumn id="15" xr3:uid="{3D673CC4-C50D-44EE-BD82-2E82482F5D23}" name="janv-16" dataDxfId="384"/>
    <tableColumn id="16" xr3:uid="{A65FD24F-7A4F-4C9E-A744-7CA22228DB91}" name="févr-16" dataDxfId="383"/>
    <tableColumn id="17" xr3:uid="{DC7049FF-8E1C-4E59-84F3-1258252A2C99}" name="mars-16" dataDxfId="382"/>
    <tableColumn id="18" xr3:uid="{810E3515-BFA3-47B8-B22F-2B379AB8825F}" name="avr-16" dataDxfId="381"/>
    <tableColumn id="19" xr3:uid="{81E1C5E0-D29B-4B22-8A98-024D6504D458}" name="mai-16" dataDxfId="380"/>
    <tableColumn id="20" xr3:uid="{ACBFF6CB-DAAB-4C54-A96C-D5BE074C8727}" name="juin-16" dataDxfId="379"/>
    <tableColumn id="21" xr3:uid="{BEA841B2-1075-49DF-ACFC-08E8E11791AA}" name="juil-16" dataDxfId="378"/>
    <tableColumn id="22" xr3:uid="{DDFB3865-9819-40E5-A242-E5D2BCA40B36}" name="août-16" dataDxfId="377"/>
    <tableColumn id="23" xr3:uid="{E5865EBF-5781-45B7-BCB7-8C19A75AC8B3}" name="sept-16" dataDxfId="376"/>
    <tableColumn id="24" xr3:uid="{6A673799-2E71-4C99-BE6E-8550C81EB4C4}" name="oct-16" dataDxfId="375"/>
    <tableColumn id="25" xr3:uid="{4F9C13F9-CAAD-42FC-8625-D1E563EDD02C}" name="nov-16" dataDxfId="374"/>
    <tableColumn id="26" xr3:uid="{47497E80-5A3D-4FBB-8CFE-8FF37093C468}" name="déc-16" dataDxfId="373"/>
    <tableColumn id="27" xr3:uid="{51BFEB28-DC51-42FC-9F6E-9C4EBB7EAFF0}" name="janv-17" dataDxfId="372"/>
    <tableColumn id="28" xr3:uid="{BADE1F4A-6DBD-47D9-9AB4-7F0CB5B0E074}" name="févr-17" dataDxfId="371"/>
    <tableColumn id="29" xr3:uid="{004BEE94-28F4-42AA-BF92-BDD5E6914E5E}" name="mars-17" dataDxfId="370"/>
    <tableColumn id="30" xr3:uid="{D9905092-970B-4530-A619-391F83B3B626}" name="avr-17" dataDxfId="369"/>
    <tableColumn id="31" xr3:uid="{871D7012-D03B-482D-A804-C5CD636BD59D}" name="mai-17" dataDxfId="368"/>
    <tableColumn id="32" xr3:uid="{8C223DE9-E1AF-4B2D-944A-1E42F9E9B545}" name="juin-17" dataDxfId="367"/>
    <tableColumn id="33" xr3:uid="{8AE8ADA9-6DBA-452B-BF63-745152CE4B5C}" name="juil-17" dataDxfId="366"/>
    <tableColumn id="34" xr3:uid="{F3E32BEA-3940-455D-A361-1D8B1C9D4DB9}" name="août-17" dataDxfId="365"/>
    <tableColumn id="35" xr3:uid="{43F5595A-42CC-4BD7-900F-06FE076DB567}" name="sept-17" dataDxfId="364"/>
    <tableColumn id="36" xr3:uid="{662E8D6C-3128-4153-8083-2D2B7CCCB9BA}" name="oct-17" dataDxfId="363"/>
    <tableColumn id="37" xr3:uid="{B9CA828F-D5BD-46C9-9628-8ED95F9B7BCA}" name="nov-17" dataDxfId="362"/>
    <tableColumn id="38" xr3:uid="{5F36C728-A9DD-43D3-9C2D-2B8F199E864A}" name="déc-17" dataDxfId="361"/>
    <tableColumn id="39" xr3:uid="{7D3F00E5-F6A8-4F0F-8E02-195E3B25C587}" name="janv-18" dataDxfId="360"/>
    <tableColumn id="40" xr3:uid="{26F4636E-6844-45FF-8CC0-70FE5A48B303}" name="fev-18" dataDxfId="359"/>
    <tableColumn id="41" xr3:uid="{F7B7688D-F239-4941-9AD2-20D02EAED8C9}" name="mars-18" dataDxfId="358" dataCellStyle="Milliers"/>
    <tableColumn id="42" xr3:uid="{EB7E9A1D-E93C-4810-913F-393A1A7DD028}" name="avr-18" dataDxfId="357" dataCellStyle="Milliers"/>
    <tableColumn id="43" xr3:uid="{0489DC7B-8841-49DB-816A-B92E5D9D08AB}" name="mai-18" dataDxfId="356" dataCellStyle="Milliers"/>
    <tableColumn id="44" xr3:uid="{AD191DBB-EC97-4F5E-A6E1-9E31F3470BE5}" name="juin-18" dataDxfId="355" dataCellStyle="Milliers"/>
    <tableColumn id="45" xr3:uid="{6E1C9B3D-D3D6-45A1-96C7-AE134B3462C8}" name="juil-18" dataDxfId="354" dataCellStyle="Milliers"/>
    <tableColumn id="46" xr3:uid="{17AD9C6A-CB84-44A0-A8EE-F064ED734739}" name="août-18" dataDxfId="353" dataCellStyle="Milliers"/>
    <tableColumn id="47" xr3:uid="{8D47729A-9FD7-4CF2-88F7-E2F127D183A4}" name="sept-18" dataDxfId="352" dataCellStyle="Milliers"/>
    <tableColumn id="48" xr3:uid="{1FA98AFB-F88C-47CC-A64D-8D36F4790B95}" name="oct-18" dataDxfId="351" dataCellStyle="Milliers"/>
    <tableColumn id="49" xr3:uid="{2D934591-8140-491D-A1D1-03611761BAD2}" name="nov-18" dataDxfId="350" dataCellStyle="Milliers"/>
    <tableColumn id="50" xr3:uid="{1FBF6F15-FA9A-4118-A441-F404679E05AE}" name="dec-18" dataDxfId="349" dataCellStyle="Milliers"/>
    <tableColumn id="51" xr3:uid="{6E202D15-5C33-470A-87FB-716445BAA050}" name="janv-19" dataDxfId="348" dataCellStyle="Milliers"/>
    <tableColumn id="52" xr3:uid="{DCBC404F-AAE4-4B09-AFA5-B35C231B3550}" name="févr-19" dataDxfId="347" dataCellStyle="Milliers"/>
    <tableColumn id="53" xr3:uid="{EB5072A6-3073-42F0-AD81-B786E9E01DC4}" name="mars-19" dataDxfId="346" dataCellStyle="Milliers"/>
    <tableColumn id="54" xr3:uid="{8A228A64-7AA6-4D88-A107-8C2B228A80BB}" name="avr-19" dataDxfId="345" dataCellStyle="Milliers"/>
    <tableColumn id="55" xr3:uid="{5BD72210-E244-4547-8941-C61635B7B669}" name="mai-19" dataDxfId="344" dataCellStyle="Milliers"/>
    <tableColumn id="56" xr3:uid="{2C1314C2-BFC5-4E3E-B32F-9CBBEA4078E8}" name="juin-19" dataDxfId="343" dataCellStyle="Milliers"/>
    <tableColumn id="57" xr3:uid="{EACD48A8-8918-4934-A027-EA3679621DCC}" name="juil-19" dataDxfId="342" dataCellStyle="Milliers"/>
    <tableColumn id="58" xr3:uid="{A25E0FCF-FB03-43D9-BEB0-1A253694896E}" name="août-19" dataDxfId="341" dataCellStyle="Milliers"/>
    <tableColumn id="59" xr3:uid="{C7BE6144-6202-46D4-939C-F12C0F44B9CE}" name="sept-19" dataDxfId="340" dataCellStyle="Milliers"/>
    <tableColumn id="60" xr3:uid="{DB1AC6D3-AE7B-4C33-B316-D5BE8C06816D}" name="oct-19" dataDxfId="339" dataCellStyle="Milliers"/>
    <tableColumn id="61" xr3:uid="{B068C261-EBB6-469D-934A-473374F41541}" name="nov-19" dataDxfId="338" dataCellStyle="Milliers"/>
    <tableColumn id="62" xr3:uid="{D11FE949-989C-42D5-8C6F-AC001F481846}" name="dec-19" dataDxfId="337" dataCellStyle="Milliers"/>
    <tableColumn id="63" xr3:uid="{0A6C41BB-713D-4224-81F0-E225A8F3709D}" name="mars-20"/>
    <tableColumn id="64" xr3:uid="{B42DA7ED-22D3-4202-BF1B-82D3C87CDE95}" name="Evol. mensuelle" dataDxfId="336" dataCellStyle="Pourcentage"/>
    <tableColumn id="65" xr3:uid="{8FAC26A1-7D72-4363-9888-D0296A7901BD}" name="Evol. Mensuelle2" dataDxfId="335" dataCellStyle="Milliers"/>
    <tableColumn id="66" xr3:uid="{84D944ED-9E2B-42FE-8E72-FFEFD063203A}" name="sept-20" dataDxfId="334"/>
    <tableColumn id="67" xr3:uid="{6C3A571A-B3C1-4456-BB48-BEE69BD6FA93}" name="nov-20" dataDxfId="333"/>
    <tableColumn id="68" xr3:uid="{A33D63A0-084B-4C27-AC1D-252FED578A61}" name="sept-21" dataDxfId="332"/>
    <tableColumn id="69" xr3:uid="{9E57A357-D415-42E9-ACCD-3E12DAD7ABBB}" name="mars-22" dataDxfId="331"/>
    <tableColumn id="70" xr3:uid="{0A5901E9-B563-4A2E-B507-0CE9FD8B0F34}" name="avr-22" dataDxfId="330"/>
    <tableColumn id="71" xr3:uid="{7754BE21-663A-496D-BDB7-C84FB22A4FC7}" name="sept-22" dataDxfId="329"/>
    <tableColumn id="72" xr3:uid="{9E4DB724-3ACB-482F-A438-72A04E454861}" name="nov-22" dataDxfId="328"/>
    <tableColumn id="73" xr3:uid="{FF535BEA-D670-4D4F-9ABB-025F0BCBDEB1}" name="oct-23" dataDxfId="327"/>
    <tableColumn id="74" xr3:uid="{AEDF7DC1-3476-441A-91DB-EF17FBDC021B}" name="avr-24" dataDxfId="326"/>
    <tableColumn id="75" xr3:uid="{05E5BB84-7040-48DE-86C9-53C77AF31F27}" name="juin-24" dataDxfId="32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53F4CA-F272-4E50-95C3-73FC29E03C78}" name="Tableau913" displayName="Tableau913" ref="A1:AT106" totalsRowShown="0" headerRowDxfId="324" dataDxfId="322" headerRowBorderDxfId="323" tableBorderDxfId="321" totalsRowBorderDxfId="320">
  <autoFilter ref="A1:AT106" xr:uid="{00000000-0009-0000-0100-000009000000}"/>
  <sortState xmlns:xlrd2="http://schemas.microsoft.com/office/spreadsheetml/2017/richdata2" ref="A2:AT106">
    <sortCondition ref="B1:B106"/>
  </sortState>
  <tableColumns count="46">
    <tableColumn id="27" xr3:uid="{C57B3FA8-980D-4235-8095-D138EA0047CA}" name="Colonne1" dataDxfId="319"/>
    <tableColumn id="1" xr3:uid="{C5686610-F411-4C28-8D81-372D1EA6007D}" name="FACEBOOK" dataDxfId="318"/>
    <tableColumn id="2" xr3:uid="{150ECDF3-4545-473E-BB23-1249F6D4D608}" name="juin-17" dataDxfId="317"/>
    <tableColumn id="3" xr3:uid="{5450A977-963E-407A-BF14-61565E31FB86}" name="juil-17" dataDxfId="316"/>
    <tableColumn id="5" xr3:uid="{C4AA31EE-A37B-4D72-B4FD-52B878E73646}" name="août-17" dataDxfId="315"/>
    <tableColumn id="7" xr3:uid="{B60BAA0E-7D8F-4871-9116-08FBB232A0B4}" name="sept-17" dataDxfId="314"/>
    <tableColumn id="8" xr3:uid="{9A48B4F7-94F6-4C5A-BB20-0FEA3A015974}" name="oct-17" dataDxfId="313"/>
    <tableColumn id="9" xr3:uid="{27926258-F4F3-425A-A212-806A1ADE6A30}" name="nov-17" dataDxfId="312"/>
    <tableColumn id="10" xr3:uid="{E47D04D6-ABC5-45E5-8B14-8B017544B76D}" name="déc-17" dataDxfId="311"/>
    <tableColumn id="11" xr3:uid="{A1BC74DF-305D-4F3E-ADA0-2BEC6566A852}" name="janv-18" dataDxfId="310"/>
    <tableColumn id="12" xr3:uid="{C456B6FF-05D7-4DFD-91AE-97CBB616683E}" name="fev-18" dataDxfId="309"/>
    <tableColumn id="13" xr3:uid="{D644454B-9263-45DE-874B-CED122DD15C9}" name="mars-18" dataDxfId="308"/>
    <tableColumn id="14" xr3:uid="{7709EE4A-CFC4-4A7A-9368-9E033C2A13D2}" name="avr-18" dataDxfId="307"/>
    <tableColumn id="15" xr3:uid="{F363D93E-70FB-4809-9009-81C10CDBD48E}" name="mai-18" dataDxfId="306"/>
    <tableColumn id="16" xr3:uid="{4F1BF237-63BA-463D-934D-127CC5027076}" name="juin-18" dataDxfId="305"/>
    <tableColumn id="17" xr3:uid="{29F50A04-E321-4D6C-8856-B156A2EB28E3}" name="juil-18" dataDxfId="304"/>
    <tableColumn id="18" xr3:uid="{89EDF6C3-6473-4962-807E-873DA9446410}" name="août-18" dataDxfId="303"/>
    <tableColumn id="19" xr3:uid="{77DD6638-A235-4CC1-ABFA-7B523476C397}" name="sept-18" dataDxfId="302"/>
    <tableColumn id="20" xr3:uid="{CBDFFAE4-58C5-4BC5-824C-4497258C8608}" name="oct-18" dataDxfId="301"/>
    <tableColumn id="21" xr3:uid="{26C11534-7F95-41CB-AEAC-D4A3A2F0B5EE}" name="nov-18" dataDxfId="300"/>
    <tableColumn id="22" xr3:uid="{E4573020-8A46-475F-BFF0-DB96DA41BE40}" name="dec-18" dataDxfId="299" dataCellStyle="Milliers"/>
    <tableColumn id="23" xr3:uid="{954DA8C1-B5CD-4BDC-A941-1EBC457CB38E}" name="janv-19" dataDxfId="298" dataCellStyle="Milliers"/>
    <tableColumn id="24" xr3:uid="{0950A441-60DB-4699-A99F-72E58C0EA9BC}" name="févr-19" dataDxfId="297" dataCellStyle="Milliers"/>
    <tableColumn id="25" xr3:uid="{96586CBE-1D56-4BBD-8E48-0D1C866DAEB4}" name="mars-19" dataDxfId="296" dataCellStyle="Milliers"/>
    <tableColumn id="26" xr3:uid="{74E6FB80-F646-4B58-A1B9-A87CF535B9B1}" name="avr-19" dataDxfId="295" dataCellStyle="Milliers"/>
    <tableColumn id="28" xr3:uid="{723D978E-0261-497A-B465-721A6DF32C43}" name="mai-19" dataDxfId="294" dataCellStyle="Milliers"/>
    <tableColumn id="29" xr3:uid="{979BB964-FC4D-4C14-9833-0679485F963B}" name="juin-19" dataDxfId="293" dataCellStyle="Milliers"/>
    <tableColumn id="30" xr3:uid="{974F3F47-7B3D-4DF0-B249-0DEC5C524651}" name="juil-19" dataDxfId="292" dataCellStyle="Milliers"/>
    <tableColumn id="31" xr3:uid="{5E1E7365-33F8-44C6-8329-6F59DD81E72A}" name="août-19" dataDxfId="291" dataCellStyle="Milliers"/>
    <tableColumn id="32" xr3:uid="{D89EAFD4-7DCF-4C4B-8618-A3AB90EF24A1}" name="sept-19" dataDxfId="290" dataCellStyle="Milliers"/>
    <tableColumn id="33" xr3:uid="{253F14A5-7ACE-428E-A731-6FAE61D81A8C}" name="oct-19" dataDxfId="289" dataCellStyle="Milliers"/>
    <tableColumn id="34" xr3:uid="{38768C97-A8EE-429A-9F59-BAC0014928FA}" name="nov-19" dataDxfId="288"/>
    <tableColumn id="35" xr3:uid="{143B661F-3418-4531-B4F7-A35EF4E24DDC}" name="dec-19" dataDxfId="287"/>
    <tableColumn id="4" xr3:uid="{A6710139-0D23-4982-A080-DCD5F74E9A92}" name="mars-20" dataDxfId="286"/>
    <tableColumn id="6" xr3:uid="{9379E691-E78E-46EB-9046-CA80B66249AD}" name="Evolution mensuelle" dataDxfId="285" dataCellStyle="Pourcentage"/>
    <tableColumn id="36" xr3:uid="{EE3FB3A5-4A0C-40AD-8298-974EAA8EF05C}" name="Evolution mensuelle en volume" dataDxfId="284">
      <calculatedColumnFormula>Tableau913[[#This Row],[mars-20]]-Tableau913[[#This Row],[dec-19]]</calculatedColumnFormula>
    </tableColumn>
    <tableColumn id="37" xr3:uid="{A18D454F-F7D1-4404-8C8C-CD4D2793B459}" name="sept-20" dataDxfId="283"/>
    <tableColumn id="38" xr3:uid="{6B3999BB-921C-48FF-AA06-0786A818683B}" name="nov-20" dataDxfId="282"/>
    <tableColumn id="39" xr3:uid="{2DD1470B-61DC-4B94-9931-175A308F0780}" name="sept-21" dataDxfId="281"/>
    <tableColumn id="40" xr3:uid="{ABF6A4F0-0BF3-4CDA-AFC0-30A4656B9578}" name="mars-22" dataDxfId="280">
      <calculatedColumnFormula>1128169+1540810+586378</calculatedColumnFormula>
    </tableColumn>
    <tableColumn id="41" xr3:uid="{5456DCAD-BBEB-4752-A5AA-76E0C27A86E9}" name="avr-22" dataDxfId="279"/>
    <tableColumn id="42" xr3:uid="{41CFE3A3-EF30-4657-8EAD-F65D89F61974}" name="sept-22" dataDxfId="278"/>
    <tableColumn id="43" xr3:uid="{57A8160E-0CAB-4C45-8AC7-3C3A24A431A3}" name="nov-22" dataDxfId="277"/>
    <tableColumn id="44" xr3:uid="{5B3687B0-188A-433F-88E3-8EE7ED8C25B0}" name="oct-23" dataDxfId="276"/>
    <tableColumn id="45" xr3:uid="{DE0215BF-DA65-47B2-87E7-F8B8C24A13FB}" name="avr-24" dataDxfId="275"/>
    <tableColumn id="46" xr3:uid="{87BDE00E-E66E-4331-B1C3-6589A338DC7E}" name="juin-24" dataDxfId="27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7D9C21-2AE0-4B7B-8B71-DEDC727B5A61}" name="Tableau1014" displayName="Tableau1014" ref="A110:AT201" totalsRowShown="0" dataDxfId="272" headerRowBorderDxfId="273" tableBorderDxfId="271" totalsRowBorderDxfId="270">
  <autoFilter ref="A110:AT201" xr:uid="{00000000-0009-0000-0100-00000A000000}"/>
  <sortState xmlns:xlrd2="http://schemas.microsoft.com/office/spreadsheetml/2017/richdata2" ref="A111:AT201">
    <sortCondition ref="B110:B201"/>
  </sortState>
  <tableColumns count="46">
    <tableColumn id="27" xr3:uid="{DE2C0C9B-50D5-444C-A220-66CC2890FFF6}" name="Colonne1" dataDxfId="269"/>
    <tableColumn id="1" xr3:uid="{94644C74-300C-4325-B40D-9A40F513BBD9}" name="TWITTER" dataDxfId="268"/>
    <tableColumn id="2" xr3:uid="{47040A3C-5BD2-4543-A2B6-89869576DF6E}" name="juin-17" dataDxfId="267"/>
    <tableColumn id="3" xr3:uid="{81F29967-C577-458A-A1CB-1EB1EA477C93}" name="juil-17" dataDxfId="266"/>
    <tableColumn id="5" xr3:uid="{3F04EF12-4F7F-4FE3-97D2-1E7F34AC0440}" name="août-17" dataDxfId="265"/>
    <tableColumn id="7" xr3:uid="{4768BEE1-CFA2-4630-B188-3702D6D15588}" name="sept-17" dataDxfId="264"/>
    <tableColumn id="8" xr3:uid="{37D74FEE-C3D3-4D80-8B3C-C460D5B6CE46}" name="oct-17" dataDxfId="263"/>
    <tableColumn id="9" xr3:uid="{021A30ED-3F8E-4021-8F9C-D88DC1266D89}" name="nov-17" dataDxfId="262"/>
    <tableColumn id="10" xr3:uid="{3EE05511-F0F0-403D-A5EB-E193E1900364}" name="déc-17" dataDxfId="261"/>
    <tableColumn id="11" xr3:uid="{D3578E3F-BC02-44C7-B026-24A6EB35C4C5}" name="janv-18" dataDxfId="260"/>
    <tableColumn id="12" xr3:uid="{ECC65ACF-1754-4660-8D02-87356661C95B}" name="fev-18" dataDxfId="259"/>
    <tableColumn id="13" xr3:uid="{AD0812AC-6E67-4A8E-B2F0-FB6812B69210}" name="mars-18" dataDxfId="258"/>
    <tableColumn id="14" xr3:uid="{CF2DE8E4-929C-4086-B598-70FC5B7563DF}" name="avr-18" dataDxfId="257"/>
    <tableColumn id="15" xr3:uid="{7C33F32E-D5F8-49FA-8E52-3C786C2D22D8}" name="mai-18" dataDxfId="256"/>
    <tableColumn id="16" xr3:uid="{756DBAB8-0EF6-4650-8302-5A9D981A2243}" name="juin-18" dataDxfId="255"/>
    <tableColumn id="17" xr3:uid="{8C44D73E-CC7C-46C2-8E24-FF95F61FAF51}" name="juil-18" dataDxfId="254"/>
    <tableColumn id="18" xr3:uid="{47FCCD28-535E-417A-847A-E95A446401FE}" name="août-18" dataDxfId="253"/>
    <tableColumn id="19" xr3:uid="{334A2667-0951-4971-893D-6585231D9A62}" name="sept-18" dataDxfId="252"/>
    <tableColumn id="20" xr3:uid="{125A0FFD-1ADC-490B-B050-849C7C86D89C}" name="oct-18" dataDxfId="251"/>
    <tableColumn id="21" xr3:uid="{068C6FF6-694C-4A78-8029-63A32E154B21}" name="nov-18" dataDxfId="250"/>
    <tableColumn id="22" xr3:uid="{30E6A0A0-7CAD-47EF-8F85-886C9CF62227}" name="dec-18" dataDxfId="249"/>
    <tableColumn id="23" xr3:uid="{2CA50A60-2D6E-4AF5-BF25-96314DECADA7}" name="janv-19" dataDxfId="248"/>
    <tableColumn id="24" xr3:uid="{91655831-25FB-4805-B473-0B428762AB7B}" name="févr-19" dataDxfId="247"/>
    <tableColumn id="25" xr3:uid="{D7C6478F-9A3E-42B4-B91C-504A74A0D35E}" name="mars-19" dataDxfId="246"/>
    <tableColumn id="26" xr3:uid="{4717FB0A-C70F-49F8-9BB3-99606A108241}" name="avr-19" dataDxfId="245"/>
    <tableColumn id="28" xr3:uid="{B085F0E2-931B-422D-B5E4-F2E0CE97E3C7}" name="mai-19" dataDxfId="244"/>
    <tableColumn id="29" xr3:uid="{6DF66BC9-F814-4708-B99B-ACFA70B04734}" name="juin-19" dataDxfId="243"/>
    <tableColumn id="30" xr3:uid="{EBBB0CEA-8818-43A2-96EF-9A0CFAC4C4CA}" name="juil-19" dataDxfId="242"/>
    <tableColumn id="31" xr3:uid="{C15B19C5-E364-4FEE-A328-5B97ACB016B4}" name="août-19" dataDxfId="241"/>
    <tableColumn id="32" xr3:uid="{4A39A96B-DC64-4709-86D7-8B08AAEA1465}" name="sept-19" dataDxfId="240"/>
    <tableColumn id="33" xr3:uid="{1303653A-8EF9-4D3A-B641-E9F3766189FC}" name="oct-19" dataDxfId="239"/>
    <tableColumn id="34" xr3:uid="{C6BB17BD-0E6E-49DE-86AA-35BB6C1A8178}" name="nov-19" dataDxfId="238"/>
    <tableColumn id="35" xr3:uid="{58B9853E-3814-4385-A97D-E3272E1A9A0A}" name="dec-19" dataDxfId="237"/>
    <tableColumn id="4" xr3:uid="{B887A5F6-CCED-4CF9-97F4-B7497294C71B}" name="mars-20" dataDxfId="236" dataCellStyle="Pourcentage"/>
    <tableColumn id="6" xr3:uid="{5F6BDE24-AE8F-43D1-AD74-AB7F79EED746}" name="Evolution mensuelle" dataDxfId="235" dataCellStyle="Pourcentage">
      <calculatedColumnFormula>(Tableau1014[[#This Row],[mars-20]]-Tableau1014[[#This Row],[dec-19]])/Tableau1014[[#This Row],[dec-19]]</calculatedColumnFormula>
    </tableColumn>
    <tableColumn id="36" xr3:uid="{8C23FC34-58E5-4227-B625-F805154F4FF7}" name="Evolution mensuelle en volume" dataDxfId="234">
      <calculatedColumnFormula>Tableau1014[[#This Row],[mars-20]]-Tableau1014[[#This Row],[dec-19]]</calculatedColumnFormula>
    </tableColumn>
    <tableColumn id="37" xr3:uid="{06682487-E1EE-44AC-8505-1B4791E358AF}" name="sept-20" dataDxfId="233"/>
    <tableColumn id="38" xr3:uid="{99CA6C4D-00E9-41D2-81B1-01AEB73850FB}" name="nov-20" dataDxfId="232"/>
    <tableColumn id="39" xr3:uid="{0FB4D513-FF33-468E-A412-725C6F086989}" name="sept-21" dataDxfId="231"/>
    <tableColumn id="40" xr3:uid="{3D0A3488-D563-4015-9075-8F8752917B43}" name="mars-22" dataDxfId="230"/>
    <tableColumn id="41" xr3:uid="{6B4CFFC1-B7EA-460B-A482-0B417C8BCC13}" name="avr-22" dataDxfId="229"/>
    <tableColumn id="42" xr3:uid="{EE0B1D1E-08E6-4FA4-8382-2ED30EA18CE1}" name="sept-22" dataDxfId="228"/>
    <tableColumn id="44" xr3:uid="{48082321-BC3C-4CC2-83C5-CE424AA3A8AD}" name="nov-22" dataDxfId="227"/>
    <tableColumn id="43" xr3:uid="{348978DB-B224-4955-8A25-892B995BBA5D}" name="oct-23" dataDxfId="226"/>
    <tableColumn id="45" xr3:uid="{F90ED0C5-A1D5-4815-A590-296869ECD98B}" name="avr-24" dataDxfId="225"/>
    <tableColumn id="46" xr3:uid="{34374B2F-0D9E-4FE9-A63A-99B50C40F5AF}" name="juin-24" dataDxfId="224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C849916-5C83-4033-962F-D87ECFDC62C0}" name="Tableau1115" displayName="Tableau1115" ref="A205:AT262" totalsRowShown="0" dataDxfId="222" headerRowBorderDxfId="223" tableBorderDxfId="221" dataCellStyle="Milliers">
  <autoFilter ref="A205:AT262" xr:uid="{00000000-0009-0000-0100-00000B000000}"/>
  <sortState xmlns:xlrd2="http://schemas.microsoft.com/office/spreadsheetml/2017/richdata2" ref="A206:AT262">
    <sortCondition ref="B205:B262"/>
  </sortState>
  <tableColumns count="46">
    <tableColumn id="27" xr3:uid="{E97F3E00-CCD8-4452-9FD6-2A09711A06D6}" name="Colonne1" dataDxfId="220" dataCellStyle="Milliers"/>
    <tableColumn id="1" xr3:uid="{10A201E3-81CF-4BB4-A5EA-D647E4ABA3D9}" name="INSTAGRAM" dataDxfId="219" dataCellStyle="Milliers"/>
    <tableColumn id="2" xr3:uid="{BF06A7DF-74EC-4322-966A-2BC6D8B9868F}" name="juin-17" dataDxfId="218" dataCellStyle="Milliers"/>
    <tableColumn id="3" xr3:uid="{8F7522BE-9729-43CF-812B-FFE6314EC561}" name="juil-17" dataDxfId="217" dataCellStyle="Milliers"/>
    <tableColumn id="4" xr3:uid="{70636325-BDA2-4AA2-9C45-AA3E176BC96D}" name="août-17" dataDxfId="216" dataCellStyle="Milliers"/>
    <tableColumn id="5" xr3:uid="{4B07D92B-C2D8-4CF0-BF8A-A82D73EE1519}" name="sept-17" dataDxfId="215" dataCellStyle="Milliers"/>
    <tableColumn id="6" xr3:uid="{23984BD6-6272-43F4-908C-E1A24A773C51}" name="oct-17" dataDxfId="214" dataCellStyle="Milliers"/>
    <tableColumn id="7" xr3:uid="{E6540A6E-E305-4380-A6CD-A832AA405348}" name="nov-17" dataDxfId="213" dataCellStyle="Milliers"/>
    <tableColumn id="8" xr3:uid="{486CEC2C-FFF0-481D-B713-C2791E33587E}" name="déc-17" dataDxfId="212" dataCellStyle="Milliers"/>
    <tableColumn id="9" xr3:uid="{EAE2F035-11DD-48BD-A7B8-06DFA1C113CB}" name="janv-18" dataDxfId="211" dataCellStyle="Milliers"/>
    <tableColumn id="10" xr3:uid="{A2F81E3C-5FE5-4F6D-9915-71F33007F3AB}" name="fev-18" dataDxfId="210" dataCellStyle="Milliers"/>
    <tableColumn id="11" xr3:uid="{A879F55A-68A4-4EDC-8A1C-6A24327EE181}" name="mars-18" dataDxfId="209" dataCellStyle="Milliers"/>
    <tableColumn id="12" xr3:uid="{C286DE22-0281-4BDA-A348-788E4D5DD1F8}" name="avr-18" dataDxfId="208" dataCellStyle="Milliers"/>
    <tableColumn id="15" xr3:uid="{013411AA-6484-48DD-9236-F34849DC0E49}" name="mai-18" dataDxfId="207" dataCellStyle="Milliers"/>
    <tableColumn id="16" xr3:uid="{8DC2EDF3-B9F4-4201-A3C5-2B4E7118B052}" name="juin-18" dataDxfId="206" dataCellStyle="Milliers"/>
    <tableColumn id="17" xr3:uid="{43FFF17C-D261-4FAC-94D3-A0D12625A64C}" name="juil-18" dataDxfId="205" dataCellStyle="Milliers"/>
    <tableColumn id="18" xr3:uid="{69D7E1C9-1A4F-4CC9-8B00-90396E0BFF40}" name="août-18" dataDxfId="204" dataCellStyle="Milliers"/>
    <tableColumn id="19" xr3:uid="{8CEC5361-1A6E-48ED-AFD4-7D28671787B0}" name="sept-18" dataDxfId="203" dataCellStyle="Milliers"/>
    <tableColumn id="20" xr3:uid="{276BC126-F054-4AFF-87C8-1329334D1C3A}" name="oct-18" dataDxfId="202" dataCellStyle="Milliers"/>
    <tableColumn id="21" xr3:uid="{36C7004E-41F9-479B-89D7-2ACD48DC4DFD}" name="nov-18" dataDxfId="201" dataCellStyle="Milliers"/>
    <tableColumn id="22" xr3:uid="{E3B00CBB-517D-4F8A-9D7B-6D8EF5FAB7E7}" name="dec-18" dataDxfId="200" dataCellStyle="Milliers"/>
    <tableColumn id="23" xr3:uid="{EE06AAED-A42C-41C8-A6BA-6BD74D88657E}" name="janv-19" dataDxfId="199" dataCellStyle="Milliers"/>
    <tableColumn id="24" xr3:uid="{E1B62030-6A4A-4813-866C-8FFA2406F4C3}" name="févr-19" dataDxfId="198" dataCellStyle="Milliers"/>
    <tableColumn id="25" xr3:uid="{20CC36ED-F49B-4FC0-A3BB-1E8A6DC05CBD}" name="mars-19" dataDxfId="197" dataCellStyle="Milliers"/>
    <tableColumn id="26" xr3:uid="{DE89E1EC-4AF8-44BE-99EF-5C7AE71F2AE8}" name="avr-19" dataDxfId="196" dataCellStyle="Milliers"/>
    <tableColumn id="28" xr3:uid="{09BC0BBC-2D34-4980-B6BF-CBBC3EAF3DD6}" name="mai-19" dataDxfId="195" dataCellStyle="Milliers"/>
    <tableColumn id="29" xr3:uid="{3D38D603-EF95-4B3C-9A69-A8EB3771CB6D}" name="juin-19" dataDxfId="194" dataCellStyle="Milliers"/>
    <tableColumn id="30" xr3:uid="{CE93F303-01F7-42E9-B352-A37F7DC3A769}" name="juil-19" dataDxfId="193" dataCellStyle="Milliers"/>
    <tableColumn id="31" xr3:uid="{4AA51E02-DB54-4296-8ECE-6BEE1E4CA35E}" name="août-19" dataDxfId="192" dataCellStyle="Milliers"/>
    <tableColumn id="32" xr3:uid="{14F7D35B-0F95-4AB4-BFAD-92674AE00559}" name="sept-19" dataDxfId="191" dataCellStyle="Milliers"/>
    <tableColumn id="33" xr3:uid="{25DC86DC-0826-4E7F-A938-B4356114AAF2}" name="oct-19" dataDxfId="190" dataCellStyle="Milliers"/>
    <tableColumn id="34" xr3:uid="{5592D077-1B49-47A3-9C56-A6A82A20E36D}" name="nov-19" dataDxfId="189" dataCellStyle="Milliers"/>
    <tableColumn id="35" xr3:uid="{54F429A2-07C4-45FD-91C8-6E87C964DDD1}" name="dec-19" dataDxfId="188" dataCellStyle="Milliers"/>
    <tableColumn id="13" xr3:uid="{23192091-67B0-4875-A732-7C182C052406}" name="mars-20" dataDxfId="187" dataCellStyle="Milliers"/>
    <tableColumn id="14" xr3:uid="{E22FEB83-072F-47C9-AEEA-C1D9E78E9DC7}" name="Evolution mensuelle" dataDxfId="186" dataCellStyle="Milliers">
      <calculatedColumnFormula>(Tableau1115[[#This Row],[mars-20]]-Tableau1115[[#This Row],[dec-19]])/Tableau1115[[#This Row],[dec-19]]</calculatedColumnFormula>
    </tableColumn>
    <tableColumn id="36" xr3:uid="{AB6632E9-3941-42A4-89E4-656C3B34A46C}" name="Evolution mensuelle en volume" dataDxfId="185" dataCellStyle="Milliers">
      <calculatedColumnFormula>Tableau1115[[#This Row],[dec-19]]-Tableau1115[[#This Row],[nov-19]]</calculatedColumnFormula>
    </tableColumn>
    <tableColumn id="37" xr3:uid="{979B619E-33BE-490A-A20E-4D3F357405BF}" name="sept-20" dataDxfId="184" dataCellStyle="Milliers"/>
    <tableColumn id="38" xr3:uid="{4CCEC2F2-53C3-4BCA-A039-37ABC8C82868}" name="nov-20" dataDxfId="183" dataCellStyle="Milliers"/>
    <tableColumn id="39" xr3:uid="{9A77349C-2BED-446B-95E4-C82BD053A9D5}" name="sept-21" dataDxfId="182" dataCellStyle="Milliers"/>
    <tableColumn id="40" xr3:uid="{6CD70806-0736-44F0-A99C-F0D45D0288FF}" name="mars-22" dataDxfId="181" dataCellStyle="Milliers"/>
    <tableColumn id="41" xr3:uid="{A574AA3F-6509-441A-B3B2-A7E8E8D3E88E}" name="avr-22" dataDxfId="180" dataCellStyle="Milliers"/>
    <tableColumn id="42" xr3:uid="{49ACE75E-60E9-4D7F-9BB1-EA31AE4FCA38}" name="sept-22" dataDxfId="179" dataCellStyle="Milliers"/>
    <tableColumn id="43" xr3:uid="{782CF10E-087A-4CBC-8174-7378EE3F35FC}" name="nov-22" dataDxfId="178" dataCellStyle="Milliers"/>
    <tableColumn id="44" xr3:uid="{BA65D9DA-5416-4AAB-8A29-F1B30CFEE306}" name="oct-23" dataDxfId="177" dataCellStyle="Milliers"/>
    <tableColumn id="45" xr3:uid="{9DBCE684-B1AE-47DE-B3DF-AE14BCEC5950}" name="avr-24" dataDxfId="176" dataCellStyle="Milliers"/>
    <tableColumn id="46" xr3:uid="{92DD2C37-E68C-4995-A539-B240C7289905}" name="juin-24" dataDxfId="175" dataCellStyle="Milliers"/>
  </tableColumns>
  <tableStyleInfo name="TableStyleLight1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AF68DC3-40D6-4061-8D1D-E469B528DC31}" name="Tableau1517" displayName="Tableau1517" ref="A384:AT443" totalsRowShown="0" headerRowDxfId="174" dataDxfId="173" totalsRowDxfId="172">
  <autoFilter ref="A384:AT443" xr:uid="{E61824F5-6FAA-441B-BCFD-4AA5325A7E9C}"/>
  <sortState xmlns:xlrd2="http://schemas.microsoft.com/office/spreadsheetml/2017/richdata2" ref="A385:AT443">
    <sortCondition ref="B384:B443"/>
  </sortState>
  <tableColumns count="46">
    <tableColumn id="27" xr3:uid="{A549F2A9-9D04-40F6-8C5D-CA63A5E717C6}" name="Colonne1" dataDxfId="171" totalsRowDxfId="170"/>
    <tableColumn id="1" xr3:uid="{13D704F7-DF5C-4949-A80E-2E3D28F0CD64}" name="Coureurs" dataDxfId="169" totalsRowDxfId="168"/>
    <tableColumn id="2" xr3:uid="{B5E707F4-9584-43C6-AF9E-6335B9E00451}" name="juin-17" dataDxfId="0" totalsRowDxfId="167"/>
    <tableColumn id="3" xr3:uid="{AE94B1CC-A811-47F7-A2DD-EE438C7A11F7}" name="juil-17" dataDxfId="166" totalsRowDxfId="165"/>
    <tableColumn id="4" xr3:uid="{EE06555B-E49B-417B-A484-4AC7CC280F8B}" name="août-17" dataDxfId="164" totalsRowDxfId="163"/>
    <tableColumn id="5" xr3:uid="{86E0E2EF-0B5E-46B4-877C-63A45BB7C9C8}" name="sept-17" dataDxfId="162" totalsRowDxfId="161"/>
    <tableColumn id="6" xr3:uid="{833D745F-8D9F-4D41-A78B-5329B560C06D}" name="oct-17" dataDxfId="160" totalsRowDxfId="159"/>
    <tableColumn id="7" xr3:uid="{D819EC5F-F304-4799-A632-062AC91D72AF}" name="nov-17" dataDxfId="158" totalsRowDxfId="157"/>
    <tableColumn id="8" xr3:uid="{4B4A05D9-9F15-429A-AA86-91A1B6D5E033}" name="déc-17" dataDxfId="156" totalsRowDxfId="155"/>
    <tableColumn id="9" xr3:uid="{3620E99B-D837-44D2-A500-841C8C4FFDC2}" name="janv-18" dataDxfId="154" totalsRowDxfId="153"/>
    <tableColumn id="10" xr3:uid="{C3BC3B1C-93C9-418C-99D5-3ED97BA95091}" name="fev-18" dataDxfId="152" totalsRowDxfId="151"/>
    <tableColumn id="11" xr3:uid="{9EC86719-A428-4AE5-B9FD-8A8D647D9AF1}" name="mars-18" dataDxfId="150" totalsRowDxfId="149"/>
    <tableColumn id="12" xr3:uid="{9074DA95-FCFD-48C3-A4FA-0BE62DEB5E61}" name="avr-18" dataDxfId="148" totalsRowDxfId="147"/>
    <tableColumn id="13" xr3:uid="{D6A990BA-2E0B-4ED1-A883-384E2555F99C}" name="mai-18" dataDxfId="146" totalsRowDxfId="145"/>
    <tableColumn id="14" xr3:uid="{4C600EF4-5049-427F-925C-C307244DBBF4}" name="juin-18" dataDxfId="144" totalsRowDxfId="143"/>
    <tableColumn id="15" xr3:uid="{1739FA83-2507-467F-BA42-6160A2B70850}" name="juil-18" dataDxfId="142" totalsRowDxfId="141"/>
    <tableColumn id="16" xr3:uid="{749EF3E2-87E2-4850-9E55-613D09EFE594}" name="août-18" dataDxfId="140" totalsRowDxfId="139"/>
    <tableColumn id="17" xr3:uid="{DB86BC86-8718-490A-8CE7-13E64545A06F}" name="sept-18" dataDxfId="138"/>
    <tableColumn id="20" xr3:uid="{AC606FDD-2677-4A85-8D14-C7118139954A}" name="oct-18" dataDxfId="137" dataCellStyle="Milliers"/>
    <tableColumn id="21" xr3:uid="{E98D858D-AA6C-4C62-B303-BA1D27251807}" name="nov-18" dataDxfId="136" dataCellStyle="Milliers"/>
    <tableColumn id="22" xr3:uid="{A2EF41E8-5976-4218-A183-2141547D5FBE}" name="dec-18" dataDxfId="135" dataCellStyle="Milliers"/>
    <tableColumn id="23" xr3:uid="{D80A914B-6B2E-4155-BA77-A1A4E3174FAC}" name="janv-19" dataDxfId="134" dataCellStyle="Milliers"/>
    <tableColumn id="24" xr3:uid="{50D35DF6-6286-4008-8691-65F989F32393}" name="févr-19" dataDxfId="133" dataCellStyle="Milliers"/>
    <tableColumn id="25" xr3:uid="{5736AABC-CE92-4819-8800-2B6AE60A7C07}" name="mars-19" dataDxfId="132" dataCellStyle="Milliers"/>
    <tableColumn id="26" xr3:uid="{15A01677-7ED2-4C04-9E84-6A800E078AA8}" name="avr-19" dataDxfId="131" dataCellStyle="Milliers"/>
    <tableColumn id="28" xr3:uid="{68B07E26-26E5-4E51-B687-505468E45CC1}" name="mai-19" dataDxfId="130" dataCellStyle="Milliers"/>
    <tableColumn id="29" xr3:uid="{74EF1964-9F2C-49AC-9A8F-B920D317E081}" name="juin-19" dataDxfId="129" dataCellStyle="Milliers"/>
    <tableColumn id="30" xr3:uid="{5776A5BB-6986-4D52-A4A1-B7D1EC19001B}" name="juil-19" dataDxfId="128" dataCellStyle="Milliers"/>
    <tableColumn id="31" xr3:uid="{B92CCA10-D51F-4F7D-ACFA-60707BDB2312}" name="août-19" dataDxfId="127" dataCellStyle="Milliers"/>
    <tableColumn id="32" xr3:uid="{D1B14EE7-66BA-4A0D-914F-55956E96D4A5}" name="sept-19" dataDxfId="126" dataCellStyle="Milliers"/>
    <tableColumn id="33" xr3:uid="{75A79D3A-5FED-474B-AEEC-71DD9080D5CF}" name="oct-19" dataDxfId="125" dataCellStyle="Milliers"/>
    <tableColumn id="34" xr3:uid="{8D9247FD-AEB1-4C3E-A445-C0FF757A323D}" name="nov-19" dataDxfId="124" dataCellStyle="Milliers"/>
    <tableColumn id="35" xr3:uid="{1327FDEB-6D2F-455C-8FF0-BEA63B789E1C}" name="dec-19" dataDxfId="123" dataCellStyle="Milliers"/>
    <tableColumn id="18" xr3:uid="{0511C4F4-2329-417A-BCAE-F14B0A11E300}" name="mars-20" dataDxfId="122" dataCellStyle="Pourcentage"/>
    <tableColumn id="19" xr3:uid="{C3C87096-FB8C-4D13-9873-11A0F78BA9B1}" name="Evolution mensuelle" dataDxfId="121" totalsRowDxfId="120" dataCellStyle="Pourcentage"/>
    <tableColumn id="36" xr3:uid="{D13F1070-02A5-48AC-836A-BD1B9157BBAC}" name="Evolution mensuelle en volume" dataDxfId="119" totalsRowDxfId="118"/>
    <tableColumn id="37" xr3:uid="{3BF3DE49-9A7C-4654-B033-910B5DEC8580}" name="sept-20" dataDxfId="117" totalsRowDxfId="116"/>
    <tableColumn id="38" xr3:uid="{AEFBA276-2AA0-4B7C-A250-747D05D58AE6}" name="nov-20" dataDxfId="115"/>
    <tableColumn id="39" xr3:uid="{F666AF5E-61DA-4142-9AF9-E38EA2B41979}" name="sept-21" dataDxfId="114"/>
    <tableColumn id="40" xr3:uid="{B308E82E-90D4-4BB4-8036-31BFAEA61D96}" name="mars-22" dataDxfId="113"/>
    <tableColumn id="41" xr3:uid="{64C99528-08C6-4BAA-AEE4-823E410B7125}" name="avr-22" dataDxfId="112" totalsRowDxfId="111"/>
    <tableColumn id="42" xr3:uid="{D3EE5D1F-BFE8-4240-9890-B53F8D6123D3}" name="sept-22" dataDxfId="110" totalsRowDxfId="109"/>
    <tableColumn id="43" xr3:uid="{5E429786-D532-4602-8B1C-1F56C81C3AAB}" name="nov-22" dataDxfId="108" totalsRowDxfId="107"/>
    <tableColumn id="44" xr3:uid="{9F7748CB-2DB4-4380-BB5A-ECB1A2B8064B}" name="oct-23" dataDxfId="106"/>
    <tableColumn id="45" xr3:uid="{D6CCE006-0D35-47FA-9B54-86D71F3DE577}" name="avr-24" dataDxfId="1" totalsRowDxfId="105"/>
    <tableColumn id="46" xr3:uid="{7BBB4672-1AA4-4175-9AA0-1245CDD70F56}" name="juin-24" dataDxfId="104" totalsRowDxfId="103">
      <calculatedColumnFormula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calculatedColumnFormula>
    </tableColumn>
  </tableColumns>
  <tableStyleInfo name="TableStyleMedium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08D896C-CD4D-4AFA-8E37-375F4AA85C82}" name="Tableau11" displayName="Tableau11" ref="A268:AX382" headerRowDxfId="102" dataDxfId="101" dataCellStyle="Milliers">
  <autoFilter ref="A268:AX382" xr:uid="{D08D896C-CD4D-4AFA-8E37-375F4AA85C82}"/>
  <sortState xmlns:xlrd2="http://schemas.microsoft.com/office/spreadsheetml/2017/richdata2" ref="A269:AX382">
    <sortCondition ref="B268:B382"/>
  </sortState>
  <tableColumns count="50">
    <tableColumn id="1" xr3:uid="{63BBDAB1-FA96-4982-8A8E-87A3726AD3EF}" name="Colonne1" totalsRowLabel="Total" dataDxfId="100" totalsRowDxfId="99" dataCellStyle="Milliers"/>
    <tableColumn id="2" xr3:uid="{FD0AF0B9-D84C-4A99-BC8B-5762C9FEC772}" name="TIKTOK" dataDxfId="98" totalsRowDxfId="97" dataCellStyle="Milliers"/>
    <tableColumn id="3" xr3:uid="{53959946-6F6C-43A2-A559-D06F150E5E3A}" name="juin-17" dataDxfId="96" totalsRowDxfId="95" dataCellStyle="Milliers"/>
    <tableColumn id="4" xr3:uid="{6FE54051-3CE5-4333-91D1-595B8031C5D3}" name="juil-17" dataDxfId="94" totalsRowDxfId="93" dataCellStyle="Milliers"/>
    <tableColumn id="5" xr3:uid="{6430C50F-0E14-4DEB-886E-2091880AD48A}" name="août-17" dataDxfId="92" totalsRowDxfId="91" dataCellStyle="Milliers"/>
    <tableColumn id="6" xr3:uid="{52AA5D48-8C05-4E39-86FE-3BFB3FB3C30D}" name="sept-17" dataDxfId="90" totalsRowDxfId="89" dataCellStyle="Milliers"/>
    <tableColumn id="7" xr3:uid="{268F178F-5DC9-41A9-BDF7-8044364A3E23}" name="oct-17" dataDxfId="88" totalsRowDxfId="87" dataCellStyle="Milliers"/>
    <tableColumn id="8" xr3:uid="{D76FC1E4-B247-43DA-BD16-DF6C886195C8}" name="nov-17" dataDxfId="86" totalsRowDxfId="85" dataCellStyle="Milliers"/>
    <tableColumn id="9" xr3:uid="{702A88C3-3E0A-4B3C-A882-BC5560D509B5}" name="déc-17" dataDxfId="84" totalsRowDxfId="83" dataCellStyle="Milliers"/>
    <tableColumn id="10" xr3:uid="{8D1B6107-9CD8-4B3B-959A-AE9B5225EC51}" name="janv-18" dataDxfId="82" totalsRowDxfId="81" dataCellStyle="Milliers"/>
    <tableColumn id="11" xr3:uid="{B063BCA6-6E83-486B-BF34-F43FD8F1324D}" name="fev-18" dataDxfId="80" totalsRowDxfId="79" dataCellStyle="Milliers"/>
    <tableColumn id="12" xr3:uid="{DCC86BC1-036A-4025-8D30-DEEFC228A4FB}" name="mars-18" dataDxfId="78" totalsRowDxfId="77" dataCellStyle="Milliers"/>
    <tableColumn id="13" xr3:uid="{53929FE3-8EAA-4F33-83B8-8A82F3BC1724}" name="avr-18" dataDxfId="76" totalsRowDxfId="75" dataCellStyle="Milliers"/>
    <tableColumn id="14" xr3:uid="{7FB73328-D53C-4C1E-AE3C-86BF7828DF01}" name="mai-18" dataDxfId="74" totalsRowDxfId="73" dataCellStyle="Milliers"/>
    <tableColumn id="15" xr3:uid="{D2FA5CDB-912C-4963-9ED6-7F7AFA978B6E}" name="juin-18" dataDxfId="72" totalsRowDxfId="71" dataCellStyle="Milliers"/>
    <tableColumn id="16" xr3:uid="{6C38FED2-488F-40EC-8F15-C68774A2140C}" name="juil-18" dataDxfId="70" totalsRowDxfId="69" dataCellStyle="Milliers"/>
    <tableColumn id="17" xr3:uid="{62D33158-9641-4125-9546-2091F4314464}" name="août-18" dataDxfId="68" totalsRowDxfId="67" dataCellStyle="Milliers"/>
    <tableColumn id="18" xr3:uid="{F1FE85E0-E657-4230-82CF-4CE1F3B1B4B0}" name="sept-18" dataDxfId="66" totalsRowDxfId="65" dataCellStyle="Milliers"/>
    <tableColumn id="19" xr3:uid="{274B232E-B2FC-4093-A412-AE22E701784A}" name="oct-18" dataDxfId="64" totalsRowDxfId="63" dataCellStyle="Milliers"/>
    <tableColumn id="20" xr3:uid="{21B06658-6CDC-46B0-B3C9-FC77425D25A9}" name="nov-18" dataDxfId="62" totalsRowDxfId="61" dataCellStyle="Milliers"/>
    <tableColumn id="21" xr3:uid="{7C919302-69D3-4512-BDE3-E468E18243A3}" name="dec-18" dataDxfId="60" totalsRowDxfId="59" dataCellStyle="Milliers"/>
    <tableColumn id="22" xr3:uid="{973BBFCC-8399-4A39-B86F-527267C4755B}" name="janv-19" dataDxfId="58" totalsRowDxfId="57" dataCellStyle="Milliers"/>
    <tableColumn id="23" xr3:uid="{CC420731-9970-4D69-B1C5-A912B30F9E3F}" name="févr-19" dataDxfId="56" totalsRowDxfId="55" dataCellStyle="Milliers"/>
    <tableColumn id="24" xr3:uid="{3961258B-0996-4F2F-829F-4A38984FE7D5}" name="mars-19" dataDxfId="54" totalsRowDxfId="53" dataCellStyle="Milliers"/>
    <tableColumn id="25" xr3:uid="{E4031B32-EA2D-4945-946E-1EC40E929E8F}" name="avr-19" dataDxfId="52" totalsRowDxfId="51" dataCellStyle="Milliers"/>
    <tableColumn id="26" xr3:uid="{3F1BC983-7830-4FDC-9764-938F5DB572A1}" name="mai-19" dataDxfId="50" totalsRowDxfId="49" dataCellStyle="Milliers"/>
    <tableColumn id="27" xr3:uid="{D6092D63-53EF-42E5-8512-4B844ACE5411}" name="juin-19" dataDxfId="48" totalsRowDxfId="47" dataCellStyle="Milliers"/>
    <tableColumn id="28" xr3:uid="{0D3A3A4F-D670-4069-92EF-22EAB53F2DD5}" name="juil-19" dataDxfId="46" totalsRowDxfId="45" dataCellStyle="Milliers"/>
    <tableColumn id="29" xr3:uid="{95DF4C3F-BA07-4004-81F3-8C7AFCF02D55}" name="août-19" dataDxfId="44" totalsRowDxfId="43" dataCellStyle="Milliers"/>
    <tableColumn id="30" xr3:uid="{E8F1DBE6-9266-4364-A95C-2C1B8BDB9FC6}" name="sept-19" dataDxfId="42" totalsRowDxfId="41" dataCellStyle="Milliers"/>
    <tableColumn id="31" xr3:uid="{34C94B98-C002-4C16-9C25-084D495EDF7F}" name="oct-19" dataDxfId="40" totalsRowDxfId="39" dataCellStyle="Milliers"/>
    <tableColumn id="32" xr3:uid="{F1877FB1-6003-4ADC-B11B-B841CA486564}" name="nov-19" dataDxfId="38" totalsRowDxfId="37" dataCellStyle="Milliers"/>
    <tableColumn id="33" xr3:uid="{ED594851-B5C8-47A0-86F0-D4C4E70E5704}" name="dec-19" dataDxfId="36" totalsRowDxfId="35" dataCellStyle="Milliers"/>
    <tableColumn id="34" xr3:uid="{E1427448-B4AA-4B96-A327-52919A784D42}" name="mars-20" dataDxfId="34" totalsRowDxfId="33" dataCellStyle="Milliers"/>
    <tableColumn id="35" xr3:uid="{9D1ECD3E-A860-42B1-8E59-CEC570E27651}" name="Evolution mensuelle" dataDxfId="32" totalsRowDxfId="31" dataCellStyle="Milliers"/>
    <tableColumn id="36" xr3:uid="{C85A0989-9B2A-4451-82A2-496CEB2E4DBF}" name="Evolution mensuelle en volume" dataDxfId="30" totalsRowDxfId="29" dataCellStyle="Milliers"/>
    <tableColumn id="37" xr3:uid="{4D2AC6E9-8BF4-4B6E-88E0-BFABC421CF39}" name="sept-20" dataDxfId="28" totalsRowDxfId="27" dataCellStyle="Milliers"/>
    <tableColumn id="38" xr3:uid="{D7BEFF06-1902-4591-B2E6-AEE7CD8DFD85}" name="nov-20" dataDxfId="26" totalsRowDxfId="25" dataCellStyle="Milliers"/>
    <tableColumn id="39" xr3:uid="{89F33E8A-F4BB-4D62-A263-608F3173F512}" name="sept-21" dataDxfId="24" totalsRowDxfId="23" dataCellStyle="Milliers"/>
    <tableColumn id="40" xr3:uid="{246B3B78-7DB1-4746-AA44-4FEFE56C1628}" name="mars-22" dataDxfId="22" totalsRowDxfId="21" dataCellStyle="Milliers"/>
    <tableColumn id="41" xr3:uid="{9F54B15C-5016-4BFA-809A-BA6725F0A362}" name="avr-22" dataDxfId="20" totalsRowDxfId="19" dataCellStyle="Milliers"/>
    <tableColumn id="42" xr3:uid="{337AD884-FAD7-4C1E-A84B-61604271B617}" name="sept-22" dataDxfId="18" totalsRowDxfId="17" dataCellStyle="Milliers"/>
    <tableColumn id="45" xr3:uid="{BAA4EB99-8CAD-49B8-9035-38E9A6A8C663}" name="nov-22" dataDxfId="16" totalsRowDxfId="15" dataCellStyle="Milliers"/>
    <tableColumn id="46" xr3:uid="{CB10E4D8-5D45-49C7-B98E-CB10E9BCF6B8}" name="oct-23" dataDxfId="14" totalsRowDxfId="13" dataCellStyle="Milliers"/>
    <tableColumn id="48" xr3:uid="{2D4D04C0-69A1-4077-A3FA-C74FA6D3322E}" name="avr-24" dataDxfId="12" totalsRowDxfId="11" dataCellStyle="Milliers"/>
    <tableColumn id="49" xr3:uid="{AC7D9935-5FC3-4000-B30B-73131FE72BB9}" name="juin-24" dataDxfId="10" totalsRowDxfId="9" dataCellStyle="Milliers"/>
    <tableColumn id="50" xr3:uid="{179A6A54-B48D-40C5-A081-911F57B22611}" name="juin-25" dataDxfId="8" totalsRowDxfId="7" dataCellStyle="Milliers"/>
    <tableColumn id="43" xr3:uid="{FB978B0A-F066-4384-93C9-1BDB6081A48E}" name="Evol. Mensuelle %" dataDxfId="6" dataCellStyle="Milliers">
      <calculatedColumnFormula>(Tableau11[[#This Row],[nov-22]]-Tableau11[[#This Row],[sept-22]])/Tableau11[[#This Row],[sept-22]]</calculatedColumnFormula>
    </tableColumn>
    <tableColumn id="44" xr3:uid="{EBE52D97-CAC8-4F32-9E19-9A9051BCF8E3}" name="Evol. Mensuelle Vol" totalsRowFunction="count" dataDxfId="5" totalsRowDxfId="4" dataCellStyle="Milliers"/>
    <tableColumn id="47" xr3:uid="{363EED53-8245-432E-8E69-6DCEEC65915F}" name="Colonne2" dataDxfId="3" totalsRowDxfId="2" dataCellStyle="Millier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ter.com/TourofGuangxi" TargetMode="External"/><Relationship Id="rId21" Type="http://schemas.openxmlformats.org/officeDocument/2006/relationships/hyperlink" Target="https://www.facebook.com/rondevanvlaanderen/" TargetMode="External"/><Relationship Id="rId42" Type="http://schemas.openxmlformats.org/officeDocument/2006/relationships/hyperlink" Target="https://twitter.com/TourofUtah?lang=fr" TargetMode="External"/><Relationship Id="rId63" Type="http://schemas.openxmlformats.org/officeDocument/2006/relationships/hyperlink" Target="https://www.instagram.com/amstelgoldrace/?hl=fr" TargetMode="External"/><Relationship Id="rId84" Type="http://schemas.openxmlformats.org/officeDocument/2006/relationships/hyperlink" Target="https://twitter.com/ParisTours" TargetMode="External"/><Relationship Id="rId138" Type="http://schemas.openxmlformats.org/officeDocument/2006/relationships/hyperlink" Target="https://www.instagram.com/kuurnebrusselkuurne/?hl=fr" TargetMode="External"/><Relationship Id="rId159" Type="http://schemas.openxmlformats.org/officeDocument/2006/relationships/comments" Target="../comments1.xml"/><Relationship Id="rId107" Type="http://schemas.openxmlformats.org/officeDocument/2006/relationships/hyperlink" Target="https://twitter.com/DwarsdrVlaander" TargetMode="External"/><Relationship Id="rId11" Type="http://schemas.openxmlformats.org/officeDocument/2006/relationships/hyperlink" Target="https://www.facebook.com/ArcticRaceofNorway/" TargetMode="External"/><Relationship Id="rId32" Type="http://schemas.openxmlformats.org/officeDocument/2006/relationships/hyperlink" Target="https://twitter.com/ParisNice?lang=fr" TargetMode="External"/><Relationship Id="rId53" Type="http://schemas.openxmlformats.org/officeDocument/2006/relationships/hyperlink" Target="https://www.instagram.com/amgentoc/?hl=fr" TargetMode="External"/><Relationship Id="rId74" Type="http://schemas.openxmlformats.org/officeDocument/2006/relationships/hyperlink" Target="https://www.instagram.com/lavuelta/?hl=fr" TargetMode="External"/><Relationship Id="rId128" Type="http://schemas.openxmlformats.org/officeDocument/2006/relationships/hyperlink" Target="https://www.facebook.com/tourdewalllonie" TargetMode="External"/><Relationship Id="rId149" Type="http://schemas.openxmlformats.org/officeDocument/2006/relationships/hyperlink" Target="https://mobile.twitter.com/tourprovenceoff" TargetMode="External"/><Relationship Id="rId5" Type="http://schemas.openxmlformats.org/officeDocument/2006/relationships/hyperlink" Target="https://www.facebook.com/tourdownunder/?ref=br_rs" TargetMode="External"/><Relationship Id="rId95" Type="http://schemas.openxmlformats.org/officeDocument/2006/relationships/hyperlink" Target="https://www.facebook.com/tourderomandie/" TargetMode="External"/><Relationship Id="rId22" Type="http://schemas.openxmlformats.org/officeDocument/2006/relationships/hyperlink" Target="https://www.facebook.com/AmstelGoldRace/" TargetMode="External"/><Relationship Id="rId43" Type="http://schemas.openxmlformats.org/officeDocument/2006/relationships/hyperlink" Target="https://twitter.com/flechewallonne?lang=fr" TargetMode="External"/><Relationship Id="rId64" Type="http://schemas.openxmlformats.org/officeDocument/2006/relationships/hyperlink" Target="https://www.instagram.com/arcticraceofn/?hl=fr" TargetMode="External"/><Relationship Id="rId118" Type="http://schemas.openxmlformats.org/officeDocument/2006/relationships/hyperlink" Target="https://www.facebook.com/il.lombardia" TargetMode="External"/><Relationship Id="rId139" Type="http://schemas.openxmlformats.org/officeDocument/2006/relationships/hyperlink" Target="https://www.instagram.com/gentwevelgemofficial/" TargetMode="External"/><Relationship Id="rId80" Type="http://schemas.openxmlformats.org/officeDocument/2006/relationships/hyperlink" Target="https://www.facebook.com/paristours/?fb_dtsg_ag=Adzhs8sObFMXuBm7y1DkRk9FAgvCofxsxIKnHf9szoUQiQ%3AAdzj0Q7Lf2hcPmh6qFzXLe1CndsDh0aWIopoAFaUbEnkEg" TargetMode="External"/><Relationship Id="rId85" Type="http://schemas.openxmlformats.org/officeDocument/2006/relationships/hyperlink" Target="https://www.facebook.com/DeutschlandDeineTour/" TargetMode="External"/><Relationship Id="rId150" Type="http://schemas.openxmlformats.org/officeDocument/2006/relationships/printerSettings" Target="../printerSettings/printerSettings1.bin"/><Relationship Id="rId155" Type="http://schemas.openxmlformats.org/officeDocument/2006/relationships/table" Target="../tables/table3.xml"/><Relationship Id="rId12" Type="http://schemas.openxmlformats.org/officeDocument/2006/relationships/hyperlink" Target="https://www.facebook.com/tourofutah/" TargetMode="External"/><Relationship Id="rId17" Type="http://schemas.openxmlformats.org/officeDocument/2006/relationships/hyperlink" Target="https://www.facebook.com/TouroftheAlps/" TargetMode="External"/><Relationship Id="rId33" Type="http://schemas.openxmlformats.org/officeDocument/2006/relationships/hyperlink" Target="https://twitter.com/RideLondon?lang=fr" TargetMode="External"/><Relationship Id="rId38" Type="http://schemas.openxmlformats.org/officeDocument/2006/relationships/hyperlink" Target="https://twitter.com/USAProChallenge?lang=fr" TargetMode="External"/><Relationship Id="rId59" Type="http://schemas.openxmlformats.org/officeDocument/2006/relationships/hyperlink" Target="https://www.instagram.com/tourdepologne/?hl=fr" TargetMode="External"/><Relationship Id="rId103" Type="http://schemas.openxmlformats.org/officeDocument/2006/relationships/hyperlink" Target="https://twitter.com/Tourof_TheAlps" TargetMode="External"/><Relationship Id="rId108" Type="http://schemas.openxmlformats.org/officeDocument/2006/relationships/hyperlink" Target="https://twitter.com/ehitzulia" TargetMode="External"/><Relationship Id="rId124" Type="http://schemas.openxmlformats.org/officeDocument/2006/relationships/hyperlink" Target="https://www.facebook.com/thesauditour" TargetMode="External"/><Relationship Id="rId129" Type="http://schemas.openxmlformats.org/officeDocument/2006/relationships/hyperlink" Target="https://www.facebook.com/letourdelaprovence" TargetMode="External"/><Relationship Id="rId54" Type="http://schemas.openxmlformats.org/officeDocument/2006/relationships/hyperlink" Target="https://www.instagram.com/parisroubaixcourse/?hl=fr" TargetMode="External"/><Relationship Id="rId70" Type="http://schemas.openxmlformats.org/officeDocument/2006/relationships/hyperlink" Target="https://www.instagram.com/giroditalia/?hl=fr" TargetMode="External"/><Relationship Id="rId75" Type="http://schemas.openxmlformats.org/officeDocument/2006/relationships/hyperlink" Target="https://www.facebook.com/FlecheWallonne/" TargetMode="External"/><Relationship Id="rId91" Type="http://schemas.openxmlformats.org/officeDocument/2006/relationships/hyperlink" Target="https://twitter.com/TourColombiaUCI" TargetMode="External"/><Relationship Id="rId96" Type="http://schemas.openxmlformats.org/officeDocument/2006/relationships/hyperlink" Target="https://www.instagram.com/tourderomandie/" TargetMode="External"/><Relationship Id="rId140" Type="http://schemas.openxmlformats.org/officeDocument/2006/relationships/hyperlink" Target="https://www.instagram.com/routeoccitanie/?hl=fr" TargetMode="External"/><Relationship Id="rId145" Type="http://schemas.openxmlformats.org/officeDocument/2006/relationships/hyperlink" Target="https://www.tiktok.com/@tourdownunder" TargetMode="External"/><Relationship Id="rId1" Type="http://schemas.openxmlformats.org/officeDocument/2006/relationships/hyperlink" Target="https://www.facebook.com/letour/" TargetMode="External"/><Relationship Id="rId6" Type="http://schemas.openxmlformats.org/officeDocument/2006/relationships/hyperlink" Target="https://www.facebook.com/dubaitourofficial/" TargetMode="External"/><Relationship Id="rId23" Type="http://schemas.openxmlformats.org/officeDocument/2006/relationships/hyperlink" Target="https://www.facebook.com/tourdesuisse/" TargetMode="External"/><Relationship Id="rId28" Type="http://schemas.openxmlformats.org/officeDocument/2006/relationships/hyperlink" Target="https://twitter.com/letouryorkshire?lang=fr" TargetMode="External"/><Relationship Id="rId49" Type="http://schemas.openxmlformats.org/officeDocument/2006/relationships/hyperlink" Target="https://twitter.com/tourofoman?lang=fr" TargetMode="External"/><Relationship Id="rId114" Type="http://schemas.openxmlformats.org/officeDocument/2006/relationships/hyperlink" Target="https://twitter.com/vueltasturias" TargetMode="External"/><Relationship Id="rId119" Type="http://schemas.openxmlformats.org/officeDocument/2006/relationships/hyperlink" Target="https://www.tiktok.com/@letourdefrance" TargetMode="External"/><Relationship Id="rId44" Type="http://schemas.openxmlformats.org/officeDocument/2006/relationships/hyperlink" Target="https://twitter.com/Tour_de_Pologne?lang=fr" TargetMode="External"/><Relationship Id="rId60" Type="http://schemas.openxmlformats.org/officeDocument/2006/relationships/hyperlink" Target="https://www.instagram.com/criteriumdudauphine/?hl=fr" TargetMode="External"/><Relationship Id="rId65" Type="http://schemas.openxmlformats.org/officeDocument/2006/relationships/hyperlink" Target="https://www.instagram.com/tirreno_adriatico/?hl=fr" TargetMode="External"/><Relationship Id="rId81" Type="http://schemas.openxmlformats.org/officeDocument/2006/relationships/hyperlink" Target="https://www.facebook.com/CriteriumInternational/?fb_dtsg_ag=Adzhs8sObFMXuBm7y1DkRk9FAgvCofxsxIKnHf9szoUQiQ%3AAdzj0Q7Lf2hcPmh6qFzXLe1CndsDh0aWIopoAFaUbEnkEg" TargetMode="External"/><Relationship Id="rId86" Type="http://schemas.openxmlformats.org/officeDocument/2006/relationships/hyperlink" Target="https://twitter.com/DeineTour" TargetMode="External"/><Relationship Id="rId130" Type="http://schemas.openxmlformats.org/officeDocument/2006/relationships/hyperlink" Target="https://www.facebook.com/kuurnebrusselkuurne" TargetMode="External"/><Relationship Id="rId135" Type="http://schemas.openxmlformats.org/officeDocument/2006/relationships/hyperlink" Target="https://www.instagram.com/paristourscourse/?hl=fr" TargetMode="External"/><Relationship Id="rId151" Type="http://schemas.openxmlformats.org/officeDocument/2006/relationships/drawing" Target="../drawings/drawing1.xml"/><Relationship Id="rId156" Type="http://schemas.openxmlformats.org/officeDocument/2006/relationships/table" Target="../tables/table4.xml"/><Relationship Id="rId13" Type="http://schemas.openxmlformats.org/officeDocument/2006/relationships/hyperlink" Target="https://www.facebook.com/parisnicecourse/?ref=br_rs" TargetMode="External"/><Relationship Id="rId18" Type="http://schemas.openxmlformats.org/officeDocument/2006/relationships/hyperlink" Target="https://www.facebook.com/liegebastogneliege/" TargetMode="External"/><Relationship Id="rId39" Type="http://schemas.openxmlformats.org/officeDocument/2006/relationships/hyperlink" Target="https://twitter.com/VoltaCatalunya?lang=fr" TargetMode="External"/><Relationship Id="rId109" Type="http://schemas.openxmlformats.org/officeDocument/2006/relationships/hyperlink" Target="https://twitter.com/GPCQM" TargetMode="External"/><Relationship Id="rId34" Type="http://schemas.openxmlformats.org/officeDocument/2006/relationships/hyperlink" Target="https://twitter.com/dauphine?lang=fr" TargetMode="External"/><Relationship Id="rId50" Type="http://schemas.openxmlformats.org/officeDocument/2006/relationships/hyperlink" Target="https://twitter.com/VCANDALUCIA?lang=fr" TargetMode="External"/><Relationship Id="rId55" Type="http://schemas.openxmlformats.org/officeDocument/2006/relationships/hyperlink" Target="https://www.instagram.com/tourdownunder/?hl=fr" TargetMode="External"/><Relationship Id="rId76" Type="http://schemas.openxmlformats.org/officeDocument/2006/relationships/hyperlink" Target="https://www.instagram.com/tourdesuisse_official/?hl=fr" TargetMode="External"/><Relationship Id="rId97" Type="http://schemas.openxmlformats.org/officeDocument/2006/relationships/hyperlink" Target="https://twitter.com/HammerSeries" TargetMode="External"/><Relationship Id="rId104" Type="http://schemas.openxmlformats.org/officeDocument/2006/relationships/hyperlink" Target="https://twitter.com/Il_Lombardia" TargetMode="External"/><Relationship Id="rId120" Type="http://schemas.openxmlformats.org/officeDocument/2006/relationships/hyperlink" Target="https://www.tiktok.com/@giroditalia" TargetMode="External"/><Relationship Id="rId125" Type="http://schemas.openxmlformats.org/officeDocument/2006/relationships/hyperlink" Target="https://twitter.com/thesauditour" TargetMode="External"/><Relationship Id="rId141" Type="http://schemas.openxmlformats.org/officeDocument/2006/relationships/hyperlink" Target="https://twitter.com/Etoile_Besseges" TargetMode="External"/><Relationship Id="rId146" Type="http://schemas.openxmlformats.org/officeDocument/2006/relationships/hyperlink" Target="https://www.tiktok.com/@strade_bianche" TargetMode="External"/><Relationship Id="rId7" Type="http://schemas.openxmlformats.org/officeDocument/2006/relationships/hyperlink" Target="https://www.facebook.com/parisroubaix/" TargetMode="External"/><Relationship Id="rId71" Type="http://schemas.openxmlformats.org/officeDocument/2006/relationships/hyperlink" Target="https://twitter.com/AmgenTOC?lang=fr" TargetMode="External"/><Relationship Id="rId92" Type="http://schemas.openxmlformats.org/officeDocument/2006/relationships/hyperlink" Target="https://www.instagram.com/tourcolombia2.1/" TargetMode="External"/><Relationship Id="rId2" Type="http://schemas.openxmlformats.org/officeDocument/2006/relationships/hyperlink" Target="https://www.facebook.com/giroditalia/" TargetMode="External"/><Relationship Id="rId29" Type="http://schemas.openxmlformats.org/officeDocument/2006/relationships/hyperlink" Target="https://twitter.com/TourofBritain?lang=fr" TargetMode="External"/><Relationship Id="rId24" Type="http://schemas.openxmlformats.org/officeDocument/2006/relationships/hyperlink" Target="https://www.facebook.com/hammerseries/?ref=br_rs" TargetMode="External"/><Relationship Id="rId40" Type="http://schemas.openxmlformats.org/officeDocument/2006/relationships/hyperlink" Target="https://twitter.com/LiegeBastogneL?lang=fr" TargetMode="External"/><Relationship Id="rId45" Type="http://schemas.openxmlformats.org/officeDocument/2006/relationships/hyperlink" Target="https://twitter.com/TourDeRomandie?lang=fr" TargetMode="External"/><Relationship Id="rId66" Type="http://schemas.openxmlformats.org/officeDocument/2006/relationships/hyperlink" Target="https://www.instagram.com/thetourofbritain/?hl=fr" TargetMode="External"/><Relationship Id="rId87" Type="http://schemas.openxmlformats.org/officeDocument/2006/relationships/hyperlink" Target="https://www.instagram.com/deutschlanddeinetour/?hl=fr" TargetMode="External"/><Relationship Id="rId110" Type="http://schemas.openxmlformats.org/officeDocument/2006/relationships/hyperlink" Target="https://twitter.com/uae_tour" TargetMode="External"/><Relationship Id="rId115" Type="http://schemas.openxmlformats.org/officeDocument/2006/relationships/hyperlink" Target="https://twitter.com/bayernrundfahrt" TargetMode="External"/><Relationship Id="rId131" Type="http://schemas.openxmlformats.org/officeDocument/2006/relationships/hyperlink" Target="https://www.facebook.com/gentwevelgem/" TargetMode="External"/><Relationship Id="rId136" Type="http://schemas.openxmlformats.org/officeDocument/2006/relationships/hyperlink" Target="https://www.instagram.com/tourdewallonie/?hl=fr" TargetMode="External"/><Relationship Id="rId157" Type="http://schemas.openxmlformats.org/officeDocument/2006/relationships/table" Target="../tables/table5.xml"/><Relationship Id="rId61" Type="http://schemas.openxmlformats.org/officeDocument/2006/relationships/hyperlink" Target="https://www.instagram.com/strade_bianche/?hl=fr" TargetMode="External"/><Relationship Id="rId82" Type="http://schemas.openxmlformats.org/officeDocument/2006/relationships/hyperlink" Target="https://twitter.com/ArcticRaceofN?lang=fr" TargetMode="External"/><Relationship Id="rId152" Type="http://schemas.openxmlformats.org/officeDocument/2006/relationships/vmlDrawing" Target="../drawings/vmlDrawing1.vml"/><Relationship Id="rId19" Type="http://schemas.openxmlformats.org/officeDocument/2006/relationships/hyperlink" Target="https://www.facebook.com/RideLondon/?hc_ref=ARTL7F4-BmM-e4mpoCVwlHj10_Uy2Qk4GYjKiesVQCS0OZyZh7rwZYMijWCRZNkJUvY&amp;fref=nf" TargetMode="External"/><Relationship Id="rId14" Type="http://schemas.openxmlformats.org/officeDocument/2006/relationships/hyperlink" Target="https://www.facebook.com/tirrenoadriatico/" TargetMode="External"/><Relationship Id="rId30" Type="http://schemas.openxmlformats.org/officeDocument/2006/relationships/hyperlink" Target="https://twitter.com/tourdownunder?lang=fr" TargetMode="External"/><Relationship Id="rId35" Type="http://schemas.openxmlformats.org/officeDocument/2006/relationships/hyperlink" Target="https://twitter.com/TirrenAdriatico?lang=fr" TargetMode="External"/><Relationship Id="rId56" Type="http://schemas.openxmlformats.org/officeDocument/2006/relationships/hyperlink" Target="https://www.instagram.com/letouryorkshire/?hl=fr" TargetMode="External"/><Relationship Id="rId77" Type="http://schemas.openxmlformats.org/officeDocument/2006/relationships/hyperlink" Target="https://www.instagram.com/hammerseries/?hl=fr" TargetMode="External"/><Relationship Id="rId100" Type="http://schemas.openxmlformats.org/officeDocument/2006/relationships/hyperlink" Target="https://www.facebook.com/ToBcycling/" TargetMode="External"/><Relationship Id="rId105" Type="http://schemas.openxmlformats.org/officeDocument/2006/relationships/hyperlink" Target="https://twitter.com/E3SaxoClassic" TargetMode="External"/><Relationship Id="rId126" Type="http://schemas.openxmlformats.org/officeDocument/2006/relationships/hyperlink" Target="https://www.facebook.com/tourofqatarofficial/?fb_dtsg_ag=Adzhs8sObFMXuBm7y1DkRk9FAgvCofxsxIKnHf9szoUQiQ%3AAdzj0Q7Lf2hcPmh6qFzXLe1CndsDh0aWIopoAFaUbEnkEg" TargetMode="External"/><Relationship Id="rId147" Type="http://schemas.openxmlformats.org/officeDocument/2006/relationships/hyperlink" Target="https://www.instagram.com/etoile_de_besseges/" TargetMode="External"/><Relationship Id="rId8" Type="http://schemas.openxmlformats.org/officeDocument/2006/relationships/hyperlink" Target="https://www.facebook.com/LeTourYorkshire/" TargetMode="External"/><Relationship Id="rId51" Type="http://schemas.openxmlformats.org/officeDocument/2006/relationships/hyperlink" Target="https://www.instagram.com/letourdefrance/?hl=fr" TargetMode="External"/><Relationship Id="rId72" Type="http://schemas.openxmlformats.org/officeDocument/2006/relationships/hyperlink" Target="https://www.facebook.com/lavuelta/?hc_ref=ARRkqM1AhgNlUbRh9TZ87_wC3R574cjCInRIPNd0mMBnkg7zzB0-ihABKqDNF07sJ9g&amp;fref=nf" TargetMode="External"/><Relationship Id="rId93" Type="http://schemas.openxmlformats.org/officeDocument/2006/relationships/hyperlink" Target="https://www.instagram.com/milanosanremo_official/" TargetMode="External"/><Relationship Id="rId98" Type="http://schemas.openxmlformats.org/officeDocument/2006/relationships/hyperlink" Target="https://twitter.com/amstelgoldrace?lang=fr" TargetMode="External"/><Relationship Id="rId121" Type="http://schemas.openxmlformats.org/officeDocument/2006/relationships/hyperlink" Target="https://www.tiktok.com/@lavuelta" TargetMode="External"/><Relationship Id="rId142" Type="http://schemas.openxmlformats.org/officeDocument/2006/relationships/hyperlink" Target="https://twitter.com/tourdewallonie" TargetMode="External"/><Relationship Id="rId3" Type="http://schemas.openxmlformats.org/officeDocument/2006/relationships/hyperlink" Target="https://www.facebook.com/UnionCyclisteInternationale/" TargetMode="External"/><Relationship Id="rId25" Type="http://schemas.openxmlformats.org/officeDocument/2006/relationships/hyperlink" Target="https://www.facebook.com/tourofoman/" TargetMode="External"/><Relationship Id="rId46" Type="http://schemas.openxmlformats.org/officeDocument/2006/relationships/hyperlink" Target="https://twitter.com/BeneluxTour" TargetMode="External"/><Relationship Id="rId67" Type="http://schemas.openxmlformats.org/officeDocument/2006/relationships/hyperlink" Target="https://www.instagram.com/tourof_thealps/?hl=fr" TargetMode="External"/><Relationship Id="rId116" Type="http://schemas.openxmlformats.org/officeDocument/2006/relationships/hyperlink" Target="https://twitter.com/grandprixplouay" TargetMode="External"/><Relationship Id="rId137" Type="http://schemas.openxmlformats.org/officeDocument/2006/relationships/hyperlink" Target="https://www.instagram.com/letourdelaprovence/?hl=fr" TargetMode="External"/><Relationship Id="rId158" Type="http://schemas.openxmlformats.org/officeDocument/2006/relationships/table" Target="../tables/table6.xml"/><Relationship Id="rId20" Type="http://schemas.openxmlformats.org/officeDocument/2006/relationships/hyperlink" Target="https://www.facebook.com/misanremo/?hc_ref=ARQ9nbYLoH31RxhnoeU4jSjeijnDxuISpYdLb2IT5cpRgmbqdJMs2IZu9gIht-2qgqY&amp;fref=nf" TargetMode="External"/><Relationship Id="rId41" Type="http://schemas.openxmlformats.org/officeDocument/2006/relationships/hyperlink" Target="https://twitter.com/StradeBianche?lang=fr" TargetMode="External"/><Relationship Id="rId62" Type="http://schemas.openxmlformats.org/officeDocument/2006/relationships/hyperlink" Target="https://www.instagram.com/parisnicecourse/?hl=fr" TargetMode="External"/><Relationship Id="rId83" Type="http://schemas.openxmlformats.org/officeDocument/2006/relationships/hyperlink" Target="https://twitter.com/tourofqatar_" TargetMode="External"/><Relationship Id="rId88" Type="http://schemas.openxmlformats.org/officeDocument/2006/relationships/hyperlink" Target="https://www.facebook.com/uaetourofficial/" TargetMode="External"/><Relationship Id="rId111" Type="http://schemas.openxmlformats.org/officeDocument/2006/relationships/hyperlink" Target="https://twitter.com/tourofturkiye" TargetMode="External"/><Relationship Id="rId132" Type="http://schemas.openxmlformats.org/officeDocument/2006/relationships/hyperlink" Target="https://www.facebook.com/LaRouteDOccitanie/about/?ref=page_internal" TargetMode="External"/><Relationship Id="rId153" Type="http://schemas.openxmlformats.org/officeDocument/2006/relationships/table" Target="../tables/table1.xml"/><Relationship Id="rId15" Type="http://schemas.openxmlformats.org/officeDocument/2006/relationships/hyperlink" Target="https://www.facebook.com/Velothon/" TargetMode="External"/><Relationship Id="rId36" Type="http://schemas.openxmlformats.org/officeDocument/2006/relationships/hyperlink" Target="https://twitter.com/RondeVlaanderen?lang=fr" TargetMode="External"/><Relationship Id="rId57" Type="http://schemas.openxmlformats.org/officeDocument/2006/relationships/hyperlink" Target="https://www.instagram.com/rondevanvlaanderenofficial/?hl=fr" TargetMode="External"/><Relationship Id="rId106" Type="http://schemas.openxmlformats.org/officeDocument/2006/relationships/hyperlink" Target="https://twitter.com/OmloopHNB" TargetMode="External"/><Relationship Id="rId127" Type="http://schemas.openxmlformats.org/officeDocument/2006/relationships/hyperlink" Target="https://www.facebook.com/EtoiledeBesseges/followers" TargetMode="External"/><Relationship Id="rId10" Type="http://schemas.openxmlformats.org/officeDocument/2006/relationships/hyperlink" Target="https://www.facebook.com/tourdepologne/" TargetMode="External"/><Relationship Id="rId31" Type="http://schemas.openxmlformats.org/officeDocument/2006/relationships/hyperlink" Target="https://twitter.com/Paris_Roubaix?lang=fr" TargetMode="External"/><Relationship Id="rId52" Type="http://schemas.openxmlformats.org/officeDocument/2006/relationships/hyperlink" Target="https://www.instagram.com/uci_cycling/?hl=fr" TargetMode="External"/><Relationship Id="rId73" Type="http://schemas.openxmlformats.org/officeDocument/2006/relationships/hyperlink" Target="https://twitter.com/lavuelta?lang=fr" TargetMode="External"/><Relationship Id="rId78" Type="http://schemas.openxmlformats.org/officeDocument/2006/relationships/hyperlink" Target="https://www.instagram.com/tourofoman/?hl=fr" TargetMode="External"/><Relationship Id="rId94" Type="http://schemas.openxmlformats.org/officeDocument/2006/relationships/hyperlink" Target="https://www.instagram.com/ridelondon/" TargetMode="External"/><Relationship Id="rId99" Type="http://schemas.openxmlformats.org/officeDocument/2006/relationships/hyperlink" Target="https://www.instagram.com/voltacatalunya/?hl=fr" TargetMode="External"/><Relationship Id="rId101" Type="http://schemas.openxmlformats.org/officeDocument/2006/relationships/hyperlink" Target="https://www.facebook.com/beneluxtour.eu/" TargetMode="External"/><Relationship Id="rId122" Type="http://schemas.openxmlformats.org/officeDocument/2006/relationships/hyperlink" Target="https://www.tiktok.com/@theuaetourofficial" TargetMode="External"/><Relationship Id="rId143" Type="http://schemas.openxmlformats.org/officeDocument/2006/relationships/hyperlink" Target="https://twitter.com/KuurneBxlKuurne" TargetMode="External"/><Relationship Id="rId148" Type="http://schemas.openxmlformats.org/officeDocument/2006/relationships/hyperlink" Target="https://twitter.com/velothon?fbclid=IwAR19fLsGoYZLo07wIyO09NANPWIvocV2Pm2I9UxU-R076VBl4EX_xA5d7SY" TargetMode="External"/><Relationship Id="rId4" Type="http://schemas.openxmlformats.org/officeDocument/2006/relationships/hyperlink" Target="https://www.facebook.com/AmgenTourofCalifornia/" TargetMode="External"/><Relationship Id="rId9" Type="http://schemas.openxmlformats.org/officeDocument/2006/relationships/hyperlink" Target="https://www.facebook.com/CriteriumDuDauphine/" TargetMode="External"/><Relationship Id="rId26" Type="http://schemas.openxmlformats.org/officeDocument/2006/relationships/hyperlink" Target="https://twitter.com/LeTour?lang=fr" TargetMode="External"/><Relationship Id="rId47" Type="http://schemas.openxmlformats.org/officeDocument/2006/relationships/hyperlink" Target="https://twitter.com/tds?lang=fr" TargetMode="External"/><Relationship Id="rId68" Type="http://schemas.openxmlformats.org/officeDocument/2006/relationships/hyperlink" Target="https://www.instagram.com/classiquesardennes/?hl=fr" TargetMode="External"/><Relationship Id="rId89" Type="http://schemas.openxmlformats.org/officeDocument/2006/relationships/hyperlink" Target="https://www.instagram.com/theuaetourofficial/" TargetMode="External"/><Relationship Id="rId112" Type="http://schemas.openxmlformats.org/officeDocument/2006/relationships/hyperlink" Target="https://twitter.com/tourdelain" TargetMode="External"/><Relationship Id="rId133" Type="http://schemas.openxmlformats.org/officeDocument/2006/relationships/hyperlink" Target="https://www.instagram.com/thesauditour/" TargetMode="External"/><Relationship Id="rId154" Type="http://schemas.openxmlformats.org/officeDocument/2006/relationships/table" Target="../tables/table2.xml"/><Relationship Id="rId16" Type="http://schemas.openxmlformats.org/officeDocument/2006/relationships/hyperlink" Target="https://www.facebook.com/stradebianche/" TargetMode="External"/><Relationship Id="rId37" Type="http://schemas.openxmlformats.org/officeDocument/2006/relationships/hyperlink" Target="https://twitter.com/Milano_Sanremo?lang=fr" TargetMode="External"/><Relationship Id="rId58" Type="http://schemas.openxmlformats.org/officeDocument/2006/relationships/hyperlink" Target="https://www.instagram.com/thetourofutah/?hl=fr" TargetMode="External"/><Relationship Id="rId79" Type="http://schemas.openxmlformats.org/officeDocument/2006/relationships/hyperlink" Target="https://www.facebook.com/voltacatalunya/?fb_dtsg_ag=Adzhs8sObFMXuBm7y1DkRk9FAgvCofxsxIKnHf9szoUQiQ%3AAdzj0Q7Lf2hcPmh6qFzXLe1CndsDh0aWIopoAFaUbEnkEg" TargetMode="External"/><Relationship Id="rId102" Type="http://schemas.openxmlformats.org/officeDocument/2006/relationships/hyperlink" Target="https://www.instagram.com/beneluxtour/" TargetMode="External"/><Relationship Id="rId123" Type="http://schemas.openxmlformats.org/officeDocument/2006/relationships/hyperlink" Target="https://www.tiktok.com/@uci_cycling" TargetMode="External"/><Relationship Id="rId144" Type="http://schemas.openxmlformats.org/officeDocument/2006/relationships/hyperlink" Target="https://twitter.com/RouteOccitanie" TargetMode="External"/><Relationship Id="rId90" Type="http://schemas.openxmlformats.org/officeDocument/2006/relationships/hyperlink" Target="https://www.facebook.com/colombiauci2.1oficial/" TargetMode="External"/><Relationship Id="rId27" Type="http://schemas.openxmlformats.org/officeDocument/2006/relationships/hyperlink" Target="https://twitter.com/UCI_cycling?lang=fr" TargetMode="External"/><Relationship Id="rId48" Type="http://schemas.openxmlformats.org/officeDocument/2006/relationships/hyperlink" Target="https://twitter.com/GentWevelgem?lang=fr" TargetMode="External"/><Relationship Id="rId69" Type="http://schemas.openxmlformats.org/officeDocument/2006/relationships/hyperlink" Target="https://twitter.com/giroditalia?lang=fr" TargetMode="External"/><Relationship Id="rId113" Type="http://schemas.openxmlformats.org/officeDocument/2006/relationships/hyperlink" Target="https://twitter.com/dklasikoa" TargetMode="External"/><Relationship Id="rId134" Type="http://schemas.openxmlformats.org/officeDocument/2006/relationships/hyperlink" Target="https://www.instagram.com/ilombardia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auber93cyclisme/?hl=fr" TargetMode="External"/><Relationship Id="rId21" Type="http://schemas.openxmlformats.org/officeDocument/2006/relationships/hyperlink" Target="https://twitter.com/INEOSGrenadiers" TargetMode="External"/><Relationship Id="rId42" Type="http://schemas.openxmlformats.org/officeDocument/2006/relationships/hyperlink" Target="https://www.instagram.com/ineosgrenadiers/?hl=fr" TargetMode="External"/><Relationship Id="rId63" Type="http://schemas.openxmlformats.org/officeDocument/2006/relationships/hyperlink" Target="https://www.instagram.com/intermarchewg/" TargetMode="External"/><Relationship Id="rId84" Type="http://schemas.openxmlformats.org/officeDocument/2006/relationships/hyperlink" Target="https://www.tiktok.com/@bbhotels_ktm" TargetMode="External"/><Relationship Id="rId138" Type="http://schemas.openxmlformats.org/officeDocument/2006/relationships/hyperlink" Target="https://www.facebook.com/tudorprocycling" TargetMode="External"/><Relationship Id="rId107" Type="http://schemas.openxmlformats.org/officeDocument/2006/relationships/hyperlink" Target="https://twitter.com/IsraelPremTech" TargetMode="External"/><Relationship Id="rId11" Type="http://schemas.openxmlformats.org/officeDocument/2006/relationships/hyperlink" Target="https://www.facebook.com/LottoSoudalCyclingTeam/" TargetMode="External"/><Relationship Id="rId32" Type="http://schemas.openxmlformats.org/officeDocument/2006/relationships/hyperlink" Target="https://twitter.com/GroupamaFDJ?lang=fr" TargetMode="External"/><Relationship Id="rId53" Type="http://schemas.openxmlformats.org/officeDocument/2006/relationships/hyperlink" Target="https://www.instagram.com/teambahrainvictorious/" TargetMode="External"/><Relationship Id="rId74" Type="http://schemas.openxmlformats.org/officeDocument/2006/relationships/hyperlink" Target="https://twitter.com/EqKernPharma" TargetMode="External"/><Relationship Id="rId128" Type="http://schemas.openxmlformats.org/officeDocument/2006/relationships/hyperlink" Target="https://www.tiktok.com/@hphcycling" TargetMode="External"/><Relationship Id="rId149" Type="http://schemas.openxmlformats.org/officeDocument/2006/relationships/hyperlink" Target="https://www.tiktok.com/@q36.5_procycling" TargetMode="External"/><Relationship Id="rId5" Type="http://schemas.openxmlformats.org/officeDocument/2006/relationships/hyperlink" Target="https://www.facebook.com/quickstepalphavinyl" TargetMode="External"/><Relationship Id="rId95" Type="http://schemas.openxmlformats.org/officeDocument/2006/relationships/hyperlink" Target="https://www.tiktok.com/@uaeteamemirates" TargetMode="External"/><Relationship Id="rId22" Type="http://schemas.openxmlformats.org/officeDocument/2006/relationships/hyperlink" Target="https://twitter.com/Movistar_Team?lang=fr" TargetMode="External"/><Relationship Id="rId43" Type="http://schemas.openxmlformats.org/officeDocument/2006/relationships/hyperlink" Target="https://www.instagram.com/movistar_team/?hl=fr" TargetMode="External"/><Relationship Id="rId64" Type="http://schemas.openxmlformats.org/officeDocument/2006/relationships/hyperlink" Target="https://www.facebook.com/alpecindeceuninck" TargetMode="External"/><Relationship Id="rId118" Type="http://schemas.openxmlformats.org/officeDocument/2006/relationships/hyperlink" Target="https://www.instagram.com/humanpoweredhealth/?hl=fr" TargetMode="External"/><Relationship Id="rId139" Type="http://schemas.openxmlformats.org/officeDocument/2006/relationships/hyperlink" Target="https://twitter.com/TudorProCycling" TargetMode="External"/><Relationship Id="rId80" Type="http://schemas.openxmlformats.org/officeDocument/2006/relationships/hyperlink" Target="https://www.instagram.com/unoxteam/" TargetMode="External"/><Relationship Id="rId85" Type="http://schemas.openxmlformats.org/officeDocument/2006/relationships/hyperlink" Target="https://www.tiktok.com/@teambahrainvictorious" TargetMode="External"/><Relationship Id="rId150" Type="http://schemas.openxmlformats.org/officeDocument/2006/relationships/printerSettings" Target="../printerSettings/printerSettings2.bin"/><Relationship Id="rId155" Type="http://schemas.openxmlformats.org/officeDocument/2006/relationships/table" Target="../tables/table10.xml"/><Relationship Id="rId12" Type="http://schemas.openxmlformats.org/officeDocument/2006/relationships/hyperlink" Target="https://www.facebook.com/TeamTotalEnergies" TargetMode="External"/><Relationship Id="rId17" Type="http://schemas.openxmlformats.org/officeDocument/2006/relationships/hyperlink" Target="https://www.facebook.com/BahrainVictorious/" TargetMode="External"/><Relationship Id="rId33" Type="http://schemas.openxmlformats.org/officeDocument/2006/relationships/hyperlink" Target="https://twitter.com/TeamTotalEnrg" TargetMode="External"/><Relationship Id="rId38" Type="http://schemas.openxmlformats.org/officeDocument/2006/relationships/hyperlink" Target="https://twitter.com/BHRVictorious" TargetMode="External"/><Relationship Id="rId59" Type="http://schemas.openxmlformats.org/officeDocument/2006/relationships/hyperlink" Target="https://www.instagram.com/cajarural_rga/?hl=fr" TargetMode="External"/><Relationship Id="rId103" Type="http://schemas.openxmlformats.org/officeDocument/2006/relationships/hyperlink" Target="https://www.facebook.com/Auber93Cyclisme" TargetMode="External"/><Relationship Id="rId108" Type="http://schemas.openxmlformats.org/officeDocument/2006/relationships/hyperlink" Target="https://twitter.com/AlpecinDCK" TargetMode="External"/><Relationship Id="rId124" Type="http://schemas.openxmlformats.org/officeDocument/2006/relationships/hyperlink" Target="https://www.facebook.com/IsraelPremierTech/" TargetMode="External"/><Relationship Id="rId129" Type="http://schemas.openxmlformats.org/officeDocument/2006/relationships/hyperlink" Target="https://www.tiktok.com/@borahansgroheofficial" TargetMode="External"/><Relationship Id="rId54" Type="http://schemas.openxmlformats.org/officeDocument/2006/relationships/hyperlink" Target="https://www.instagram.com/equipegroupamafdj/?hl=fr" TargetMode="External"/><Relationship Id="rId70" Type="http://schemas.openxmlformats.org/officeDocument/2006/relationships/hyperlink" Target="https://www.facebook.com/EqKernPharma" TargetMode="External"/><Relationship Id="rId75" Type="http://schemas.openxmlformats.org/officeDocument/2006/relationships/hyperlink" Target="https://twitter.com/FundaCiclisEusk" TargetMode="External"/><Relationship Id="rId91" Type="http://schemas.openxmlformats.org/officeDocument/2006/relationships/hyperlink" Target="https://www.tiktok.com/@teamdsm_" TargetMode="External"/><Relationship Id="rId96" Type="http://schemas.openxmlformats.org/officeDocument/2006/relationships/hyperlink" Target="https://www.tiktok.com/@burgosbh" TargetMode="External"/><Relationship Id="rId140" Type="http://schemas.openxmlformats.org/officeDocument/2006/relationships/hyperlink" Target="https://www.instagram.com/tudorprocycling/" TargetMode="External"/><Relationship Id="rId145" Type="http://schemas.openxmlformats.org/officeDocument/2006/relationships/hyperlink" Target="https://www.tiktok.com/@teampoltikometa" TargetMode="External"/><Relationship Id="rId1" Type="http://schemas.openxmlformats.org/officeDocument/2006/relationships/hyperlink" Target="https://www.facebook.com/TeamNovoNordisk/" TargetMode="External"/><Relationship Id="rId6" Type="http://schemas.openxmlformats.org/officeDocument/2006/relationships/hyperlink" Target="https://www.facebook.com/AstanaQazaqstanTeam" TargetMode="External"/><Relationship Id="rId23" Type="http://schemas.openxmlformats.org/officeDocument/2006/relationships/hyperlink" Target="https://twitter.com/teamnovonordisk?lang=fr" TargetMode="External"/><Relationship Id="rId28" Type="http://schemas.openxmlformats.org/officeDocument/2006/relationships/hyperlink" Target="https://twitter.com/TeamDSM" TargetMode="External"/><Relationship Id="rId49" Type="http://schemas.openxmlformats.org/officeDocument/2006/relationships/hyperlink" Target="https://www.instagram.com/borahansgrohe/?hl=fr" TargetMode="External"/><Relationship Id="rId114" Type="http://schemas.openxmlformats.org/officeDocument/2006/relationships/hyperlink" Target="https://www.instagram.com/israelpremiertech/?hl=fr" TargetMode="External"/><Relationship Id="rId119" Type="http://schemas.openxmlformats.org/officeDocument/2006/relationships/hyperlink" Target="https://www.instagram.com/terengganupolygoncyclingteam/?hl=fr" TargetMode="External"/><Relationship Id="rId44" Type="http://schemas.openxmlformats.org/officeDocument/2006/relationships/hyperlink" Target="https://www.instagram.com/treksegafredo/?hl=fr" TargetMode="External"/><Relationship Id="rId60" Type="http://schemas.openxmlformats.org/officeDocument/2006/relationships/hyperlink" Target="https://www.instagram.com/arkeasamsic/" TargetMode="External"/><Relationship Id="rId65" Type="http://schemas.openxmlformats.org/officeDocument/2006/relationships/hyperlink" Target="https://www.facebook.com/UAETEAMEMIRATES/" TargetMode="External"/><Relationship Id="rId81" Type="http://schemas.openxmlformats.org/officeDocument/2006/relationships/hyperlink" Target="https://www.tiktok.com/@ag2rcitroenteam" TargetMode="External"/><Relationship Id="rId86" Type="http://schemas.openxmlformats.org/officeDocument/2006/relationships/hyperlink" Target="https://www.tiktok.com/@quickstep_alphavinylteam" TargetMode="External"/><Relationship Id="rId130" Type="http://schemas.openxmlformats.org/officeDocument/2006/relationships/hyperlink" Target="https://www.tiktok.com/@cajarural_rga" TargetMode="External"/><Relationship Id="rId135" Type="http://schemas.openxmlformats.org/officeDocument/2006/relationships/hyperlink" Target="https://www.tiktok.com/@cycling.vlaanderen" TargetMode="External"/><Relationship Id="rId151" Type="http://schemas.openxmlformats.org/officeDocument/2006/relationships/vmlDrawing" Target="../drawings/vmlDrawing2.vml"/><Relationship Id="rId156" Type="http://schemas.openxmlformats.org/officeDocument/2006/relationships/table" Target="../tables/table11.xml"/><Relationship Id="rId13" Type="http://schemas.openxmlformats.org/officeDocument/2006/relationships/hyperlink" Target="https://www.facebook.com/Borahansgroheofficial/" TargetMode="External"/><Relationship Id="rId18" Type="http://schemas.openxmlformats.org/officeDocument/2006/relationships/hyperlink" Target="https://www.facebook.com/ArkeaSamsic/" TargetMode="External"/><Relationship Id="rId39" Type="http://schemas.openxmlformats.org/officeDocument/2006/relationships/hyperlink" Target="https://twitter.com/qst_alphavinyl" TargetMode="External"/><Relationship Id="rId109" Type="http://schemas.openxmlformats.org/officeDocument/2006/relationships/hyperlink" Target="https://twitter.com/DHAndroniTeam" TargetMode="External"/><Relationship Id="rId34" Type="http://schemas.openxmlformats.org/officeDocument/2006/relationships/hyperlink" Target="https://twitter.com/BORAhansgrohe?lang=fr" TargetMode="External"/><Relationship Id="rId50" Type="http://schemas.openxmlformats.org/officeDocument/2006/relationships/hyperlink" Target="https://www.instagram.com/ag2rcitroenteam/" TargetMode="External"/><Relationship Id="rId55" Type="http://schemas.openxmlformats.org/officeDocument/2006/relationships/hyperlink" Target="https://www.instagram.com/teamcofidis/?hl=fr" TargetMode="External"/><Relationship Id="rId76" Type="http://schemas.openxmlformats.org/officeDocument/2006/relationships/hyperlink" Target="https://twitter.com/UnoXteam" TargetMode="External"/><Relationship Id="rId97" Type="http://schemas.openxmlformats.org/officeDocument/2006/relationships/hyperlink" Target="https://www.facebook.com/profile.php?id=100063755583932" TargetMode="External"/><Relationship Id="rId104" Type="http://schemas.openxmlformats.org/officeDocument/2006/relationships/hyperlink" Target="https://www.facebook.com/bardianicsffaizane" TargetMode="External"/><Relationship Id="rId120" Type="http://schemas.openxmlformats.org/officeDocument/2006/relationships/hyperlink" Target="https://www.tiktok.com/@teamcofidis?lang=fr" TargetMode="External"/><Relationship Id="rId125" Type="http://schemas.openxmlformats.org/officeDocument/2006/relationships/hyperlink" Target="https://www.instagram.com/chinaglorycycling/?hl=fr" TargetMode="External"/><Relationship Id="rId141" Type="http://schemas.openxmlformats.org/officeDocument/2006/relationships/hyperlink" Target="https://www.tiktok.com/@tudorprocycling?lang=fr" TargetMode="External"/><Relationship Id="rId146" Type="http://schemas.openxmlformats.org/officeDocument/2006/relationships/hyperlink" Target="https://www.facebook.com/Q36.5ProCycling/" TargetMode="External"/><Relationship Id="rId7" Type="http://schemas.openxmlformats.org/officeDocument/2006/relationships/hyperlink" Target="https://www.facebook.com/EFProCycling/" TargetMode="External"/><Relationship Id="rId71" Type="http://schemas.openxmlformats.org/officeDocument/2006/relationships/hyperlink" Target="https://www.facebook.com/fundacioneuskadi" TargetMode="External"/><Relationship Id="rId92" Type="http://schemas.openxmlformats.org/officeDocument/2006/relationships/hyperlink" Target="https://www.tiktok.com/@jumbovisma_road" TargetMode="External"/><Relationship Id="rId2" Type="http://schemas.openxmlformats.org/officeDocument/2006/relationships/hyperlink" Target="https://www.facebook.com/INEOSGrenadiers/" TargetMode="External"/><Relationship Id="rId29" Type="http://schemas.openxmlformats.org/officeDocument/2006/relationships/hyperlink" Target="https://twitter.com/Lotto_Soudal?lang=fr" TargetMode="External"/><Relationship Id="rId24" Type="http://schemas.openxmlformats.org/officeDocument/2006/relationships/hyperlink" Target="https://twitter.com/EFprocycling" TargetMode="External"/><Relationship Id="rId40" Type="http://schemas.openxmlformats.org/officeDocument/2006/relationships/hyperlink" Target="https://twitter.com/IntermarcheWG" TargetMode="External"/><Relationship Id="rId45" Type="http://schemas.openxmlformats.org/officeDocument/2006/relationships/hyperlink" Target="https://www.instagram.com/teamdsm_/" TargetMode="External"/><Relationship Id="rId66" Type="http://schemas.openxmlformats.org/officeDocument/2006/relationships/hyperlink" Target="https://www.instagram.com/alpecindeceuninck/" TargetMode="External"/><Relationship Id="rId87" Type="http://schemas.openxmlformats.org/officeDocument/2006/relationships/hyperlink" Target="https://www.tiktok.com/@ineosgrenadiers" TargetMode="External"/><Relationship Id="rId110" Type="http://schemas.openxmlformats.org/officeDocument/2006/relationships/hyperlink" Target="https://twitter.com/Bardiani_CSF" TargetMode="External"/><Relationship Id="rId115" Type="http://schemas.openxmlformats.org/officeDocument/2006/relationships/hyperlink" Target="https://www.instagram.com/dronehopper_androni/?hl=fr" TargetMode="External"/><Relationship Id="rId131" Type="http://schemas.openxmlformats.org/officeDocument/2006/relationships/hyperlink" Target="https://www.tiktok.com/@intermarchecw" TargetMode="External"/><Relationship Id="rId136" Type="http://schemas.openxmlformats.org/officeDocument/2006/relationships/hyperlink" Target="https://www.tiktok.com/@terengganupolygoncycling" TargetMode="External"/><Relationship Id="rId157" Type="http://schemas.openxmlformats.org/officeDocument/2006/relationships/comments" Target="../comments2.xml"/><Relationship Id="rId61" Type="http://schemas.openxmlformats.org/officeDocument/2006/relationships/hyperlink" Target="https://www.instagram.com/jumbovisma_road/" TargetMode="External"/><Relationship Id="rId82" Type="http://schemas.openxmlformats.org/officeDocument/2006/relationships/hyperlink" Target="https://www.tiktok.com/@alpecindeceuninck" TargetMode="External"/><Relationship Id="rId152" Type="http://schemas.openxmlformats.org/officeDocument/2006/relationships/table" Target="../tables/table7.xml"/><Relationship Id="rId19" Type="http://schemas.openxmlformats.org/officeDocument/2006/relationships/hyperlink" Target="https://www.facebook.com/intermarchewg/" TargetMode="External"/><Relationship Id="rId14" Type="http://schemas.openxmlformats.org/officeDocument/2006/relationships/hyperlink" Target="https://www.facebook.com/WeAreTeamDSM/" TargetMode="External"/><Relationship Id="rId30" Type="http://schemas.openxmlformats.org/officeDocument/2006/relationships/hyperlink" Target="https://twitter.com/JumboVismaRoad" TargetMode="External"/><Relationship Id="rId35" Type="http://schemas.openxmlformats.org/officeDocument/2006/relationships/hyperlink" Target="https://twitter.com/TeamCOFIDIS" TargetMode="External"/><Relationship Id="rId56" Type="http://schemas.openxmlformats.org/officeDocument/2006/relationships/hyperlink" Target="https://www.instagram.com/teamtotalenergies/" TargetMode="External"/><Relationship Id="rId77" Type="http://schemas.openxmlformats.org/officeDocument/2006/relationships/hyperlink" Target="https://www.instagram.com/burgosbh/" TargetMode="External"/><Relationship Id="rId100" Type="http://schemas.openxmlformats.org/officeDocument/2006/relationships/hyperlink" Target="https://www.instagram.com/teamflandersbaloise/" TargetMode="External"/><Relationship Id="rId105" Type="http://schemas.openxmlformats.org/officeDocument/2006/relationships/hyperlink" Target="https://www.facebook.com/HumanPoweredHealth" TargetMode="External"/><Relationship Id="rId126" Type="http://schemas.openxmlformats.org/officeDocument/2006/relationships/hyperlink" Target="https://mobile.twitter.com/chinaglorypro" TargetMode="External"/><Relationship Id="rId147" Type="http://schemas.openxmlformats.org/officeDocument/2006/relationships/hyperlink" Target="https://twitter.com/Q36_5ProCycling" TargetMode="External"/><Relationship Id="rId8" Type="http://schemas.openxmlformats.org/officeDocument/2006/relationships/hyperlink" Target="https://www.facebook.com/GreenEdgeCycling/?ref=br_rs" TargetMode="External"/><Relationship Id="rId51" Type="http://schemas.openxmlformats.org/officeDocument/2006/relationships/hyperlink" Target="https://www.instagram.com/teamnovonordisk/?hl=fr" TargetMode="External"/><Relationship Id="rId72" Type="http://schemas.openxmlformats.org/officeDocument/2006/relationships/hyperlink" Target="https://www.facebook.com/unoxteam" TargetMode="External"/><Relationship Id="rId93" Type="http://schemas.openxmlformats.org/officeDocument/2006/relationships/hyperlink" Target="https://www.tiktok.com/@team_novonordisk" TargetMode="External"/><Relationship Id="rId98" Type="http://schemas.openxmlformats.org/officeDocument/2006/relationships/hyperlink" Target="https://www.facebook.com/teamflanders.baloise/" TargetMode="External"/><Relationship Id="rId121" Type="http://schemas.openxmlformats.org/officeDocument/2006/relationships/hyperlink" Target="https://www.tiktok.com/@efprocycling?lang=fr" TargetMode="External"/><Relationship Id="rId142" Type="http://schemas.openxmlformats.org/officeDocument/2006/relationships/hyperlink" Target="https://www.facebook.com/teampoltikometa" TargetMode="External"/><Relationship Id="rId3" Type="http://schemas.openxmlformats.org/officeDocument/2006/relationships/hyperlink" Target="https://www.facebook.com/TrekSegafredo/?hc_ref=ARRjcfIv8cCj-LPQ6WzPRs5ykRFCaTNxnPngVSYG2tBuPrIo0qp35h9xM7Kc9dWWKUA" TargetMode="External"/><Relationship Id="rId25" Type="http://schemas.openxmlformats.org/officeDocument/2006/relationships/hyperlink" Target="https://twitter.com/TrekSegafredo" TargetMode="External"/><Relationship Id="rId46" Type="http://schemas.openxmlformats.org/officeDocument/2006/relationships/hyperlink" Target="https://www.instagram.com/astanaqazaqstanteam/" TargetMode="External"/><Relationship Id="rId67" Type="http://schemas.openxmlformats.org/officeDocument/2006/relationships/hyperlink" Target="https://www.facebook.com/teamcajarural/" TargetMode="External"/><Relationship Id="rId116" Type="http://schemas.openxmlformats.org/officeDocument/2006/relationships/hyperlink" Target="https://www.instagram.com/bardiani_csf_faizane/?hl=fr" TargetMode="External"/><Relationship Id="rId137" Type="http://schemas.openxmlformats.org/officeDocument/2006/relationships/hyperlink" Target="https://www.tiktok.com/@soudal_quickstepteam" TargetMode="External"/><Relationship Id="rId20" Type="http://schemas.openxmlformats.org/officeDocument/2006/relationships/hyperlink" Target="https://www.facebook.com/BBHOTELSKTM" TargetMode="External"/><Relationship Id="rId41" Type="http://schemas.openxmlformats.org/officeDocument/2006/relationships/hyperlink" Target="https://twitter.com/BBHOTELS_KTM" TargetMode="External"/><Relationship Id="rId62" Type="http://schemas.openxmlformats.org/officeDocument/2006/relationships/hyperlink" Target="https://www.instagram.com/quickstep_alphavinylteam/?hl=fr" TargetMode="External"/><Relationship Id="rId83" Type="http://schemas.openxmlformats.org/officeDocument/2006/relationships/hyperlink" Target="https://www.tiktok.com/@astanaqazaqstanteam" TargetMode="External"/><Relationship Id="rId88" Type="http://schemas.openxmlformats.org/officeDocument/2006/relationships/hyperlink" Target="https://www.tiktok.com/@movistar_team" TargetMode="External"/><Relationship Id="rId111" Type="http://schemas.openxmlformats.org/officeDocument/2006/relationships/hyperlink" Target="https://twitter.com/Auber93Cyclisme" TargetMode="External"/><Relationship Id="rId132" Type="http://schemas.openxmlformats.org/officeDocument/2006/relationships/hyperlink" Target="https://www.tiktok.com/@israelpremiertech" TargetMode="External"/><Relationship Id="rId153" Type="http://schemas.openxmlformats.org/officeDocument/2006/relationships/table" Target="../tables/table8.xml"/><Relationship Id="rId15" Type="http://schemas.openxmlformats.org/officeDocument/2006/relationships/hyperlink" Target="https://www.facebook.com/equipecyclistegroupamafdj/" TargetMode="External"/><Relationship Id="rId36" Type="http://schemas.openxmlformats.org/officeDocument/2006/relationships/hyperlink" Target="https://twitter.com/Arkea_Samsic" TargetMode="External"/><Relationship Id="rId57" Type="http://schemas.openxmlformats.org/officeDocument/2006/relationships/hyperlink" Target="https://www.instagram.com/uae_team_emirates/?hl=fr" TargetMode="External"/><Relationship Id="rId106" Type="http://schemas.openxmlformats.org/officeDocument/2006/relationships/hyperlink" Target="https://www.facebook.com/Terengganupolygoncyclingteam" TargetMode="External"/><Relationship Id="rId127" Type="http://schemas.openxmlformats.org/officeDocument/2006/relationships/hyperlink" Target="https://www.tiktok.com/@tdsm_firmenich" TargetMode="External"/><Relationship Id="rId10" Type="http://schemas.openxmlformats.org/officeDocument/2006/relationships/hyperlink" Target="https://www.facebook.com/AG2RCITROENTEAM" TargetMode="External"/><Relationship Id="rId31" Type="http://schemas.openxmlformats.org/officeDocument/2006/relationships/hyperlink" Target="https://twitter.com/AG2RCITROENTEAM" TargetMode="External"/><Relationship Id="rId52" Type="http://schemas.openxmlformats.org/officeDocument/2006/relationships/hyperlink" Target="https://www.instagram.com/lotto_soudal/?hl=fr" TargetMode="External"/><Relationship Id="rId73" Type="http://schemas.openxmlformats.org/officeDocument/2006/relationships/hyperlink" Target="https://twitter.com/BurgosBH" TargetMode="External"/><Relationship Id="rId78" Type="http://schemas.openxmlformats.org/officeDocument/2006/relationships/hyperlink" Target="https://www.instagram.com/eqkernpharma/" TargetMode="External"/><Relationship Id="rId94" Type="http://schemas.openxmlformats.org/officeDocument/2006/relationships/hyperlink" Target="https://www.tiktok.com/@teamtotalenergies" TargetMode="External"/><Relationship Id="rId99" Type="http://schemas.openxmlformats.org/officeDocument/2006/relationships/hyperlink" Target="https://mobile.twitter.com/ProteamTFB" TargetMode="External"/><Relationship Id="rId101" Type="http://schemas.openxmlformats.org/officeDocument/2006/relationships/hyperlink" Target="https://www.facebook.com/sportvlaanderen.baloise" TargetMode="External"/><Relationship Id="rId122" Type="http://schemas.openxmlformats.org/officeDocument/2006/relationships/hyperlink" Target="https://www.tiktok.com/@groupamafdj?lang=fr" TargetMode="External"/><Relationship Id="rId143" Type="http://schemas.openxmlformats.org/officeDocument/2006/relationships/hyperlink" Target="https://twitter.com/TeamPoltiKometa" TargetMode="External"/><Relationship Id="rId148" Type="http://schemas.openxmlformats.org/officeDocument/2006/relationships/hyperlink" Target="https://www.instagram.com/q36.5_procycling/" TargetMode="External"/><Relationship Id="rId4" Type="http://schemas.openxmlformats.org/officeDocument/2006/relationships/hyperlink" Target="https://www.facebook.com/movistarteam/" TargetMode="External"/><Relationship Id="rId9" Type="http://schemas.openxmlformats.org/officeDocument/2006/relationships/hyperlink" Target="https://www.facebook.com/JumboVismaRoad/" TargetMode="External"/><Relationship Id="rId26" Type="http://schemas.openxmlformats.org/officeDocument/2006/relationships/hyperlink" Target="https://twitter.com/GreenEDGEteam" TargetMode="External"/><Relationship Id="rId47" Type="http://schemas.openxmlformats.org/officeDocument/2006/relationships/hyperlink" Target="https://www.instagram.com/efprocycling/" TargetMode="External"/><Relationship Id="rId68" Type="http://schemas.openxmlformats.org/officeDocument/2006/relationships/hyperlink" Target="https://twitter.com/TeamEmiratesUAE" TargetMode="External"/><Relationship Id="rId89" Type="http://schemas.openxmlformats.org/officeDocument/2006/relationships/hyperlink" Target="https://www.tiktok.com/@arkeasamsic" TargetMode="External"/><Relationship Id="rId112" Type="http://schemas.openxmlformats.org/officeDocument/2006/relationships/hyperlink" Target="https://twitter.com/HumanPwrdHealth" TargetMode="External"/><Relationship Id="rId133" Type="http://schemas.openxmlformats.org/officeDocument/2006/relationships/hyperlink" Target="https://www.tiktok.com/@lotto_dstny" TargetMode="External"/><Relationship Id="rId154" Type="http://schemas.openxmlformats.org/officeDocument/2006/relationships/table" Target="../tables/table9.xml"/><Relationship Id="rId16" Type="http://schemas.openxmlformats.org/officeDocument/2006/relationships/hyperlink" Target="https://www.facebook.com/TeamCofidis/?ref=br_rs" TargetMode="External"/><Relationship Id="rId37" Type="http://schemas.openxmlformats.org/officeDocument/2006/relationships/hyperlink" Target="https://twitter.com/CajaRural_RGA" TargetMode="External"/><Relationship Id="rId58" Type="http://schemas.openxmlformats.org/officeDocument/2006/relationships/hyperlink" Target="https://www.instagram.com/bbhotels_ktm/?hl=fr" TargetMode="External"/><Relationship Id="rId79" Type="http://schemas.openxmlformats.org/officeDocument/2006/relationships/hyperlink" Target="https://www.instagram.com/fundacion_euskadi/" TargetMode="External"/><Relationship Id="rId102" Type="http://schemas.openxmlformats.org/officeDocument/2006/relationships/hyperlink" Target="https://www.facebook.com/sportvlaanderen.baloise" TargetMode="External"/><Relationship Id="rId123" Type="http://schemas.openxmlformats.org/officeDocument/2006/relationships/hyperlink" Target="https://www.tiktok.com/@humanpwrdhealth" TargetMode="External"/><Relationship Id="rId144" Type="http://schemas.openxmlformats.org/officeDocument/2006/relationships/hyperlink" Target="https://www.instagram.com/teampoltikometa" TargetMode="External"/><Relationship Id="rId90" Type="http://schemas.openxmlformats.org/officeDocument/2006/relationships/hyperlink" Target="https://www.tiktok.com/@greenedgecycling" TargetMode="External"/><Relationship Id="rId27" Type="http://schemas.openxmlformats.org/officeDocument/2006/relationships/hyperlink" Target="https://twitter.com/AstanaQazTeam" TargetMode="External"/><Relationship Id="rId48" Type="http://schemas.openxmlformats.org/officeDocument/2006/relationships/hyperlink" Target="https://www.instagram.com/greenedgecycling/" TargetMode="External"/><Relationship Id="rId69" Type="http://schemas.openxmlformats.org/officeDocument/2006/relationships/hyperlink" Target="https://www.facebook.com/burgosprocyclingteam" TargetMode="External"/><Relationship Id="rId113" Type="http://schemas.openxmlformats.org/officeDocument/2006/relationships/hyperlink" Target="https://twitter.com/TSG_cyclingteam" TargetMode="External"/><Relationship Id="rId134" Type="http://schemas.openxmlformats.org/officeDocument/2006/relationships/hyperlink" Target="https://www.tiktok.com/@eqkernpharma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ter.com/tonygallopin" TargetMode="External"/><Relationship Id="rId21" Type="http://schemas.openxmlformats.org/officeDocument/2006/relationships/hyperlink" Target="https://www.instagram.com/mathieuvanderpoel/?hl=fr" TargetMode="External"/><Relationship Id="rId63" Type="http://schemas.openxmlformats.org/officeDocument/2006/relationships/hyperlink" Target="https://www.instagram.com/primozroglic/" TargetMode="External"/><Relationship Id="rId159" Type="http://schemas.openxmlformats.org/officeDocument/2006/relationships/hyperlink" Target="https://www.instagram.com/jasperphilipsen/" TargetMode="External"/><Relationship Id="rId170" Type="http://schemas.openxmlformats.org/officeDocument/2006/relationships/hyperlink" Target="https://www.facebook.com/profile.php?id=100047128340516" TargetMode="External"/><Relationship Id="rId191" Type="http://schemas.openxmlformats.org/officeDocument/2006/relationships/hyperlink" Target="https://twitter.com/MagnusCort" TargetMode="External"/><Relationship Id="rId205" Type="http://schemas.openxmlformats.org/officeDocument/2006/relationships/hyperlink" Target="https://twitter.com/LukeRowe1990" TargetMode="External"/><Relationship Id="rId226" Type="http://schemas.openxmlformats.org/officeDocument/2006/relationships/hyperlink" Target="https://www.facebook.com/oliver.naesen" TargetMode="External"/><Relationship Id="rId247" Type="http://schemas.openxmlformats.org/officeDocument/2006/relationships/hyperlink" Target="https://www.tiktok.com/@geraintthomas86" TargetMode="External"/><Relationship Id="rId107" Type="http://schemas.openxmlformats.org/officeDocument/2006/relationships/hyperlink" Target="https://twitter.com/alvaro_hodeg" TargetMode="External"/><Relationship Id="rId11" Type="http://schemas.openxmlformats.org/officeDocument/2006/relationships/hyperlink" Target="https://twitter.com/FndoGaviria?lang=fr" TargetMode="External"/><Relationship Id="rId32" Type="http://schemas.openxmlformats.org/officeDocument/2006/relationships/hyperlink" Target="https://www.facebook.com/MarkCavendish/" TargetMode="External"/><Relationship Id="rId53" Type="http://schemas.openxmlformats.org/officeDocument/2006/relationships/hyperlink" Target="https://www.facebook.com/Alexander-Kristoff-247648036487/" TargetMode="External"/><Relationship Id="rId74" Type="http://schemas.openxmlformats.org/officeDocument/2006/relationships/hyperlink" Target="https://www.facebook.com/contador/" TargetMode="External"/><Relationship Id="rId128" Type="http://schemas.openxmlformats.org/officeDocument/2006/relationships/hyperlink" Target="https://twitter.com/TamauPogi" TargetMode="External"/><Relationship Id="rId149" Type="http://schemas.openxmlformats.org/officeDocument/2006/relationships/hyperlink" Target="https://www.instagram.com/tim.wellens/?hl=fr" TargetMode="External"/><Relationship Id="rId5" Type="http://schemas.openxmlformats.org/officeDocument/2006/relationships/hyperlink" Target="https://twitter.com/petosagan?lang=fr" TargetMode="External"/><Relationship Id="rId95" Type="http://schemas.openxmlformats.org/officeDocument/2006/relationships/hyperlink" Target="https://twitter.com/GregVanAvermaet?lang=fr" TargetMode="External"/><Relationship Id="rId160" Type="http://schemas.openxmlformats.org/officeDocument/2006/relationships/hyperlink" Target="https://www.instagram.com/david_gaudu/" TargetMode="External"/><Relationship Id="rId181" Type="http://schemas.openxmlformats.org/officeDocument/2006/relationships/hyperlink" Target="https://www.instagram.com/jonasvingegaard/" TargetMode="External"/><Relationship Id="rId216" Type="http://schemas.openxmlformats.org/officeDocument/2006/relationships/hyperlink" Target="https://www.instagram.com/landameana/?hl=fr" TargetMode="External"/><Relationship Id="rId237" Type="http://schemas.openxmlformats.org/officeDocument/2006/relationships/hyperlink" Target="https://www.facebook.com/jasper.philipsen" TargetMode="External"/><Relationship Id="rId258" Type="http://schemas.openxmlformats.org/officeDocument/2006/relationships/table" Target="../tables/table13.xml"/><Relationship Id="rId22" Type="http://schemas.openxmlformats.org/officeDocument/2006/relationships/hyperlink" Target="https://www.instagram.com/woutvanaert/?hl=fr" TargetMode="External"/><Relationship Id="rId43" Type="http://schemas.openxmlformats.org/officeDocument/2006/relationships/hyperlink" Target="https://www.facebook.com/gregvanavermaet/" TargetMode="External"/><Relationship Id="rId64" Type="http://schemas.openxmlformats.org/officeDocument/2006/relationships/hyperlink" Target="https://www.facebook.com/Rogla007/" TargetMode="External"/><Relationship Id="rId118" Type="http://schemas.openxmlformats.org/officeDocument/2006/relationships/hyperlink" Target="https://twitter.com/RuiCostaCyclist" TargetMode="External"/><Relationship Id="rId139" Type="http://schemas.openxmlformats.org/officeDocument/2006/relationships/hyperlink" Target="https://twitter.com/MarcHirschi" TargetMode="External"/><Relationship Id="rId85" Type="http://schemas.openxmlformats.org/officeDocument/2006/relationships/hyperlink" Target="https://www.facebook.com/tim.merlier" TargetMode="External"/><Relationship Id="rId150" Type="http://schemas.openxmlformats.org/officeDocument/2006/relationships/hyperlink" Target="https://www.instagram.com/calebewan/?hl=fr" TargetMode="External"/><Relationship Id="rId171" Type="http://schemas.openxmlformats.org/officeDocument/2006/relationships/hyperlink" Target="https://www.facebook.com/simonyatesofficial" TargetMode="External"/><Relationship Id="rId192" Type="http://schemas.openxmlformats.org/officeDocument/2006/relationships/hyperlink" Target="https://twitter.com/DanMartin86" TargetMode="External"/><Relationship Id="rId206" Type="http://schemas.openxmlformats.org/officeDocument/2006/relationships/hyperlink" Target="https://www.facebook.com/LukeRoweFans" TargetMode="External"/><Relationship Id="rId227" Type="http://schemas.openxmlformats.org/officeDocument/2006/relationships/hyperlink" Target="https://www.facebook.com/BuchmannEmu" TargetMode="External"/><Relationship Id="rId248" Type="http://schemas.openxmlformats.org/officeDocument/2006/relationships/hyperlink" Target="https://www.tiktok.com/@woutvanaert_" TargetMode="External"/><Relationship Id="rId12" Type="http://schemas.openxmlformats.org/officeDocument/2006/relationships/hyperlink" Target="https://www.instagram.com/nairoquincoficial/?hl=fr" TargetMode="External"/><Relationship Id="rId33" Type="http://schemas.openxmlformats.org/officeDocument/2006/relationships/hyperlink" Target="https://www.facebook.com/FansRigobertoUran/" TargetMode="External"/><Relationship Id="rId108" Type="http://schemas.openxmlformats.org/officeDocument/2006/relationships/hyperlink" Target="https://twitter.com/GroenewegenD" TargetMode="External"/><Relationship Id="rId129" Type="http://schemas.openxmlformats.org/officeDocument/2006/relationships/hyperlink" Target="https://twitter.com/adamyates7" TargetMode="External"/><Relationship Id="rId54" Type="http://schemas.openxmlformats.org/officeDocument/2006/relationships/hyperlink" Target="https://www.facebook.com/RemcoEvenepoelOfficial/" TargetMode="External"/><Relationship Id="rId75" Type="http://schemas.openxmlformats.org/officeDocument/2006/relationships/hyperlink" Target="https://www.facebook.com/winner.gomez" TargetMode="External"/><Relationship Id="rId96" Type="http://schemas.openxmlformats.org/officeDocument/2006/relationships/hyperlink" Target="https://twitter.com/NikiTerpstra?lang=fr" TargetMode="External"/><Relationship Id="rId140" Type="http://schemas.openxmlformats.org/officeDocument/2006/relationships/hyperlink" Target="https://twitter.com/GannaFilippo" TargetMode="External"/><Relationship Id="rId161" Type="http://schemas.openxmlformats.org/officeDocument/2006/relationships/hyperlink" Target="https://www.instagram.com/brandon_mcnulty/?hl=en" TargetMode="External"/><Relationship Id="rId182" Type="http://schemas.openxmlformats.org/officeDocument/2006/relationships/hyperlink" Target="https://www.instagram.com/jasperphilipsen/" TargetMode="External"/><Relationship Id="rId217" Type="http://schemas.openxmlformats.org/officeDocument/2006/relationships/hyperlink" Target="https://www.facebook.com/NHPowless" TargetMode="External"/><Relationship Id="rId6" Type="http://schemas.openxmlformats.org/officeDocument/2006/relationships/hyperlink" Target="https://twitter.com/vincenzonibali?lang=fr" TargetMode="External"/><Relationship Id="rId238" Type="http://schemas.openxmlformats.org/officeDocument/2006/relationships/hyperlink" Target="https://www.facebook.com/alexey.lutcenko" TargetMode="External"/><Relationship Id="rId259" Type="http://schemas.openxmlformats.org/officeDocument/2006/relationships/table" Target="../tables/table14.xml"/><Relationship Id="rId23" Type="http://schemas.openxmlformats.org/officeDocument/2006/relationships/hyperlink" Target="https://www.instagram.com/eganbernal/?hl=fr" TargetMode="External"/><Relationship Id="rId119" Type="http://schemas.openxmlformats.org/officeDocument/2006/relationships/hyperlink" Target="https://twitter.com/DeGendtThomas" TargetMode="External"/><Relationship Id="rId44" Type="http://schemas.openxmlformats.org/officeDocument/2006/relationships/hyperlink" Target="https://www.facebook.com/johndegenkolb/" TargetMode="External"/><Relationship Id="rId65" Type="http://schemas.openxmlformats.org/officeDocument/2006/relationships/hyperlink" Target="https://www.facebook.com/tompidcock10" TargetMode="External"/><Relationship Id="rId86" Type="http://schemas.openxmlformats.org/officeDocument/2006/relationships/hyperlink" Target="https://www.facebook.com/michaelrustywoods/" TargetMode="External"/><Relationship Id="rId130" Type="http://schemas.openxmlformats.org/officeDocument/2006/relationships/hyperlink" Target="https://twitter.com/JooAlmeida98" TargetMode="External"/><Relationship Id="rId151" Type="http://schemas.openxmlformats.org/officeDocument/2006/relationships/hyperlink" Target="https://www.instagram.com/enric_mas_/?hl=fr" TargetMode="External"/><Relationship Id="rId172" Type="http://schemas.openxmlformats.org/officeDocument/2006/relationships/hyperlink" Target="https://www.facebook.com/jfuglsang1" TargetMode="External"/><Relationship Id="rId193" Type="http://schemas.openxmlformats.org/officeDocument/2006/relationships/hyperlink" Target="https://www.facebook.com/ciccogi" TargetMode="External"/><Relationship Id="rId207" Type="http://schemas.openxmlformats.org/officeDocument/2006/relationships/hyperlink" Target="https://www.facebook.com/AndreGreipel" TargetMode="External"/><Relationship Id="rId228" Type="http://schemas.openxmlformats.org/officeDocument/2006/relationships/hyperlink" Target="https://twitter.com/Sammmy_Be" TargetMode="External"/><Relationship Id="rId249" Type="http://schemas.openxmlformats.org/officeDocument/2006/relationships/hyperlink" Target="https://www.tiktok.com/@thibaut_pinot" TargetMode="External"/><Relationship Id="rId13" Type="http://schemas.openxmlformats.org/officeDocument/2006/relationships/hyperlink" Target="https://www.instagram.com/chrisfroome/?hl=fr" TargetMode="External"/><Relationship Id="rId109" Type="http://schemas.openxmlformats.org/officeDocument/2006/relationships/hyperlink" Target="https://twitter.com/majkaformal" TargetMode="External"/><Relationship Id="rId260" Type="http://schemas.openxmlformats.org/officeDocument/2006/relationships/table" Target="../tables/table15.xml"/><Relationship Id="rId34" Type="http://schemas.openxmlformats.org/officeDocument/2006/relationships/hyperlink" Target="https://www.facebook.com/vincenzonibali/" TargetMode="External"/><Relationship Id="rId55" Type="http://schemas.openxmlformats.org/officeDocument/2006/relationships/hyperlink" Target="https://www.facebook.com/Zdenek-Stybar-42827308266/?ref=br_rs" TargetMode="External"/><Relationship Id="rId76" Type="http://schemas.openxmlformats.org/officeDocument/2006/relationships/hyperlink" Target="https://www.facebook.com/danieloss1/" TargetMode="External"/><Relationship Id="rId97" Type="http://schemas.openxmlformats.org/officeDocument/2006/relationships/hyperlink" Target="https://twitter.com/romainbardet?lang=fr" TargetMode="External"/><Relationship Id="rId120" Type="http://schemas.openxmlformats.org/officeDocument/2006/relationships/hyperlink" Target="https://twitter.com/Tim_Wellens" TargetMode="External"/><Relationship Id="rId141" Type="http://schemas.openxmlformats.org/officeDocument/2006/relationships/hyperlink" Target="https://twitter.com/GrmayeBiniam" TargetMode="External"/><Relationship Id="rId7" Type="http://schemas.openxmlformats.org/officeDocument/2006/relationships/hyperlink" Target="https://twitter.com/alejanvalverde?lang=fr" TargetMode="External"/><Relationship Id="rId162" Type="http://schemas.openxmlformats.org/officeDocument/2006/relationships/hyperlink" Target="https://www.instagram.com/danielfelipemartinezp/" TargetMode="External"/><Relationship Id="rId183" Type="http://schemas.openxmlformats.org/officeDocument/2006/relationships/hyperlink" Target="https://www.instagram.com/david_gaudu/" TargetMode="External"/><Relationship Id="rId218" Type="http://schemas.openxmlformats.org/officeDocument/2006/relationships/hyperlink" Target="https://www.facebook.com/MichaelValgren" TargetMode="External"/><Relationship Id="rId239" Type="http://schemas.openxmlformats.org/officeDocument/2006/relationships/hyperlink" Target="https://www.facebook.com/profile.php?id=100078103235033" TargetMode="External"/><Relationship Id="rId250" Type="http://schemas.openxmlformats.org/officeDocument/2006/relationships/hyperlink" Target="https://www.tiktok.com/@acontadoroficial" TargetMode="External"/><Relationship Id="rId24" Type="http://schemas.openxmlformats.org/officeDocument/2006/relationships/hyperlink" Target="https://twitter.com/Eganbernal" TargetMode="External"/><Relationship Id="rId45" Type="http://schemas.openxmlformats.org/officeDocument/2006/relationships/hyperlink" Target="https://www.facebook.com/Julian-Alaphilippe-Officiel-1399159873679521/?ref=br_rs" TargetMode="External"/><Relationship Id="rId66" Type="http://schemas.openxmlformats.org/officeDocument/2006/relationships/hyperlink" Target="https://www.facebook.com/sup3rlopezstore/?ref=br_rs" TargetMode="External"/><Relationship Id="rId87" Type="http://schemas.openxmlformats.org/officeDocument/2006/relationships/hyperlink" Target="https://www.facebook.com/sonnycolbrelliofficial/" TargetMode="External"/><Relationship Id="rId110" Type="http://schemas.openxmlformats.org/officeDocument/2006/relationships/hyperlink" Target="https://twitter.com/PierroooRolland" TargetMode="External"/><Relationship Id="rId131" Type="http://schemas.openxmlformats.org/officeDocument/2006/relationships/hyperlink" Target="https://twitter.com/JasperPhilipsen" TargetMode="External"/><Relationship Id="rId152" Type="http://schemas.openxmlformats.org/officeDocument/2006/relationships/hyperlink" Target="https://www.instagram.com/jasperstuyven/?hl=fr" TargetMode="External"/><Relationship Id="rId173" Type="http://schemas.openxmlformats.org/officeDocument/2006/relationships/hyperlink" Target="https://twitter.com/DylanvanBaarle" TargetMode="External"/><Relationship Id="rId194" Type="http://schemas.openxmlformats.org/officeDocument/2006/relationships/hyperlink" Target="https://twitter.com/giuliocicco1" TargetMode="External"/><Relationship Id="rId208" Type="http://schemas.openxmlformats.org/officeDocument/2006/relationships/hyperlink" Target="https://twitter.com/AndreGreipel" TargetMode="External"/><Relationship Id="rId229" Type="http://schemas.openxmlformats.org/officeDocument/2006/relationships/hyperlink" Target="https://www.facebook.com/SammmyBen" TargetMode="External"/><Relationship Id="rId240" Type="http://schemas.openxmlformats.org/officeDocument/2006/relationships/hyperlink" Target="https://www.facebook.com/profile.php?id=100043522311745" TargetMode="External"/><Relationship Id="rId261" Type="http://schemas.openxmlformats.org/officeDocument/2006/relationships/table" Target="../tables/table16.xml"/><Relationship Id="rId14" Type="http://schemas.openxmlformats.org/officeDocument/2006/relationships/hyperlink" Target="https://www.instagram.com/rigobertouran/?hl=fr" TargetMode="External"/><Relationship Id="rId35" Type="http://schemas.openxmlformats.org/officeDocument/2006/relationships/hyperlink" Target="https://www.facebook.com/geraint.thomas.921/?fref=mentions" TargetMode="External"/><Relationship Id="rId56" Type="http://schemas.openxmlformats.org/officeDocument/2006/relationships/hyperlink" Target="https://www.facebook.com/bobjungels/" TargetMode="External"/><Relationship Id="rId77" Type="http://schemas.openxmlformats.org/officeDocument/2006/relationships/hyperlink" Target="https://www.facebook.com/joaoalmeidaatleta/" TargetMode="External"/><Relationship Id="rId100" Type="http://schemas.openxmlformats.org/officeDocument/2006/relationships/hyperlink" Target="https://twitter.com/WarrenBarguil?lang=fr" TargetMode="External"/><Relationship Id="rId8" Type="http://schemas.openxmlformats.org/officeDocument/2006/relationships/hyperlink" Target="https://twitter.com/GeraintThomas86?lang=fr" TargetMode="External"/><Relationship Id="rId98" Type="http://schemas.openxmlformats.org/officeDocument/2006/relationships/hyperlink" Target="https://twitter.com/ThibautPinot?lang=fr" TargetMode="External"/><Relationship Id="rId121" Type="http://schemas.openxmlformats.org/officeDocument/2006/relationships/hyperlink" Target="https://twitter.com/CalebEwan" TargetMode="External"/><Relationship Id="rId142" Type="http://schemas.openxmlformats.org/officeDocument/2006/relationships/hyperlink" Target="https://www.instagram.com/kwiato/?hl=fr" TargetMode="External"/><Relationship Id="rId163" Type="http://schemas.openxmlformats.org/officeDocument/2006/relationships/hyperlink" Target="https://www.instagram.com/ben0c0nnor/" TargetMode="External"/><Relationship Id="rId184" Type="http://schemas.openxmlformats.org/officeDocument/2006/relationships/hyperlink" Target="https://www.instagram.com/brandon_mcnulty/?hl=en" TargetMode="External"/><Relationship Id="rId219" Type="http://schemas.openxmlformats.org/officeDocument/2006/relationships/hyperlink" Target="https://www.facebook.com/profile.php?id=100063804605943" TargetMode="External"/><Relationship Id="rId230" Type="http://schemas.openxmlformats.org/officeDocument/2006/relationships/hyperlink" Target="https://www.facebook.com/profile.php?id=100071160199033" TargetMode="External"/><Relationship Id="rId251" Type="http://schemas.openxmlformats.org/officeDocument/2006/relationships/hyperlink" Target="https://www.tiktok.com/@jonasvingegaard" TargetMode="External"/><Relationship Id="rId25" Type="http://schemas.openxmlformats.org/officeDocument/2006/relationships/hyperlink" Target="https://www.instagram.com/remco.ev/" TargetMode="External"/><Relationship Id="rId46" Type="http://schemas.openxmlformats.org/officeDocument/2006/relationships/hyperlink" Target="https://www.facebook.com/ArnaudDemare/" TargetMode="External"/><Relationship Id="rId67" Type="http://schemas.openxmlformats.org/officeDocument/2006/relationships/hyperlink" Target="https://www.facebook.com/alvarohodegchaguicol/" TargetMode="External"/><Relationship Id="rId88" Type="http://schemas.openxmlformats.org/officeDocument/2006/relationships/hyperlink" Target="https://www.facebook.com/ethanhayter/" TargetMode="External"/><Relationship Id="rId111" Type="http://schemas.openxmlformats.org/officeDocument/2006/relationships/hyperlink" Target="https://twitter.com/SimonYatess" TargetMode="External"/><Relationship Id="rId132" Type="http://schemas.openxmlformats.org/officeDocument/2006/relationships/hyperlink" Target="https://twitter.com/DavidGaudu" TargetMode="External"/><Relationship Id="rId153" Type="http://schemas.openxmlformats.org/officeDocument/2006/relationships/hyperlink" Target="https://www.instagram.com/pedersen__mads/" TargetMode="External"/><Relationship Id="rId174" Type="http://schemas.openxmlformats.org/officeDocument/2006/relationships/hyperlink" Target="https://www.facebook.com/stefankuengch" TargetMode="External"/><Relationship Id="rId195" Type="http://schemas.openxmlformats.org/officeDocument/2006/relationships/hyperlink" Target="https://www.instagram.com/ciccone_giulio/?hl=fr" TargetMode="External"/><Relationship Id="rId209" Type="http://schemas.openxmlformats.org/officeDocument/2006/relationships/hyperlink" Target="https://www.facebook.com/madouasvalentin" TargetMode="External"/><Relationship Id="rId220" Type="http://schemas.openxmlformats.org/officeDocument/2006/relationships/hyperlink" Target="https://twitter.com/BouhanniNacer" TargetMode="External"/><Relationship Id="rId241" Type="http://schemas.openxmlformats.org/officeDocument/2006/relationships/hyperlink" Target="https://www.facebook.com/profile.php?id=100057860087127" TargetMode="External"/><Relationship Id="rId15" Type="http://schemas.openxmlformats.org/officeDocument/2006/relationships/hyperlink" Target="https://www.instagram.com/markcavendish/?hl=fr" TargetMode="External"/><Relationship Id="rId36" Type="http://schemas.openxmlformats.org/officeDocument/2006/relationships/hyperlink" Target="https://www.facebook.com/kwiato/" TargetMode="External"/><Relationship Id="rId57" Type="http://schemas.openxmlformats.org/officeDocument/2006/relationships/hyperlink" Target="https://www.facebook.com/eliavivianiofficial/" TargetMode="External"/><Relationship Id="rId262" Type="http://schemas.openxmlformats.org/officeDocument/2006/relationships/comments" Target="../comments3.xml"/><Relationship Id="rId78" Type="http://schemas.openxmlformats.org/officeDocument/2006/relationships/hyperlink" Target="https://www.facebook.com/jonasvingegaard/" TargetMode="External"/><Relationship Id="rId99" Type="http://schemas.openxmlformats.org/officeDocument/2006/relationships/hyperlink" Target="https://twitter.com/johndegenkolb?lang=fr" TargetMode="External"/><Relationship Id="rId101" Type="http://schemas.openxmlformats.org/officeDocument/2006/relationships/hyperlink" Target="https://twitter.com/alafpolak1" TargetMode="External"/><Relationship Id="rId122" Type="http://schemas.openxmlformats.org/officeDocument/2006/relationships/hyperlink" Target="https://twitter.com/EnricMasNicolau" TargetMode="External"/><Relationship Id="rId143" Type="http://schemas.openxmlformats.org/officeDocument/2006/relationships/hyperlink" Target="https://www.instagram.com/romainbardet/?hl=fr" TargetMode="External"/><Relationship Id="rId164" Type="http://schemas.openxmlformats.org/officeDocument/2006/relationships/hyperlink" Target="https://www.instagram.com/seppkuss/" TargetMode="External"/><Relationship Id="rId185" Type="http://schemas.openxmlformats.org/officeDocument/2006/relationships/hyperlink" Target="https://www.instagram.com/danielfelipemartinezp/" TargetMode="External"/><Relationship Id="rId9" Type="http://schemas.openxmlformats.org/officeDocument/2006/relationships/hyperlink" Target="https://twitter.com/PhilippeGilbert?lang=fr" TargetMode="External"/><Relationship Id="rId210" Type="http://schemas.openxmlformats.org/officeDocument/2006/relationships/hyperlink" Target="https://www.facebook.com/matteo.trentin.79" TargetMode="External"/><Relationship Id="rId26" Type="http://schemas.openxmlformats.org/officeDocument/2006/relationships/hyperlink" Target="https://twitter.com/wian88" TargetMode="External"/><Relationship Id="rId231" Type="http://schemas.openxmlformats.org/officeDocument/2006/relationships/hyperlink" Target="https://www.instagram.com/tadejpogacar/?hl=fr" TargetMode="External"/><Relationship Id="rId252" Type="http://schemas.openxmlformats.org/officeDocument/2006/relationships/hyperlink" Target="https://www.tiktok.com/@davidgauduoff" TargetMode="External"/><Relationship Id="rId47" Type="http://schemas.openxmlformats.org/officeDocument/2006/relationships/hyperlink" Target="https://www.facebook.com/rafalmajkaofficial/?ref=br_rs" TargetMode="External"/><Relationship Id="rId68" Type="http://schemas.openxmlformats.org/officeDocument/2006/relationships/hyperlink" Target="https://www.facebook.com/dylangroenewegen/" TargetMode="External"/><Relationship Id="rId89" Type="http://schemas.openxmlformats.org/officeDocument/2006/relationships/hyperlink" Target="https://www.facebook.com/matmohoric/" TargetMode="External"/><Relationship Id="rId112" Type="http://schemas.openxmlformats.org/officeDocument/2006/relationships/hyperlink" Target="https://twitter.com/EvenepoelRemco" TargetMode="External"/><Relationship Id="rId133" Type="http://schemas.openxmlformats.org/officeDocument/2006/relationships/hyperlink" Target="https://twitter.com/BrandonMcNult" TargetMode="External"/><Relationship Id="rId154" Type="http://schemas.openxmlformats.org/officeDocument/2006/relationships/hyperlink" Target="https://www.instagram.com/tompidcock/" TargetMode="External"/><Relationship Id="rId175" Type="http://schemas.openxmlformats.org/officeDocument/2006/relationships/hyperlink" Target="https://www.instagram.com/gannafilippo/" TargetMode="External"/><Relationship Id="rId196" Type="http://schemas.openxmlformats.org/officeDocument/2006/relationships/hyperlink" Target="https://www.facebook.com/carlos.veronaquintanilla" TargetMode="External"/><Relationship Id="rId200" Type="http://schemas.openxmlformats.org/officeDocument/2006/relationships/hyperlink" Target="https://www.instagram.com/albertobettio/?hl=fr" TargetMode="External"/><Relationship Id="rId16" Type="http://schemas.openxmlformats.org/officeDocument/2006/relationships/hyperlink" Target="https://www.instagram.com/geraintthomas86/?hl=fr" TargetMode="External"/><Relationship Id="rId221" Type="http://schemas.openxmlformats.org/officeDocument/2006/relationships/hyperlink" Target="https://www.facebook.com/masnada.fausto" TargetMode="External"/><Relationship Id="rId242" Type="http://schemas.openxmlformats.org/officeDocument/2006/relationships/hyperlink" Target="https://www.tiktok.com/@rigouran" TargetMode="External"/><Relationship Id="rId37" Type="http://schemas.openxmlformats.org/officeDocument/2006/relationships/hyperlink" Target="https://www.facebook.com/PhilippeGilbertOfficial/" TargetMode="External"/><Relationship Id="rId58" Type="http://schemas.openxmlformats.org/officeDocument/2006/relationships/hyperlink" Target="https://www.facebook.com/andreyamadoroficial/" TargetMode="External"/><Relationship Id="rId79" Type="http://schemas.openxmlformats.org/officeDocument/2006/relationships/hyperlink" Target="https://www.facebook.com/DavidGauduofficiel/" TargetMode="External"/><Relationship Id="rId102" Type="http://schemas.openxmlformats.org/officeDocument/2006/relationships/hyperlink" Target="https://twitter.com/ArnaudDemare?lang=fr" TargetMode="External"/><Relationship Id="rId123" Type="http://schemas.openxmlformats.org/officeDocument/2006/relationships/hyperlink" Target="https://twitter.com/Jasperstuyven" TargetMode="External"/><Relationship Id="rId144" Type="http://schemas.openxmlformats.org/officeDocument/2006/relationships/hyperlink" Target="https://www.instagram.com/eliaviviani/?hl=fr" TargetMode="External"/><Relationship Id="rId90" Type="http://schemas.openxmlformats.org/officeDocument/2006/relationships/hyperlink" Target="https://www.facebook.com/GiacomoNizzolo" TargetMode="External"/><Relationship Id="rId165" Type="http://schemas.openxmlformats.org/officeDocument/2006/relationships/hyperlink" Target="https://www.instagram.com/sonnycolbrelli/" TargetMode="External"/><Relationship Id="rId186" Type="http://schemas.openxmlformats.org/officeDocument/2006/relationships/hyperlink" Target="https://www.instagram.com/ben0c0nnor/" TargetMode="External"/><Relationship Id="rId211" Type="http://schemas.openxmlformats.org/officeDocument/2006/relationships/hyperlink" Target="https://twitter.com/MATTEOTRENTIN" TargetMode="External"/><Relationship Id="rId232" Type="http://schemas.openxmlformats.org/officeDocument/2006/relationships/hyperlink" Target="https://www.instagram.com/dylanvanbaarle/?hl=fr" TargetMode="External"/><Relationship Id="rId253" Type="http://schemas.openxmlformats.org/officeDocument/2006/relationships/hyperlink" Target="https://www.tiktok.com/@alberto_bettio" TargetMode="External"/><Relationship Id="rId27" Type="http://schemas.openxmlformats.org/officeDocument/2006/relationships/hyperlink" Target="https://www.facebook.com/richardcarapazoficial" TargetMode="External"/><Relationship Id="rId48" Type="http://schemas.openxmlformats.org/officeDocument/2006/relationships/hyperlink" Target="https://www.facebook.com/mathieu.vanderpoel/" TargetMode="External"/><Relationship Id="rId69" Type="http://schemas.openxmlformats.org/officeDocument/2006/relationships/hyperlink" Target="https://www.facebook.com/stevenkruijswijkofficial/" TargetMode="External"/><Relationship Id="rId113" Type="http://schemas.openxmlformats.org/officeDocument/2006/relationships/hyperlink" Target="https://twitter.com/BobJungels" TargetMode="External"/><Relationship Id="rId134" Type="http://schemas.openxmlformats.org/officeDocument/2006/relationships/hyperlink" Target="https://twitter.com/danifmartinez96" TargetMode="External"/><Relationship Id="rId80" Type="http://schemas.openxmlformats.org/officeDocument/2006/relationships/hyperlink" Target="https://www.facebook.com/Kasgreen95" TargetMode="External"/><Relationship Id="rId155" Type="http://schemas.openxmlformats.org/officeDocument/2006/relationships/hyperlink" Target="https://www.instagram.com/sergioandreshiguita/" TargetMode="External"/><Relationship Id="rId176" Type="http://schemas.openxmlformats.org/officeDocument/2006/relationships/hyperlink" Target="https://www.instagram.com/marchirschi/" TargetMode="External"/><Relationship Id="rId197" Type="http://schemas.openxmlformats.org/officeDocument/2006/relationships/hyperlink" Target="https://www.instagram.com/biniam_girmaye_hailu_/?hl=fr" TargetMode="External"/><Relationship Id="rId201" Type="http://schemas.openxmlformats.org/officeDocument/2006/relationships/hyperlink" Target="https://www.instagram.com/taogeogheganhart/?hl=fr" TargetMode="External"/><Relationship Id="rId222" Type="http://schemas.openxmlformats.org/officeDocument/2006/relationships/hyperlink" Target="https://www.facebook.com/PSivakov" TargetMode="External"/><Relationship Id="rId243" Type="http://schemas.openxmlformats.org/officeDocument/2006/relationships/hyperlink" Target="https://www.tiktok.com/@richardcarapaz_oficial" TargetMode="External"/><Relationship Id="rId17" Type="http://schemas.openxmlformats.org/officeDocument/2006/relationships/hyperlink" Target="https://www.instagram.com/alafpolak/?hl=fr" TargetMode="External"/><Relationship Id="rId38" Type="http://schemas.openxmlformats.org/officeDocument/2006/relationships/hyperlink" Target="https://www.facebook.com/richieporteofficial/" TargetMode="External"/><Relationship Id="rId59" Type="http://schemas.openxmlformats.org/officeDocument/2006/relationships/hyperlink" Target="https://www.facebook.com/michaelblingmatthews/" TargetMode="External"/><Relationship Id="rId103" Type="http://schemas.openxmlformats.org/officeDocument/2006/relationships/hyperlink" Target="https://twitter.com/eliaviviani?lang=fr" TargetMode="External"/><Relationship Id="rId124" Type="http://schemas.openxmlformats.org/officeDocument/2006/relationships/hyperlink" Target="https://twitter.com/rogla?lang=fr" TargetMode="External"/><Relationship Id="rId70" Type="http://schemas.openxmlformats.org/officeDocument/2006/relationships/hyperlink" Target="https://www.facebook.com/thomas.degendt" TargetMode="External"/><Relationship Id="rId91" Type="http://schemas.openxmlformats.org/officeDocument/2006/relationships/hyperlink" Target="https://www.facebook.com/sergio.a.garcia.790" TargetMode="External"/><Relationship Id="rId145" Type="http://schemas.openxmlformats.org/officeDocument/2006/relationships/hyperlink" Target="https://www.instagram.com/simonyatess/?hl=fr" TargetMode="External"/><Relationship Id="rId166" Type="http://schemas.openxmlformats.org/officeDocument/2006/relationships/hyperlink" Target="https://www.instagram.com/aleksandr_vlasov/" TargetMode="External"/><Relationship Id="rId187" Type="http://schemas.openxmlformats.org/officeDocument/2006/relationships/hyperlink" Target="https://www.instagram.com/seppkuss/" TargetMode="External"/><Relationship Id="rId1" Type="http://schemas.openxmlformats.org/officeDocument/2006/relationships/hyperlink" Target="https://twitter.com/chrisfroome?lang=fr" TargetMode="External"/><Relationship Id="rId212" Type="http://schemas.openxmlformats.org/officeDocument/2006/relationships/hyperlink" Target="https://twitter.com/JaiHindley" TargetMode="External"/><Relationship Id="rId233" Type="http://schemas.openxmlformats.org/officeDocument/2006/relationships/hyperlink" Target="https://twitter.com/ale_vlasov" TargetMode="External"/><Relationship Id="rId254" Type="http://schemas.openxmlformats.org/officeDocument/2006/relationships/hyperlink" Target="https://www.tiktok.com/@hindleygoat" TargetMode="External"/><Relationship Id="rId28" Type="http://schemas.openxmlformats.org/officeDocument/2006/relationships/hyperlink" Target="https://twitter.com/RichardCarapazM" TargetMode="External"/><Relationship Id="rId49" Type="http://schemas.openxmlformats.org/officeDocument/2006/relationships/hyperlink" Target="https://www.facebook.com/woutvaert/" TargetMode="External"/><Relationship Id="rId114" Type="http://schemas.openxmlformats.org/officeDocument/2006/relationships/hyperlink" Target="https://twitter.com/zdenekstybar" TargetMode="External"/><Relationship Id="rId60" Type="http://schemas.openxmlformats.org/officeDocument/2006/relationships/hyperlink" Target="https://www.facebook.com/EnricMasNicolau1/" TargetMode="External"/><Relationship Id="rId81" Type="http://schemas.openxmlformats.org/officeDocument/2006/relationships/hyperlink" Target="https://www.facebook.com/martinguillaume09/" TargetMode="External"/><Relationship Id="rId135" Type="http://schemas.openxmlformats.org/officeDocument/2006/relationships/hyperlink" Target="https://twitter.com/ben_oconnor95" TargetMode="External"/><Relationship Id="rId156" Type="http://schemas.openxmlformats.org/officeDocument/2006/relationships/hyperlink" Target="https://www.instagram.com/adamyates7" TargetMode="External"/><Relationship Id="rId177" Type="http://schemas.openxmlformats.org/officeDocument/2006/relationships/hyperlink" Target="https://www.instagram.com/matmohoric/" TargetMode="External"/><Relationship Id="rId198" Type="http://schemas.openxmlformats.org/officeDocument/2006/relationships/hyperlink" Target="https://www.facebook.com/albettio2910" TargetMode="External"/><Relationship Id="rId202" Type="http://schemas.openxmlformats.org/officeDocument/2006/relationships/hyperlink" Target="https://twitter.com/taogeoghegan" TargetMode="External"/><Relationship Id="rId223" Type="http://schemas.openxmlformats.org/officeDocument/2006/relationships/hyperlink" Target="https://www.facebook.com/profile.php?id=100057728544191" TargetMode="External"/><Relationship Id="rId244" Type="http://schemas.openxmlformats.org/officeDocument/2006/relationships/hyperlink" Target="https://www.tiktok.com/@markcavendish" TargetMode="External"/><Relationship Id="rId18" Type="http://schemas.openxmlformats.org/officeDocument/2006/relationships/hyperlink" Target="https://twitter.com/estecharu?lang=fr" TargetMode="External"/><Relationship Id="rId39" Type="http://schemas.openxmlformats.org/officeDocument/2006/relationships/hyperlink" Target="https://www.facebook.com/tomdumoulinofficial/" TargetMode="External"/><Relationship Id="rId50" Type="http://schemas.openxmlformats.org/officeDocument/2006/relationships/hyperlink" Target="https://www.facebook.com/BaukeMollema/?ref=br_rs" TargetMode="External"/><Relationship Id="rId104" Type="http://schemas.openxmlformats.org/officeDocument/2006/relationships/hyperlink" Target="https://twitter.com/Kristoff87?lang=fr" TargetMode="External"/><Relationship Id="rId125" Type="http://schemas.openxmlformats.org/officeDocument/2006/relationships/hyperlink" Target="https://twitter.com/mads__pedersen?lang=fr" TargetMode="External"/><Relationship Id="rId146" Type="http://schemas.openxmlformats.org/officeDocument/2006/relationships/hyperlink" Target="https://www.instagram.com/miguelsuperlopez/?hl=fr" TargetMode="External"/><Relationship Id="rId167" Type="http://schemas.openxmlformats.org/officeDocument/2006/relationships/hyperlink" Target="https://www.instagram.com/matmohoric/" TargetMode="External"/><Relationship Id="rId188" Type="http://schemas.openxmlformats.org/officeDocument/2006/relationships/hyperlink" Target="https://www.tiktok.com/@chrisfroome" TargetMode="External"/><Relationship Id="rId71" Type="http://schemas.openxmlformats.org/officeDocument/2006/relationships/hyperlink" Target="https://www.facebook.com/TimWellens199/" TargetMode="External"/><Relationship Id="rId92" Type="http://schemas.openxmlformats.org/officeDocument/2006/relationships/hyperlink" Target="https://twitter.com/albertocontador?lang=fr" TargetMode="External"/><Relationship Id="rId213" Type="http://schemas.openxmlformats.org/officeDocument/2006/relationships/hyperlink" Target="https://www.instagram.com/jhindley_/?hl=fr" TargetMode="External"/><Relationship Id="rId234" Type="http://schemas.openxmlformats.org/officeDocument/2006/relationships/hyperlink" Target="https://www.facebook.com/jfuglsang1" TargetMode="External"/><Relationship Id="rId2" Type="http://schemas.openxmlformats.org/officeDocument/2006/relationships/hyperlink" Target="https://twitter.com/MarkCavendish?lang=fr" TargetMode="External"/><Relationship Id="rId29" Type="http://schemas.openxmlformats.org/officeDocument/2006/relationships/hyperlink" Target="https://www.instagram.com/richardcarapaz/" TargetMode="External"/><Relationship Id="rId255" Type="http://schemas.openxmlformats.org/officeDocument/2006/relationships/printerSettings" Target="../printerSettings/printerSettings3.bin"/><Relationship Id="rId40" Type="http://schemas.openxmlformats.org/officeDocument/2006/relationships/hyperlink" Target="https://www.facebook.com/nikiterpstraracing/" TargetMode="External"/><Relationship Id="rId115" Type="http://schemas.openxmlformats.org/officeDocument/2006/relationships/hyperlink" Target="https://twitter.com/s_kruijswijk" TargetMode="External"/><Relationship Id="rId136" Type="http://schemas.openxmlformats.org/officeDocument/2006/relationships/hyperlink" Target="https://twitter.com/seppkuss" TargetMode="External"/><Relationship Id="rId157" Type="http://schemas.openxmlformats.org/officeDocument/2006/relationships/hyperlink" Target="https://www.instagram.com/joao.almeida.cyclist/" TargetMode="External"/><Relationship Id="rId178" Type="http://schemas.openxmlformats.org/officeDocument/2006/relationships/hyperlink" Target="https://www.instagram.com/aleksandr_vlasov/" TargetMode="External"/><Relationship Id="rId61" Type="http://schemas.openxmlformats.org/officeDocument/2006/relationships/hyperlink" Target="https://www.facebook.com/JasperStuyvenOfficial/" TargetMode="External"/><Relationship Id="rId82" Type="http://schemas.openxmlformats.org/officeDocument/2006/relationships/hyperlink" Target="https://www.facebook.com/Daniel-felipe-martinez-102493254700278" TargetMode="External"/><Relationship Id="rId199" Type="http://schemas.openxmlformats.org/officeDocument/2006/relationships/hyperlink" Target="https://twitter.com/AlbertoBettiol" TargetMode="External"/><Relationship Id="rId203" Type="http://schemas.openxmlformats.org/officeDocument/2006/relationships/hyperlink" Target="https://www.tiktok.com/@eganbernal" TargetMode="External"/><Relationship Id="rId19" Type="http://schemas.openxmlformats.org/officeDocument/2006/relationships/hyperlink" Target="https://twitter.com/WoutvanAert?lang=fr" TargetMode="External"/><Relationship Id="rId224" Type="http://schemas.openxmlformats.org/officeDocument/2006/relationships/hyperlink" Target="https://www.facebook.com/simongeschkeofficial" TargetMode="External"/><Relationship Id="rId245" Type="http://schemas.openxmlformats.org/officeDocument/2006/relationships/hyperlink" Target="https://www.tiktok.com/@vincenzonibali" TargetMode="External"/><Relationship Id="rId30" Type="http://schemas.openxmlformats.org/officeDocument/2006/relationships/hyperlink" Target="https://www.facebook.com/PeterSagan/" TargetMode="External"/><Relationship Id="rId105" Type="http://schemas.openxmlformats.org/officeDocument/2006/relationships/hyperlink" Target="https://twitter.com/mathieuvdpoel?lang=fr" TargetMode="External"/><Relationship Id="rId126" Type="http://schemas.openxmlformats.org/officeDocument/2006/relationships/hyperlink" Target="https://twitter.com/tompidcock" TargetMode="External"/><Relationship Id="rId147" Type="http://schemas.openxmlformats.org/officeDocument/2006/relationships/hyperlink" Target="https://www.instagram.com/dylangroenewegen/" TargetMode="External"/><Relationship Id="rId168" Type="http://schemas.openxmlformats.org/officeDocument/2006/relationships/hyperlink" Target="https://www.instagram.com/marchirschi/" TargetMode="External"/><Relationship Id="rId51" Type="http://schemas.openxmlformats.org/officeDocument/2006/relationships/hyperlink" Target="https://www.facebook.com/Pierre-Rolland-253970257954835/?ref=br_rs" TargetMode="External"/><Relationship Id="rId72" Type="http://schemas.openxmlformats.org/officeDocument/2006/relationships/hyperlink" Target="https://www.facebook.com/chrisfroomeofficial" TargetMode="External"/><Relationship Id="rId93" Type="http://schemas.openxmlformats.org/officeDocument/2006/relationships/hyperlink" Target="https://twitter.com/richie_porte?lang=fr" TargetMode="External"/><Relationship Id="rId189" Type="http://schemas.openxmlformats.org/officeDocument/2006/relationships/hyperlink" Target="https://www.facebook.com/profile.php?id=100063808080154" TargetMode="External"/><Relationship Id="rId3" Type="http://schemas.openxmlformats.org/officeDocument/2006/relationships/hyperlink" Target="https://twitter.com/UranRigoberto?lang=fr" TargetMode="External"/><Relationship Id="rId214" Type="http://schemas.openxmlformats.org/officeDocument/2006/relationships/hyperlink" Target="https://twitter.com/PelloBilbao1990" TargetMode="External"/><Relationship Id="rId235" Type="http://schemas.openxmlformats.org/officeDocument/2006/relationships/hyperlink" Target="https://www.facebook.com/profile.php?id=100063508750458" TargetMode="External"/><Relationship Id="rId256" Type="http://schemas.openxmlformats.org/officeDocument/2006/relationships/vmlDrawing" Target="../drawings/vmlDrawing3.vml"/><Relationship Id="rId116" Type="http://schemas.openxmlformats.org/officeDocument/2006/relationships/hyperlink" Target="https://twitter.com/jakob_fuglsang" TargetMode="External"/><Relationship Id="rId137" Type="http://schemas.openxmlformats.org/officeDocument/2006/relationships/hyperlink" Target="https://twitter.com/sonnycolbrelli" TargetMode="External"/><Relationship Id="rId158" Type="http://schemas.openxmlformats.org/officeDocument/2006/relationships/hyperlink" Target="https://www.instagram.com/jonasvingegaard/" TargetMode="External"/><Relationship Id="rId20" Type="http://schemas.openxmlformats.org/officeDocument/2006/relationships/hyperlink" Target="https://twitter.com/BaukeMollema?lang=fr" TargetMode="External"/><Relationship Id="rId41" Type="http://schemas.openxmlformats.org/officeDocument/2006/relationships/hyperlink" Target="https://www.facebook.com/Warren-Barguil-172034276256368/" TargetMode="External"/><Relationship Id="rId62" Type="http://schemas.openxmlformats.org/officeDocument/2006/relationships/hyperlink" Target="https://twitter.com/andrey_amador?lang=fr" TargetMode="External"/><Relationship Id="rId83" Type="http://schemas.openxmlformats.org/officeDocument/2006/relationships/hyperlink" Target="https://www.facebook.com/AnthonyTurgis" TargetMode="External"/><Relationship Id="rId179" Type="http://schemas.openxmlformats.org/officeDocument/2006/relationships/hyperlink" Target="https://www.instagram.com/sonnycolbrelli/" TargetMode="External"/><Relationship Id="rId190" Type="http://schemas.openxmlformats.org/officeDocument/2006/relationships/hyperlink" Target="https://www.facebook.com/hugohoule" TargetMode="External"/><Relationship Id="rId204" Type="http://schemas.openxmlformats.org/officeDocument/2006/relationships/hyperlink" Target="https://www.tiktok.com/@petosagan_official" TargetMode="External"/><Relationship Id="rId225" Type="http://schemas.openxmlformats.org/officeDocument/2006/relationships/hyperlink" Target="https://www.facebook.com/rohandennisofficial" TargetMode="External"/><Relationship Id="rId246" Type="http://schemas.openxmlformats.org/officeDocument/2006/relationships/hyperlink" Target="https://www.tiktok.com/@evenepoelremco" TargetMode="External"/><Relationship Id="rId106" Type="http://schemas.openxmlformats.org/officeDocument/2006/relationships/hyperlink" Target="https://twitter.com/SupermanlopezN" TargetMode="External"/><Relationship Id="rId127" Type="http://schemas.openxmlformats.org/officeDocument/2006/relationships/hyperlink" Target="https://twitter.com/HiguitSergio" TargetMode="External"/><Relationship Id="rId10" Type="http://schemas.openxmlformats.org/officeDocument/2006/relationships/hyperlink" Target="https://twitter.com/tom_dumoulin?lang=fr" TargetMode="External"/><Relationship Id="rId31" Type="http://schemas.openxmlformats.org/officeDocument/2006/relationships/hyperlink" Target="https://www.facebook.com/nairo.quintana/" TargetMode="External"/><Relationship Id="rId52" Type="http://schemas.openxmlformats.org/officeDocument/2006/relationships/hyperlink" Target="https://www.facebook.com/estebanchavesbta/" TargetMode="External"/><Relationship Id="rId73" Type="http://schemas.openxmlformats.org/officeDocument/2006/relationships/hyperlink" Target="https://www.facebook.com/MadsPedersenAthlet/" TargetMode="External"/><Relationship Id="rId94" Type="http://schemas.openxmlformats.org/officeDocument/2006/relationships/hyperlink" Target="https://twitter.com/kwiato?lang=fr" TargetMode="External"/><Relationship Id="rId148" Type="http://schemas.openxmlformats.org/officeDocument/2006/relationships/hyperlink" Target="https://www.instagram.com/andrey_amador/?hl=fr" TargetMode="External"/><Relationship Id="rId169" Type="http://schemas.openxmlformats.org/officeDocument/2006/relationships/hyperlink" Target="https://www.instagram.com/gannafilippo/" TargetMode="External"/><Relationship Id="rId4" Type="http://schemas.openxmlformats.org/officeDocument/2006/relationships/hyperlink" Target="https://twitter.com/NairoQuinCo?lang=fr" TargetMode="External"/><Relationship Id="rId180" Type="http://schemas.openxmlformats.org/officeDocument/2006/relationships/hyperlink" Target="https://www.instagram.com/joao.almeida.cyclist/" TargetMode="External"/><Relationship Id="rId215" Type="http://schemas.openxmlformats.org/officeDocument/2006/relationships/hyperlink" Target="https://twitter.com/MikelLandaMeana" TargetMode="External"/><Relationship Id="rId236" Type="http://schemas.openxmlformats.org/officeDocument/2006/relationships/hyperlink" Target="https://www.facebook.com/profile.php?id=100063816066334" TargetMode="External"/><Relationship Id="rId257" Type="http://schemas.openxmlformats.org/officeDocument/2006/relationships/table" Target="../tables/table12.xml"/><Relationship Id="rId42" Type="http://schemas.openxmlformats.org/officeDocument/2006/relationships/hyperlink" Target="https://www.facebook.com/ThibautPinot90/" TargetMode="External"/><Relationship Id="rId84" Type="http://schemas.openxmlformats.org/officeDocument/2006/relationships/hyperlink" Target="https://www.facebook.com/Ben-OConnor-1833800736697215/" TargetMode="External"/><Relationship Id="rId138" Type="http://schemas.openxmlformats.org/officeDocument/2006/relationships/hyperlink" Target="https://twitter.com/matmohor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CZ214"/>
  <sheetViews>
    <sheetView topLeftCell="A154" zoomScale="90" zoomScaleNormal="90" workbookViewId="0">
      <pane xSplit="4" topLeftCell="BW1" activePane="topRight" state="frozen"/>
      <selection activeCell="AP173" sqref="AP173"/>
      <selection pane="topRight" activeCell="BX166" sqref="BX166"/>
    </sheetView>
  </sheetViews>
  <sheetFormatPr baseColWidth="10" defaultColWidth="11.42578125" defaultRowHeight="16.5" x14ac:dyDescent="0.3"/>
  <cols>
    <col min="1" max="1" width="5.42578125" style="9" bestFit="1" customWidth="1"/>
    <col min="2" max="2" width="31.5703125" style="9" bestFit="1" customWidth="1"/>
    <col min="3" max="3" width="12.42578125" style="9" bestFit="1" customWidth="1"/>
    <col min="4" max="4" width="21.7109375" style="9" customWidth="1"/>
    <col min="5" max="5" width="9.140625" style="9" hidden="1" customWidth="1"/>
    <col min="6" max="6" width="10" style="9" hidden="1" customWidth="1"/>
    <col min="7" max="8" width="8.85546875" style="9" hidden="1" customWidth="1"/>
    <col min="9" max="9" width="9.140625" style="9" hidden="1" customWidth="1"/>
    <col min="10" max="10" width="8.85546875" style="9" hidden="1" customWidth="1"/>
    <col min="11" max="11" width="9.85546875" style="9" hidden="1" customWidth="1"/>
    <col min="12" max="12" width="9.7109375" style="9" hidden="1" customWidth="1"/>
    <col min="13" max="13" width="8.85546875" style="9" hidden="1" customWidth="1"/>
    <col min="14" max="14" width="9.140625" style="9" hidden="1" customWidth="1"/>
    <col min="15" max="15" width="9" style="9" hidden="1" customWidth="1"/>
    <col min="16" max="16" width="9.5703125" style="9" hidden="1" customWidth="1"/>
    <col min="17" max="17" width="9.140625" style="9" hidden="1" customWidth="1"/>
    <col min="18" max="18" width="10" style="9" hidden="1" customWidth="1"/>
    <col min="19" max="20" width="8.85546875" style="9" hidden="1" customWidth="1"/>
    <col min="21" max="21" width="9.140625" style="9" hidden="1" customWidth="1"/>
    <col min="22" max="22" width="8.85546875" style="9" hidden="1" customWidth="1"/>
    <col min="23" max="23" width="9.85546875" style="9" hidden="1" customWidth="1"/>
    <col min="24" max="24" width="9.7109375" style="9" hidden="1" customWidth="1"/>
    <col min="25" max="25" width="8.85546875" style="9" hidden="1" customWidth="1"/>
    <col min="26" max="26" width="9.140625" style="9" hidden="1" customWidth="1"/>
    <col min="27" max="27" width="9" style="9" hidden="1" customWidth="1"/>
    <col min="28" max="28" width="9.5703125" style="9" hidden="1" customWidth="1"/>
    <col min="29" max="29" width="9.140625" style="9" hidden="1" customWidth="1"/>
    <col min="30" max="30" width="10" style="9" hidden="1" customWidth="1"/>
    <col min="31" max="32" width="8.85546875" style="9" hidden="1" customWidth="1"/>
    <col min="33" max="33" width="9.140625" style="9" hidden="1" customWidth="1"/>
    <col min="34" max="34" width="8.85546875" style="9" hidden="1" customWidth="1"/>
    <col min="35" max="35" width="9.85546875" style="9" hidden="1" customWidth="1"/>
    <col min="36" max="36" width="9.7109375" style="9" hidden="1" customWidth="1"/>
    <col min="37" max="37" width="8.85546875" style="9" hidden="1" customWidth="1"/>
    <col min="38" max="38" width="9.140625" style="9" hidden="1" customWidth="1"/>
    <col min="39" max="39" width="9" style="9" hidden="1" customWidth="1"/>
    <col min="40" max="40" width="9.5703125" style="9" hidden="1" customWidth="1"/>
    <col min="41" max="41" width="8.85546875" style="9" hidden="1" customWidth="1"/>
    <col min="42" max="50" width="11.42578125" style="9" hidden="1" customWidth="1"/>
    <col min="51" max="51" width="12.140625" style="9" hidden="1" customWidth="1"/>
    <col min="52" max="52" width="14.5703125" style="9" hidden="1" customWidth="1"/>
    <col min="53" max="53" width="15.140625" style="9" hidden="1" customWidth="1"/>
    <col min="54" max="54" width="12.85546875" style="9" hidden="1" customWidth="1"/>
    <col min="55" max="55" width="0" style="9" hidden="1" customWidth="1"/>
    <col min="56" max="56" width="14.28515625" style="9" hidden="1" customWidth="1"/>
    <col min="57" max="62" width="0" style="9" hidden="1" customWidth="1"/>
    <col min="63" max="63" width="14.5703125" style="9" hidden="1" customWidth="1"/>
    <col min="64" max="64" width="11.5703125" style="9" hidden="1" customWidth="1"/>
    <col min="65" max="65" width="14.5703125" style="9" hidden="1" customWidth="1"/>
    <col min="66" max="66" width="13.5703125" style="9" hidden="1" customWidth="1"/>
    <col min="67" max="67" width="13.85546875" style="9" hidden="1" customWidth="1"/>
    <col min="68" max="71" width="0" style="9" hidden="1" customWidth="1"/>
    <col min="72" max="73" width="18.140625" style="9" hidden="1" customWidth="1"/>
    <col min="74" max="76" width="18.140625" style="9" customWidth="1"/>
    <col min="77" max="77" width="15.140625" style="9" customWidth="1"/>
    <col min="78" max="78" width="14.5703125" style="9" customWidth="1"/>
    <col min="79" max="98" width="11.42578125" style="9"/>
    <col min="99" max="99" width="15.7109375" style="9" customWidth="1"/>
    <col min="100" max="16384" width="11.42578125" style="9"/>
  </cols>
  <sheetData>
    <row r="1" spans="1:79" x14ac:dyDescent="0.3">
      <c r="A1" s="64" t="s">
        <v>13</v>
      </c>
      <c r="B1" s="65" t="s">
        <v>14</v>
      </c>
      <c r="C1" s="65" t="s">
        <v>54</v>
      </c>
      <c r="D1" s="65" t="s">
        <v>48</v>
      </c>
      <c r="E1" s="66" t="s">
        <v>0</v>
      </c>
      <c r="F1" s="66" t="s">
        <v>1</v>
      </c>
      <c r="G1" s="66" t="s">
        <v>4</v>
      </c>
      <c r="H1" s="66" t="s">
        <v>5</v>
      </c>
      <c r="I1" s="66" t="s">
        <v>6</v>
      </c>
      <c r="J1" s="66" t="s">
        <v>7</v>
      </c>
      <c r="K1" s="66" t="s">
        <v>8</v>
      </c>
      <c r="L1" s="66" t="s">
        <v>9</v>
      </c>
      <c r="M1" s="66" t="s">
        <v>10</v>
      </c>
      <c r="N1" s="66" t="s">
        <v>11</v>
      </c>
      <c r="O1" s="66" t="s">
        <v>12</v>
      </c>
      <c r="P1" s="66" t="s">
        <v>3</v>
      </c>
      <c r="Q1" s="66" t="s">
        <v>2</v>
      </c>
      <c r="R1" s="66" t="s">
        <v>63</v>
      </c>
      <c r="S1" s="66" t="s">
        <v>64</v>
      </c>
      <c r="T1" s="66" t="s">
        <v>65</v>
      </c>
      <c r="U1" s="66" t="s">
        <v>66</v>
      </c>
      <c r="V1" s="66" t="s">
        <v>68</v>
      </c>
      <c r="W1" s="66" t="s">
        <v>69</v>
      </c>
      <c r="X1" s="66" t="s">
        <v>70</v>
      </c>
      <c r="Y1" s="66" t="s">
        <v>71</v>
      </c>
      <c r="Z1" s="66" t="s">
        <v>72</v>
      </c>
      <c r="AA1" s="66" t="s">
        <v>73</v>
      </c>
      <c r="AB1" s="66" t="s">
        <v>75</v>
      </c>
      <c r="AC1" s="66" t="s">
        <v>77</v>
      </c>
      <c r="AD1" s="66" t="s">
        <v>81</v>
      </c>
      <c r="AE1" s="66" t="s">
        <v>84</v>
      </c>
      <c r="AF1" s="66" t="s">
        <v>85</v>
      </c>
      <c r="AG1" s="66" t="s">
        <v>86</v>
      </c>
      <c r="AH1" s="66" t="s">
        <v>99</v>
      </c>
      <c r="AI1" s="66" t="s">
        <v>101</v>
      </c>
      <c r="AJ1" s="66" t="s">
        <v>102</v>
      </c>
      <c r="AK1" s="66" t="s">
        <v>105</v>
      </c>
      <c r="AL1" s="66" t="s">
        <v>106</v>
      </c>
      <c r="AM1" s="66" t="s">
        <v>108</v>
      </c>
      <c r="AN1" s="66" t="s">
        <v>109</v>
      </c>
      <c r="AO1" s="66" t="s">
        <v>110</v>
      </c>
      <c r="AP1" s="66" t="s">
        <v>117</v>
      </c>
      <c r="AQ1" s="66" t="s">
        <v>127</v>
      </c>
      <c r="AR1" s="66" t="s">
        <v>129</v>
      </c>
      <c r="AS1" s="66" t="s">
        <v>131</v>
      </c>
      <c r="AT1" s="66" t="s">
        <v>142</v>
      </c>
      <c r="AU1" s="66" t="s">
        <v>143</v>
      </c>
      <c r="AV1" s="66" t="s">
        <v>151</v>
      </c>
      <c r="AW1" s="66" t="s">
        <v>156</v>
      </c>
      <c r="AX1" s="66" t="s">
        <v>157</v>
      </c>
      <c r="AY1" s="66" t="s">
        <v>163</v>
      </c>
      <c r="AZ1" s="66" t="s">
        <v>164</v>
      </c>
      <c r="BA1" s="66" t="s">
        <v>177</v>
      </c>
      <c r="BB1" s="66" t="s">
        <v>179</v>
      </c>
      <c r="BC1" s="66" t="s">
        <v>183</v>
      </c>
      <c r="BD1" s="66" t="s">
        <v>184</v>
      </c>
      <c r="BE1" s="66" t="s">
        <v>186</v>
      </c>
      <c r="BF1" s="66" t="s">
        <v>188</v>
      </c>
      <c r="BG1" s="66" t="s">
        <v>200</v>
      </c>
      <c r="BH1" s="66" t="s">
        <v>201</v>
      </c>
      <c r="BI1" s="66" t="s">
        <v>203</v>
      </c>
      <c r="BJ1" s="66" t="s">
        <v>207</v>
      </c>
      <c r="BK1" s="66" t="s">
        <v>208</v>
      </c>
      <c r="BL1" s="186" t="s">
        <v>209</v>
      </c>
      <c r="BM1" s="186" t="s">
        <v>154</v>
      </c>
      <c r="BN1" s="186" t="s">
        <v>78</v>
      </c>
      <c r="BO1" s="66" t="s">
        <v>210</v>
      </c>
      <c r="BP1" s="236" t="s">
        <v>211</v>
      </c>
      <c r="BQ1" s="236" t="s">
        <v>214</v>
      </c>
      <c r="BR1" s="236" t="s">
        <v>213</v>
      </c>
      <c r="BS1" s="66" t="s">
        <v>272</v>
      </c>
      <c r="BT1" s="236" t="s">
        <v>330</v>
      </c>
      <c r="BU1" s="236" t="s">
        <v>331</v>
      </c>
      <c r="BV1" s="236" t="s">
        <v>333</v>
      </c>
      <c r="BW1" s="530" t="s">
        <v>389</v>
      </c>
      <c r="BX1" s="541" t="s">
        <v>405</v>
      </c>
      <c r="BZ1" s="552" t="s">
        <v>154</v>
      </c>
      <c r="CA1" s="553" t="s">
        <v>78</v>
      </c>
    </row>
    <row r="2" spans="1:79" x14ac:dyDescent="0.3">
      <c r="A2" s="67">
        <v>1</v>
      </c>
      <c r="B2" s="137" t="s">
        <v>28</v>
      </c>
      <c r="C2" s="136" t="s">
        <v>59</v>
      </c>
      <c r="D2" s="136" t="s">
        <v>51</v>
      </c>
      <c r="E2" s="138">
        <v>1703336</v>
      </c>
      <c r="F2" s="138">
        <v>1706588</v>
      </c>
      <c r="G2" s="138">
        <v>1669924</v>
      </c>
      <c r="H2" s="138">
        <v>1675231</v>
      </c>
      <c r="I2" s="138">
        <v>1691966</v>
      </c>
      <c r="J2" s="138">
        <v>1728145</v>
      </c>
      <c r="K2" s="138">
        <v>1979048</v>
      </c>
      <c r="L2" s="138">
        <v>1996143</v>
      </c>
      <c r="M2" s="138">
        <v>1999456</v>
      </c>
      <c r="N2" s="138">
        <v>2005681</v>
      </c>
      <c r="O2" s="138">
        <v>2011530</v>
      </c>
      <c r="P2" s="138">
        <v>2014656</v>
      </c>
      <c r="Q2" s="138">
        <v>2019152</v>
      </c>
      <c r="R2" s="138">
        <v>2025176</v>
      </c>
      <c r="S2" s="138">
        <v>2037967</v>
      </c>
      <c r="T2" s="138">
        <v>2047923</v>
      </c>
      <c r="U2" s="138">
        <v>2062071</v>
      </c>
      <c r="V2" s="138">
        <v>2092799</v>
      </c>
      <c r="W2" s="138">
        <v>2353251</v>
      </c>
      <c r="X2" s="138">
        <v>2356453</v>
      </c>
      <c r="Y2" s="138">
        <v>2357596</v>
      </c>
      <c r="Z2" s="138">
        <v>2360045</v>
      </c>
      <c r="AA2" s="138">
        <v>2361561</v>
      </c>
      <c r="AB2" s="138">
        <v>2359186</v>
      </c>
      <c r="AC2" s="138">
        <v>2357968</v>
      </c>
      <c r="AD2" s="138">
        <v>2358897</v>
      </c>
      <c r="AE2" s="138">
        <v>2358795</v>
      </c>
      <c r="AF2" s="138">
        <v>2358891</v>
      </c>
      <c r="AG2" s="138">
        <v>2367253</v>
      </c>
      <c r="AH2" s="138">
        <v>2443722</v>
      </c>
      <c r="AI2" s="138">
        <v>2577873</v>
      </c>
      <c r="AJ2" s="138">
        <v>2574634</v>
      </c>
      <c r="AK2" s="138">
        <v>2569968</v>
      </c>
      <c r="AL2" s="138">
        <v>2570631</v>
      </c>
      <c r="AM2" s="138">
        <v>2568194</v>
      </c>
      <c r="AN2" s="138">
        <v>2565394</v>
      </c>
      <c r="AO2" s="138">
        <v>2563496</v>
      </c>
      <c r="AP2" s="138">
        <v>2561121</v>
      </c>
      <c r="AQ2" s="138">
        <v>2558511</v>
      </c>
      <c r="AR2" s="138">
        <v>2551705</v>
      </c>
      <c r="AS2" s="138">
        <v>2548652</v>
      </c>
      <c r="AT2" s="138">
        <v>2553740</v>
      </c>
      <c r="AU2" s="138">
        <v>2661037</v>
      </c>
      <c r="AV2" s="138">
        <v>2657532</v>
      </c>
      <c r="AW2" s="138">
        <v>2654286</v>
      </c>
      <c r="AX2" s="138">
        <v>2652631</v>
      </c>
      <c r="AY2" s="138">
        <v>2645305</v>
      </c>
      <c r="AZ2" s="138">
        <v>2641410</v>
      </c>
      <c r="BA2" s="138">
        <v>2642992</v>
      </c>
      <c r="BB2" s="138">
        <v>2640562</v>
      </c>
      <c r="BC2" s="138">
        <v>2640065</v>
      </c>
      <c r="BD2" s="138">
        <v>2639044</v>
      </c>
      <c r="BE2" s="138">
        <v>2640852</v>
      </c>
      <c r="BF2" s="138">
        <v>2649411</v>
      </c>
      <c r="BG2" s="138">
        <v>2735045</v>
      </c>
      <c r="BH2" s="138">
        <v>2738028</v>
      </c>
      <c r="BI2" s="138">
        <v>2736122</v>
      </c>
      <c r="BJ2" s="138">
        <v>2739983</v>
      </c>
      <c r="BK2" s="138">
        <v>2736730</v>
      </c>
      <c r="BL2" s="229">
        <v>2729790</v>
      </c>
      <c r="BM2" s="201">
        <f>(Tableau1[[#This Row],[mars-20]]-Tableau1[[#This Row],[dec-19]])/Tableau1[[#This Row],[dec-19]]</f>
        <v>-2.5358731040329152E-3</v>
      </c>
      <c r="BN2" s="188">
        <f>Tableau1[[#This Row],[mars-20]]-Tableau1[[#This Row],[dec-19]]</f>
        <v>-6940</v>
      </c>
      <c r="BO2" s="21">
        <v>2820416</v>
      </c>
      <c r="BP2" s="234">
        <v>2821067</v>
      </c>
      <c r="BQ2" s="234">
        <v>2891979</v>
      </c>
      <c r="BR2" s="234">
        <v>2859150</v>
      </c>
      <c r="BS2" s="21">
        <v>2856673</v>
      </c>
      <c r="BT2" s="21">
        <v>2989211</v>
      </c>
      <c r="BU2" s="234">
        <v>2989183</v>
      </c>
      <c r="BV2" s="234">
        <v>2900000</v>
      </c>
      <c r="BW2" s="21">
        <v>2900000</v>
      </c>
      <c r="BX2" s="234">
        <v>3000000</v>
      </c>
      <c r="BY2" s="21"/>
      <c r="BZ2" s="554">
        <f>(Tableau1[[#This Row],[juin-24]]-Tableau1[[#This Row],[avr-24]])/Tableau1[[#This Row],[avr-24]]</f>
        <v>3.4482758620689655E-2</v>
      </c>
      <c r="CA2" s="548">
        <f>Tableau1[[#This Row],[juin-24]]-Tableau1[[#This Row],[avr-24]]</f>
        <v>100000</v>
      </c>
    </row>
    <row r="3" spans="1:79" s="12" customFormat="1" x14ac:dyDescent="0.3">
      <c r="A3" s="68">
        <v>2</v>
      </c>
      <c r="B3" s="61" t="s">
        <v>125</v>
      </c>
      <c r="C3" s="56" t="s">
        <v>59</v>
      </c>
      <c r="D3" s="56" t="s">
        <v>51</v>
      </c>
      <c r="E3" s="69">
        <v>534913</v>
      </c>
      <c r="F3" s="69">
        <v>535540</v>
      </c>
      <c r="G3" s="69">
        <v>524321</v>
      </c>
      <c r="H3" s="69">
        <v>532710</v>
      </c>
      <c r="I3" s="69">
        <v>677379</v>
      </c>
      <c r="J3" s="69">
        <v>679482</v>
      </c>
      <c r="K3" s="69">
        <v>684102</v>
      </c>
      <c r="L3" s="69">
        <v>685242</v>
      </c>
      <c r="M3" s="69">
        <v>685035</v>
      </c>
      <c r="N3" s="69">
        <v>685471</v>
      </c>
      <c r="O3" s="69">
        <v>685145</v>
      </c>
      <c r="P3" s="69">
        <v>684187</v>
      </c>
      <c r="Q3" s="69">
        <v>684883</v>
      </c>
      <c r="R3" s="69">
        <v>685374</v>
      </c>
      <c r="S3" s="69">
        <v>686757</v>
      </c>
      <c r="T3" s="69">
        <v>724604</v>
      </c>
      <c r="U3" s="69">
        <v>887039</v>
      </c>
      <c r="V3" s="69">
        <v>889371</v>
      </c>
      <c r="W3" s="69">
        <v>894567</v>
      </c>
      <c r="X3" s="69">
        <v>894895</v>
      </c>
      <c r="Y3" s="69">
        <v>895772</v>
      </c>
      <c r="Z3" s="69">
        <v>896862</v>
      </c>
      <c r="AA3" s="69">
        <v>897252</v>
      </c>
      <c r="AB3" s="69">
        <v>897199</v>
      </c>
      <c r="AC3" s="69">
        <v>899224</v>
      </c>
      <c r="AD3" s="69">
        <v>900097</v>
      </c>
      <c r="AE3" s="69">
        <v>901720</v>
      </c>
      <c r="AF3" s="69">
        <v>909811</v>
      </c>
      <c r="AG3" s="69">
        <v>1083393</v>
      </c>
      <c r="AH3" s="69">
        <v>1084610</v>
      </c>
      <c r="AI3" s="69">
        <v>1085398</v>
      </c>
      <c r="AJ3" s="69">
        <v>1085213</v>
      </c>
      <c r="AK3" s="69">
        <v>1085131</v>
      </c>
      <c r="AL3" s="69">
        <v>1084418</v>
      </c>
      <c r="AM3" s="69">
        <v>1084698</v>
      </c>
      <c r="AN3" s="69">
        <v>1085471</v>
      </c>
      <c r="AO3" s="69">
        <v>1086720</v>
      </c>
      <c r="AP3" s="69">
        <v>1087313</v>
      </c>
      <c r="AQ3" s="69">
        <v>1087003</v>
      </c>
      <c r="AR3" s="69">
        <v>1093731</v>
      </c>
      <c r="AS3" s="69">
        <v>1177961</v>
      </c>
      <c r="AT3" s="69">
        <v>1176378</v>
      </c>
      <c r="AU3" s="69">
        <v>1175278</v>
      </c>
      <c r="AV3" s="69">
        <v>1173445</v>
      </c>
      <c r="AW3" s="69">
        <v>1172231</v>
      </c>
      <c r="AX3" s="69">
        <v>1171371</v>
      </c>
      <c r="AY3" s="69">
        <v>1170162</v>
      </c>
      <c r="AZ3" s="69">
        <v>1168570</v>
      </c>
      <c r="BA3" s="69">
        <v>1167801</v>
      </c>
      <c r="BB3" s="69">
        <v>1166506</v>
      </c>
      <c r="BC3" s="69">
        <v>1165740</v>
      </c>
      <c r="BD3" s="69">
        <v>1166956</v>
      </c>
      <c r="BE3" s="69">
        <v>1232743</v>
      </c>
      <c r="BF3" s="69">
        <v>1324835</v>
      </c>
      <c r="BG3" s="69">
        <v>1325004</v>
      </c>
      <c r="BH3" s="69">
        <v>1323774</v>
      </c>
      <c r="BI3" s="69">
        <v>1322042</v>
      </c>
      <c r="BJ3" s="69">
        <v>1342663</v>
      </c>
      <c r="BK3" s="69">
        <v>1341216</v>
      </c>
      <c r="BL3" s="69">
        <v>1343674</v>
      </c>
      <c r="BM3" s="202">
        <f>(Tableau1[[#This Row],[mars-20]]-Tableau1[[#This Row],[dec-19]])/Tableau1[[#This Row],[dec-19]]</f>
        <v>1.8326652828478038E-3</v>
      </c>
      <c r="BN3" s="187">
        <f>Tableau1[[#This Row],[mars-20]]-Tableau1[[#This Row],[dec-19]]</f>
        <v>2458</v>
      </c>
      <c r="BO3" s="21">
        <v>1373755</v>
      </c>
      <c r="BP3" s="234">
        <v>1434647</v>
      </c>
      <c r="BQ3" s="234">
        <v>1641353</v>
      </c>
      <c r="BR3" s="234">
        <v>1596180</v>
      </c>
      <c r="BS3" s="21">
        <v>1595287</v>
      </c>
      <c r="BT3" s="21">
        <v>1756623</v>
      </c>
      <c r="BU3" s="21">
        <v>1763250</v>
      </c>
      <c r="BV3" s="234">
        <v>1786754</v>
      </c>
      <c r="BW3" s="21">
        <v>1800000</v>
      </c>
      <c r="BX3" s="234">
        <v>1900000</v>
      </c>
      <c r="BY3" s="21"/>
      <c r="BZ3" s="554">
        <f>(Tableau1[[#This Row],[juin-24]]-Tableau1[[#This Row],[avr-24]])/Tableau1[[#This Row],[avr-24]]</f>
        <v>5.5555555555555552E-2</v>
      </c>
      <c r="CA3" s="548">
        <f>Tableau1[[#This Row],[juin-24]]-Tableau1[[#This Row],[avr-24]]</f>
        <v>100000</v>
      </c>
    </row>
    <row r="4" spans="1:79" x14ac:dyDescent="0.3">
      <c r="A4" s="70">
        <v>4</v>
      </c>
      <c r="B4" s="61" t="s">
        <v>74</v>
      </c>
      <c r="C4" s="71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3"/>
      <c r="S4" s="73"/>
      <c r="T4" s="73"/>
      <c r="U4" s="73"/>
      <c r="V4" s="73"/>
      <c r="W4" s="73"/>
      <c r="X4" s="73"/>
      <c r="Y4" s="73"/>
      <c r="Z4" s="73"/>
      <c r="AA4" s="73">
        <v>388470</v>
      </c>
      <c r="AB4" s="73">
        <v>401912</v>
      </c>
      <c r="AC4" s="73">
        <v>407307</v>
      </c>
      <c r="AD4" s="73">
        <v>414166</v>
      </c>
      <c r="AE4" s="73">
        <v>462919</v>
      </c>
      <c r="AF4" s="73">
        <v>469265</v>
      </c>
      <c r="AG4" s="73">
        <v>470482</v>
      </c>
      <c r="AH4" s="73">
        <v>497676</v>
      </c>
      <c r="AI4" s="73">
        <v>511833</v>
      </c>
      <c r="AJ4" s="73">
        <v>513403</v>
      </c>
      <c r="AK4" s="73">
        <v>522878</v>
      </c>
      <c r="AL4" s="73">
        <v>524568</v>
      </c>
      <c r="AM4" s="73">
        <v>525894</v>
      </c>
      <c r="AN4" s="73">
        <v>527561</v>
      </c>
      <c r="AO4" s="73">
        <v>531839</v>
      </c>
      <c r="AP4" s="73">
        <v>533444</v>
      </c>
      <c r="AQ4" s="73">
        <v>536335</v>
      </c>
      <c r="AR4" s="73">
        <v>537556</v>
      </c>
      <c r="AS4" s="73">
        <v>538733</v>
      </c>
      <c r="AT4" s="73">
        <v>540494</v>
      </c>
      <c r="AU4" s="73">
        <v>542252</v>
      </c>
      <c r="AV4" s="73">
        <v>544577</v>
      </c>
      <c r="AW4" s="73">
        <v>553133</v>
      </c>
      <c r="AX4" s="73">
        <v>554406</v>
      </c>
      <c r="AY4" s="111">
        <v>554884</v>
      </c>
      <c r="AZ4" s="111">
        <v>555632</v>
      </c>
      <c r="BA4" s="111">
        <v>556334</v>
      </c>
      <c r="BB4" s="111">
        <v>559782</v>
      </c>
      <c r="BC4" s="111">
        <v>560725</v>
      </c>
      <c r="BD4" s="111">
        <v>561616</v>
      </c>
      <c r="BE4" s="111">
        <v>563214</v>
      </c>
      <c r="BF4" s="111">
        <v>563864</v>
      </c>
      <c r="BG4" s="111">
        <v>565818</v>
      </c>
      <c r="BH4" s="111">
        <v>566351</v>
      </c>
      <c r="BI4" s="111">
        <v>573151</v>
      </c>
      <c r="BJ4" s="111">
        <v>573272</v>
      </c>
      <c r="BK4" s="111">
        <v>573208</v>
      </c>
      <c r="BL4" s="189">
        <v>573359</v>
      </c>
      <c r="BM4" s="202">
        <f>(Tableau1[[#This Row],[mars-20]]-Tableau1[[#This Row],[dec-19]])/Tableau1[[#This Row],[dec-19]]</f>
        <v>2.6342967997655301E-4</v>
      </c>
      <c r="BN4" s="187">
        <f>Tableau1[[#This Row],[mars-20]]-Tableau1[[#This Row],[dec-19]]</f>
        <v>151</v>
      </c>
      <c r="BO4" s="21">
        <v>586900</v>
      </c>
      <c r="BP4" s="234">
        <v>592524</v>
      </c>
      <c r="BQ4" s="234">
        <v>668250</v>
      </c>
      <c r="BR4" s="234">
        <v>711735</v>
      </c>
      <c r="BS4" s="21">
        <v>742393</v>
      </c>
      <c r="BT4" s="234">
        <v>830907</v>
      </c>
      <c r="BU4" s="234">
        <v>833000</v>
      </c>
      <c r="BV4" s="234">
        <v>870000</v>
      </c>
      <c r="BW4" s="21">
        <v>899000</v>
      </c>
      <c r="BX4" s="234">
        <v>906000</v>
      </c>
      <c r="BY4" s="234"/>
      <c r="BZ4" s="554">
        <f>(Tableau1[[#This Row],[juin-24]]-Tableau1[[#This Row],[avr-24]])/Tableau1[[#This Row],[avr-24]]</f>
        <v>7.7864293659621799E-3</v>
      </c>
      <c r="CA4" s="548">
        <f>Tableau1[[#This Row],[juin-24]]-Tableau1[[#This Row],[avr-24]]</f>
        <v>7000</v>
      </c>
    </row>
    <row r="5" spans="1:79" ht="16.5" customHeight="1" x14ac:dyDescent="0.3">
      <c r="A5" s="67">
        <v>3</v>
      </c>
      <c r="B5" s="137" t="s">
        <v>126</v>
      </c>
      <c r="C5" s="136" t="s">
        <v>59</v>
      </c>
      <c r="D5" s="136" t="s">
        <v>51</v>
      </c>
      <c r="E5" s="138">
        <v>126265</v>
      </c>
      <c r="F5" s="138">
        <v>126726</v>
      </c>
      <c r="G5" s="138">
        <v>126022</v>
      </c>
      <c r="H5" s="138">
        <v>126695</v>
      </c>
      <c r="I5" s="138">
        <v>130617</v>
      </c>
      <c r="J5" s="138">
        <v>132006</v>
      </c>
      <c r="K5" s="138">
        <v>136995</v>
      </c>
      <c r="L5" s="138">
        <v>165465</v>
      </c>
      <c r="M5" s="138">
        <v>167368</v>
      </c>
      <c r="N5" s="138">
        <v>170376</v>
      </c>
      <c r="O5" s="138">
        <v>172117</v>
      </c>
      <c r="P5" s="138">
        <v>174328</v>
      </c>
      <c r="Q5" s="138">
        <v>177490</v>
      </c>
      <c r="R5" s="138">
        <v>179746</v>
      </c>
      <c r="S5" s="138">
        <v>185933</v>
      </c>
      <c r="T5" s="138">
        <v>189938</v>
      </c>
      <c r="U5" s="138">
        <v>197240</v>
      </c>
      <c r="V5" s="138">
        <v>199085</v>
      </c>
      <c r="W5" s="138">
        <v>205139</v>
      </c>
      <c r="X5" s="138">
        <v>232045</v>
      </c>
      <c r="Y5" s="138">
        <v>256477</v>
      </c>
      <c r="Z5" s="138">
        <v>258007</v>
      </c>
      <c r="AA5" s="138">
        <v>258107</v>
      </c>
      <c r="AB5" s="138">
        <v>258365</v>
      </c>
      <c r="AC5" s="138">
        <v>261131</v>
      </c>
      <c r="AD5" s="138">
        <v>261543</v>
      </c>
      <c r="AE5" s="138">
        <v>262579</v>
      </c>
      <c r="AF5" s="138">
        <v>263653</v>
      </c>
      <c r="AG5" s="138">
        <v>269126</v>
      </c>
      <c r="AH5" s="138">
        <v>269900</v>
      </c>
      <c r="AI5" s="138">
        <v>272291</v>
      </c>
      <c r="AJ5" s="138">
        <v>304185</v>
      </c>
      <c r="AK5" s="138">
        <v>320603</v>
      </c>
      <c r="AL5" s="138">
        <v>320530</v>
      </c>
      <c r="AM5" s="138">
        <v>320717</v>
      </c>
      <c r="AN5" s="138">
        <v>321939</v>
      </c>
      <c r="AO5" s="138">
        <v>323198</v>
      </c>
      <c r="AP5" s="138">
        <v>323513</v>
      </c>
      <c r="AQ5" s="138">
        <v>323600</v>
      </c>
      <c r="AR5" s="138">
        <v>323332</v>
      </c>
      <c r="AS5" s="138">
        <v>323366</v>
      </c>
      <c r="AT5" s="138">
        <v>323410</v>
      </c>
      <c r="AU5" s="138">
        <v>323611</v>
      </c>
      <c r="AV5" s="138">
        <v>334251</v>
      </c>
      <c r="AW5" s="138">
        <v>349940</v>
      </c>
      <c r="AX5" s="138">
        <v>349640</v>
      </c>
      <c r="AY5" s="138">
        <v>349134</v>
      </c>
      <c r="AZ5" s="138">
        <v>349266</v>
      </c>
      <c r="BA5" s="138">
        <v>348847</v>
      </c>
      <c r="BB5" s="138">
        <v>348487</v>
      </c>
      <c r="BC5" s="138">
        <v>348335</v>
      </c>
      <c r="BD5" s="138">
        <v>348155</v>
      </c>
      <c r="BE5" s="138">
        <v>348000</v>
      </c>
      <c r="BF5" s="69">
        <v>348973</v>
      </c>
      <c r="BG5" s="69">
        <v>349763</v>
      </c>
      <c r="BH5" s="69">
        <v>361906</v>
      </c>
      <c r="BI5" s="69">
        <v>366597</v>
      </c>
      <c r="BJ5" s="69">
        <v>366303</v>
      </c>
      <c r="BK5" s="69">
        <v>365906</v>
      </c>
      <c r="BL5" s="189">
        <v>365511</v>
      </c>
      <c r="BM5" s="202">
        <f>(Tableau1[[#This Row],[mars-20]]-Tableau1[[#This Row],[dec-19]])/Tableau1[[#This Row],[dec-19]]</f>
        <v>-1.0795122244510885E-3</v>
      </c>
      <c r="BN5" s="187">
        <f>Tableau1[[#This Row],[mars-20]]-Tableau1[[#This Row],[dec-19]]</f>
        <v>-395</v>
      </c>
      <c r="BO5" s="21">
        <v>366152</v>
      </c>
      <c r="BP5" s="234">
        <v>432474</v>
      </c>
      <c r="BQ5" s="234">
        <v>520330</v>
      </c>
      <c r="BR5" s="234">
        <v>485522</v>
      </c>
      <c r="BS5" s="21">
        <v>484926</v>
      </c>
      <c r="BT5" s="234">
        <v>561861</v>
      </c>
      <c r="BU5" s="234">
        <v>571324</v>
      </c>
      <c r="BV5" s="234">
        <v>538396</v>
      </c>
      <c r="BW5" s="21">
        <v>619000</v>
      </c>
      <c r="BX5" s="234">
        <v>619000</v>
      </c>
      <c r="BY5" s="234"/>
      <c r="BZ5" s="554">
        <f>(Tableau1[[#This Row],[juin-24]]-Tableau1[[#This Row],[avr-24]])/Tableau1[[#This Row],[avr-24]]</f>
        <v>0</v>
      </c>
      <c r="CA5" s="548">
        <f>Tableau1[[#This Row],[juin-24]]-Tableau1[[#This Row],[avr-24]]</f>
        <v>0</v>
      </c>
    </row>
    <row r="6" spans="1:79" ht="16.5" customHeight="1" x14ac:dyDescent="0.3">
      <c r="A6" s="67">
        <v>6</v>
      </c>
      <c r="B6" s="137" t="s">
        <v>22</v>
      </c>
      <c r="C6" s="56" t="s">
        <v>59</v>
      </c>
      <c r="D6" s="136" t="s">
        <v>50</v>
      </c>
      <c r="E6" s="138">
        <v>20272</v>
      </c>
      <c r="F6" s="138">
        <v>20627</v>
      </c>
      <c r="G6" s="138">
        <v>21340</v>
      </c>
      <c r="H6" s="138">
        <v>29651</v>
      </c>
      <c r="I6" s="138">
        <v>29757</v>
      </c>
      <c r="J6" s="138">
        <v>29809</v>
      </c>
      <c r="K6" s="138">
        <v>29888</v>
      </c>
      <c r="L6" s="138">
        <v>29910</v>
      </c>
      <c r="M6" s="138">
        <v>29888</v>
      </c>
      <c r="N6" s="138">
        <v>29893</v>
      </c>
      <c r="O6" s="138">
        <v>29962</v>
      </c>
      <c r="P6" s="138">
        <v>30011</v>
      </c>
      <c r="Q6" s="138">
        <v>30095</v>
      </c>
      <c r="R6" s="138">
        <v>30567</v>
      </c>
      <c r="S6" s="138">
        <v>31654</v>
      </c>
      <c r="T6" s="138">
        <v>49291</v>
      </c>
      <c r="U6" s="138">
        <v>49405</v>
      </c>
      <c r="V6" s="138">
        <v>49407</v>
      </c>
      <c r="W6" s="138">
        <v>49367</v>
      </c>
      <c r="X6" s="138">
        <v>49338</v>
      </c>
      <c r="Y6" s="138">
        <v>49303</v>
      </c>
      <c r="Z6" s="138">
        <v>49249</v>
      </c>
      <c r="AA6" s="138">
        <v>49623</v>
      </c>
      <c r="AB6" s="138">
        <v>49637</v>
      </c>
      <c r="AC6" s="138">
        <v>49728</v>
      </c>
      <c r="AD6" s="138">
        <v>52127</v>
      </c>
      <c r="AE6" s="138">
        <v>60889</v>
      </c>
      <c r="AF6" s="138">
        <v>75307</v>
      </c>
      <c r="AG6" s="138">
        <v>76065</v>
      </c>
      <c r="AH6" s="138">
        <v>78134</v>
      </c>
      <c r="AI6" s="138">
        <v>79508</v>
      </c>
      <c r="AJ6" s="138">
        <v>79679</v>
      </c>
      <c r="AK6" s="138">
        <v>79812</v>
      </c>
      <c r="AL6" s="138">
        <v>92815</v>
      </c>
      <c r="AM6" s="138">
        <v>92931</v>
      </c>
      <c r="AN6" s="138">
        <v>93059</v>
      </c>
      <c r="AO6" s="138">
        <v>93270</v>
      </c>
      <c r="AP6" s="138">
        <v>93802</v>
      </c>
      <c r="AQ6" s="138">
        <v>96528</v>
      </c>
      <c r="AR6" s="138">
        <v>119065</v>
      </c>
      <c r="AS6" s="138">
        <v>118842</v>
      </c>
      <c r="AT6" s="138">
        <v>118814</v>
      </c>
      <c r="AU6" s="138">
        <v>119094</v>
      </c>
      <c r="AV6" s="138">
        <v>118982</v>
      </c>
      <c r="AW6" s="138">
        <v>118874</v>
      </c>
      <c r="AX6" s="138">
        <v>118870</v>
      </c>
      <c r="AY6" s="138">
        <v>118812</v>
      </c>
      <c r="AZ6" s="138">
        <v>118688</v>
      </c>
      <c r="BA6" s="138">
        <v>118719</v>
      </c>
      <c r="BB6" s="138">
        <v>118790</v>
      </c>
      <c r="BC6" s="138">
        <v>119230</v>
      </c>
      <c r="BD6" s="138">
        <v>126315</v>
      </c>
      <c r="BE6" s="138">
        <v>126588</v>
      </c>
      <c r="BF6" s="138">
        <v>126597</v>
      </c>
      <c r="BG6" s="138">
        <v>126731</v>
      </c>
      <c r="BH6" s="138">
        <v>126541</v>
      </c>
      <c r="BI6" s="138">
        <v>126395</v>
      </c>
      <c r="BJ6" s="138">
        <v>126280</v>
      </c>
      <c r="BK6" s="138">
        <v>126277</v>
      </c>
      <c r="BL6" s="138">
        <v>126608</v>
      </c>
      <c r="BM6" s="202">
        <f>(Tableau1[[#This Row],[mars-20]]-Tableau1[[#This Row],[dec-19]])/Tableau1[[#This Row],[dec-19]]</f>
        <v>2.6212216001330409E-3</v>
      </c>
      <c r="BN6" s="187">
        <f>Tableau1[[#This Row],[mars-20]]-Tableau1[[#This Row],[dec-19]]</f>
        <v>331</v>
      </c>
      <c r="BO6" s="21">
        <v>128235</v>
      </c>
      <c r="BP6" s="234">
        <v>128597</v>
      </c>
      <c r="BQ6" s="250">
        <v>134449</v>
      </c>
      <c r="BR6" s="250">
        <v>137277</v>
      </c>
      <c r="BS6" s="251">
        <v>139674</v>
      </c>
      <c r="BT6" s="250">
        <v>146052</v>
      </c>
      <c r="BU6" s="250">
        <v>146093</v>
      </c>
      <c r="BV6" s="250">
        <v>144984</v>
      </c>
      <c r="BW6" s="251">
        <v>162000</v>
      </c>
      <c r="BX6" s="250">
        <v>162000</v>
      </c>
      <c r="BY6" s="250"/>
      <c r="BZ6" s="554">
        <f>(Tableau1[[#This Row],[juin-24]]-Tableau1[[#This Row],[avr-24]])/Tableau1[[#This Row],[avr-24]]</f>
        <v>0</v>
      </c>
      <c r="CA6" s="548">
        <f>Tableau1[[#This Row],[juin-24]]-Tableau1[[#This Row],[avr-24]]</f>
        <v>0</v>
      </c>
    </row>
    <row r="7" spans="1:79" x14ac:dyDescent="0.3">
      <c r="A7" s="74">
        <v>13</v>
      </c>
      <c r="B7" s="61" t="s">
        <v>216</v>
      </c>
      <c r="C7" s="56" t="s">
        <v>45</v>
      </c>
      <c r="D7" s="56" t="s">
        <v>49</v>
      </c>
      <c r="E7" s="69"/>
      <c r="F7" s="69"/>
      <c r="G7" s="69">
        <v>33801</v>
      </c>
      <c r="H7" s="69">
        <v>33926</v>
      </c>
      <c r="I7" s="69">
        <v>34218</v>
      </c>
      <c r="J7" s="69">
        <v>34437</v>
      </c>
      <c r="K7" s="69">
        <v>34842</v>
      </c>
      <c r="L7" s="69">
        <v>39026</v>
      </c>
      <c r="M7" s="69">
        <v>39057</v>
      </c>
      <c r="N7" s="69">
        <v>39066</v>
      </c>
      <c r="O7" s="69">
        <v>38979</v>
      </c>
      <c r="P7" s="69">
        <v>38930</v>
      </c>
      <c r="Q7" s="69">
        <v>38890</v>
      </c>
      <c r="R7" s="69">
        <v>39291</v>
      </c>
      <c r="S7" s="69">
        <v>39468</v>
      </c>
      <c r="T7" s="69">
        <v>39860</v>
      </c>
      <c r="U7" s="69">
        <v>40191</v>
      </c>
      <c r="V7" s="69">
        <v>40376</v>
      </c>
      <c r="W7" s="69">
        <v>41314</v>
      </c>
      <c r="X7" s="69">
        <v>42749</v>
      </c>
      <c r="Y7" s="69">
        <v>46993</v>
      </c>
      <c r="Z7" s="69">
        <v>47401</v>
      </c>
      <c r="AA7" s="69">
        <v>47389</v>
      </c>
      <c r="AB7" s="69">
        <v>47499</v>
      </c>
      <c r="AC7" s="69">
        <v>47474</v>
      </c>
      <c r="AD7" s="69">
        <v>47489</v>
      </c>
      <c r="AE7" s="69">
        <v>47536</v>
      </c>
      <c r="AF7" s="69">
        <v>48155</v>
      </c>
      <c r="AG7" s="69">
        <v>48565</v>
      </c>
      <c r="AH7" s="69">
        <v>48661</v>
      </c>
      <c r="AI7" s="69">
        <v>50178</v>
      </c>
      <c r="AJ7" s="69">
        <v>51594</v>
      </c>
      <c r="AK7" s="69">
        <v>54960</v>
      </c>
      <c r="AL7" s="69">
        <v>55553</v>
      </c>
      <c r="AM7" s="69">
        <v>55473</v>
      </c>
      <c r="AN7" s="69">
        <v>55508</v>
      </c>
      <c r="AO7" s="69">
        <v>55463</v>
      </c>
      <c r="AP7" s="69">
        <v>55441</v>
      </c>
      <c r="AQ7" s="69">
        <v>55391</v>
      </c>
      <c r="AR7" s="69">
        <v>55237</v>
      </c>
      <c r="AS7" s="69">
        <v>55242</v>
      </c>
      <c r="AT7" s="69">
        <v>55738</v>
      </c>
      <c r="AU7" s="69">
        <v>56582</v>
      </c>
      <c r="AV7" s="69">
        <v>57662</v>
      </c>
      <c r="AW7" s="69">
        <v>59403</v>
      </c>
      <c r="AX7" s="69">
        <v>59308</v>
      </c>
      <c r="AY7" s="69">
        <v>59217</v>
      </c>
      <c r="AZ7" s="69">
        <v>59133</v>
      </c>
      <c r="BA7" s="69">
        <v>59056</v>
      </c>
      <c r="BB7" s="69">
        <v>59981</v>
      </c>
      <c r="BC7" s="69">
        <v>59015</v>
      </c>
      <c r="BD7" s="69">
        <v>59011</v>
      </c>
      <c r="BE7" s="69">
        <v>59012</v>
      </c>
      <c r="BF7" s="69">
        <v>59351</v>
      </c>
      <c r="BG7" s="69">
        <v>59499</v>
      </c>
      <c r="BH7" s="69">
        <v>60379</v>
      </c>
      <c r="BI7" s="69">
        <v>63061</v>
      </c>
      <c r="BJ7" s="69">
        <v>62999</v>
      </c>
      <c r="BK7" s="69">
        <v>63059</v>
      </c>
      <c r="BL7" s="69">
        <v>64672</v>
      </c>
      <c r="BM7" s="202">
        <f>(Tableau1[[#This Row],[mars-20]]-Tableau1[[#This Row],[dec-19]])/Tableau1[[#This Row],[dec-19]]</f>
        <v>2.5579219461139568E-2</v>
      </c>
      <c r="BN7" s="187">
        <f>Tableau1[[#This Row],[mars-20]]-Tableau1[[#This Row],[dec-19]]</f>
        <v>1613</v>
      </c>
      <c r="BO7" s="21">
        <v>68103</v>
      </c>
      <c r="BP7" s="234">
        <v>68442</v>
      </c>
      <c r="BQ7" s="234">
        <v>114000</v>
      </c>
      <c r="BR7" s="234">
        <v>118000</v>
      </c>
      <c r="BS7" s="21">
        <v>119000</v>
      </c>
      <c r="BT7" s="234">
        <v>124000</v>
      </c>
      <c r="BU7" s="234">
        <v>124000</v>
      </c>
      <c r="BV7" s="234">
        <v>129000</v>
      </c>
      <c r="BW7" s="21">
        <v>129000</v>
      </c>
      <c r="BX7" s="234">
        <v>126000</v>
      </c>
      <c r="BY7" s="234"/>
      <c r="BZ7" s="554">
        <f>(Tableau1[[#This Row],[juin-24]]-Tableau1[[#This Row],[avr-24]])/Tableau1[[#This Row],[avr-24]]</f>
        <v>-2.3255813953488372E-2</v>
      </c>
      <c r="CA7" s="548">
        <f>Tableau1[[#This Row],[juin-24]]-Tableau1[[#This Row],[avr-24]]</f>
        <v>-3000</v>
      </c>
    </row>
    <row r="8" spans="1:79" ht="16.5" customHeight="1" x14ac:dyDescent="0.3">
      <c r="A8" s="68">
        <v>7</v>
      </c>
      <c r="B8" s="61" t="s">
        <v>16</v>
      </c>
      <c r="C8" s="56" t="s">
        <v>59</v>
      </c>
      <c r="D8" s="56" t="s">
        <v>49</v>
      </c>
      <c r="E8" s="69">
        <v>65007</v>
      </c>
      <c r="F8" s="69">
        <v>65544</v>
      </c>
      <c r="G8" s="69">
        <v>64942</v>
      </c>
      <c r="H8" s="69">
        <v>65168</v>
      </c>
      <c r="I8" s="69">
        <v>66168</v>
      </c>
      <c r="J8" s="69">
        <v>67065</v>
      </c>
      <c r="K8" s="69">
        <v>69803</v>
      </c>
      <c r="L8" s="69">
        <v>70941</v>
      </c>
      <c r="M8" s="69">
        <v>71175</v>
      </c>
      <c r="N8" s="69">
        <v>72427</v>
      </c>
      <c r="O8" s="69">
        <v>73234</v>
      </c>
      <c r="P8" s="69">
        <v>74339</v>
      </c>
      <c r="Q8" s="69">
        <v>82326</v>
      </c>
      <c r="R8" s="69">
        <v>82960</v>
      </c>
      <c r="S8" s="69">
        <v>83442</v>
      </c>
      <c r="T8" s="69">
        <v>83794</v>
      </c>
      <c r="U8" s="69">
        <v>83794</v>
      </c>
      <c r="V8" s="69">
        <v>83854</v>
      </c>
      <c r="W8" s="69">
        <v>84765</v>
      </c>
      <c r="X8" s="69">
        <v>84739</v>
      </c>
      <c r="Y8" s="69">
        <v>84929</v>
      </c>
      <c r="Z8" s="69">
        <v>85076</v>
      </c>
      <c r="AA8" s="69">
        <v>85539</v>
      </c>
      <c r="AB8" s="69">
        <v>86926</v>
      </c>
      <c r="AC8" s="69">
        <v>95091</v>
      </c>
      <c r="AD8" s="69">
        <v>95108</v>
      </c>
      <c r="AE8" s="69">
        <v>94951</v>
      </c>
      <c r="AF8" s="69">
        <v>94831</v>
      </c>
      <c r="AG8" s="69">
        <v>94698</v>
      </c>
      <c r="AH8" s="69">
        <v>94606</v>
      </c>
      <c r="AI8" s="69">
        <v>95434</v>
      </c>
      <c r="AJ8" s="69">
        <v>95840</v>
      </c>
      <c r="AK8" s="69">
        <v>96133</v>
      </c>
      <c r="AL8" s="69">
        <v>96851</v>
      </c>
      <c r="AM8" s="69">
        <v>97866</v>
      </c>
      <c r="AN8" s="69">
        <v>99440</v>
      </c>
      <c r="AO8" s="69">
        <v>106981</v>
      </c>
      <c r="AP8" s="69">
        <v>106859</v>
      </c>
      <c r="AQ8" s="69">
        <v>106686</v>
      </c>
      <c r="AR8" s="69">
        <v>106329</v>
      </c>
      <c r="AS8" s="69">
        <v>106014</v>
      </c>
      <c r="AT8" s="69">
        <v>105838</v>
      </c>
      <c r="AU8" s="69">
        <v>105754</v>
      </c>
      <c r="AV8" s="69">
        <v>106416</v>
      </c>
      <c r="AW8" s="69">
        <v>106517</v>
      </c>
      <c r="AX8" s="69">
        <v>106538</v>
      </c>
      <c r="AY8" s="69">
        <v>106529</v>
      </c>
      <c r="AZ8" s="69">
        <v>106985</v>
      </c>
      <c r="BA8" s="69">
        <v>112591</v>
      </c>
      <c r="BB8" s="69">
        <v>113134</v>
      </c>
      <c r="BC8" s="69">
        <v>113260</v>
      </c>
      <c r="BD8" s="69">
        <v>113116</v>
      </c>
      <c r="BE8" s="69">
        <v>113008</v>
      </c>
      <c r="BF8" s="69">
        <v>113020</v>
      </c>
      <c r="BG8" s="69">
        <v>112744</v>
      </c>
      <c r="BH8" s="69">
        <v>112629</v>
      </c>
      <c r="BI8" s="69">
        <v>112505</v>
      </c>
      <c r="BJ8" s="69">
        <v>112378</v>
      </c>
      <c r="BK8" s="69">
        <v>112291</v>
      </c>
      <c r="BL8" s="189">
        <v>115550</v>
      </c>
      <c r="BM8" s="202">
        <f>(Tableau1[[#This Row],[mars-20]]-Tableau1[[#This Row],[dec-19]])/Tableau1[[#This Row],[dec-19]]</f>
        <v>2.9022806814437488E-2</v>
      </c>
      <c r="BN8" s="187">
        <f>Tableau1[[#This Row],[mars-20]]-Tableau1[[#This Row],[dec-19]]</f>
        <v>3259</v>
      </c>
      <c r="BO8" s="21">
        <v>114206</v>
      </c>
      <c r="BP8" s="234">
        <v>117000</v>
      </c>
      <c r="BQ8" s="234">
        <v>117348</v>
      </c>
      <c r="BR8" s="234">
        <v>113272</v>
      </c>
      <c r="BS8" s="21">
        <v>113132</v>
      </c>
      <c r="BT8" s="234">
        <v>119419</v>
      </c>
      <c r="BU8" s="234">
        <v>119418</v>
      </c>
      <c r="BV8" s="234">
        <v>125000</v>
      </c>
      <c r="BW8" s="21">
        <v>139000</v>
      </c>
      <c r="BX8" s="234">
        <v>139000</v>
      </c>
      <c r="BY8" s="234"/>
      <c r="BZ8" s="554">
        <f>(Tableau1[[#This Row],[juin-24]]-Tableau1[[#This Row],[avr-24]])/Tableau1[[#This Row],[avr-24]]</f>
        <v>0</v>
      </c>
      <c r="CA8" s="548">
        <f>Tableau1[[#This Row],[juin-24]]-Tableau1[[#This Row],[avr-24]]</f>
        <v>0</v>
      </c>
    </row>
    <row r="9" spans="1:79" x14ac:dyDescent="0.3">
      <c r="A9" s="74">
        <v>18</v>
      </c>
      <c r="B9" s="61" t="s">
        <v>35</v>
      </c>
      <c r="C9" s="56" t="s">
        <v>59</v>
      </c>
      <c r="D9" s="56" t="s">
        <v>50</v>
      </c>
      <c r="E9" s="69">
        <v>5411</v>
      </c>
      <c r="F9" s="69">
        <v>5744</v>
      </c>
      <c r="G9" s="69">
        <v>7462</v>
      </c>
      <c r="H9" s="69">
        <v>7555</v>
      </c>
      <c r="I9" s="69">
        <v>7569</v>
      </c>
      <c r="J9" s="69">
        <v>7574</v>
      </c>
      <c r="K9" s="69">
        <v>7570</v>
      </c>
      <c r="L9" s="69">
        <v>7629</v>
      </c>
      <c r="M9" s="69">
        <v>7674</v>
      </c>
      <c r="N9" s="69">
        <v>7817</v>
      </c>
      <c r="O9" s="69">
        <v>8501</v>
      </c>
      <c r="P9" s="69">
        <v>8613</v>
      </c>
      <c r="Q9" s="69">
        <v>8843</v>
      </c>
      <c r="R9" s="69">
        <v>13187</v>
      </c>
      <c r="S9" s="69">
        <v>20226</v>
      </c>
      <c r="T9" s="69">
        <v>20251</v>
      </c>
      <c r="U9" s="69">
        <v>20236</v>
      </c>
      <c r="V9" s="69">
        <v>20218</v>
      </c>
      <c r="W9" s="69">
        <v>20412</v>
      </c>
      <c r="X9" s="69">
        <v>20389</v>
      </c>
      <c r="Y9" s="69">
        <v>20400</v>
      </c>
      <c r="Z9" s="69">
        <v>20418</v>
      </c>
      <c r="AA9" s="69">
        <v>20734</v>
      </c>
      <c r="AB9" s="69">
        <v>21393</v>
      </c>
      <c r="AC9" s="69">
        <v>21740</v>
      </c>
      <c r="AD9" s="69">
        <v>23549</v>
      </c>
      <c r="AE9" s="69">
        <v>29559</v>
      </c>
      <c r="AF9" s="69">
        <v>29959</v>
      </c>
      <c r="AG9" s="69">
        <v>30419</v>
      </c>
      <c r="AH9" s="69">
        <v>30401</v>
      </c>
      <c r="AI9" s="69">
        <v>30387</v>
      </c>
      <c r="AJ9" s="69">
        <v>30355</v>
      </c>
      <c r="AK9" s="69">
        <v>30316</v>
      </c>
      <c r="AL9" s="69">
        <v>30336</v>
      </c>
      <c r="AM9" s="69">
        <v>30346</v>
      </c>
      <c r="AN9" s="69">
        <v>30333</v>
      </c>
      <c r="AO9" s="69">
        <v>30404</v>
      </c>
      <c r="AP9" s="69">
        <v>33874</v>
      </c>
      <c r="AQ9" s="69">
        <v>43500</v>
      </c>
      <c r="AR9" s="69">
        <v>43492</v>
      </c>
      <c r="AS9" s="69">
        <v>43440</v>
      </c>
      <c r="AT9" s="69">
        <v>43397</v>
      </c>
      <c r="AU9" s="69">
        <v>43328</v>
      </c>
      <c r="AV9" s="69">
        <v>43282</v>
      </c>
      <c r="AW9" s="69">
        <v>43306</v>
      </c>
      <c r="AX9" s="69">
        <v>43380</v>
      </c>
      <c r="AY9" s="144">
        <v>43385</v>
      </c>
      <c r="AZ9" s="144">
        <v>43391</v>
      </c>
      <c r="BA9" s="144">
        <v>43422</v>
      </c>
      <c r="BB9" s="144">
        <v>43714</v>
      </c>
      <c r="BC9" s="144">
        <v>48435</v>
      </c>
      <c r="BD9" s="144">
        <v>48526</v>
      </c>
      <c r="BE9" s="144">
        <v>48491</v>
      </c>
      <c r="BF9" s="144">
        <v>48447</v>
      </c>
      <c r="BG9" s="144">
        <v>48447</v>
      </c>
      <c r="BH9" s="144">
        <v>48443</v>
      </c>
      <c r="BI9" s="144">
        <v>48536</v>
      </c>
      <c r="BJ9" s="144">
        <v>48570</v>
      </c>
      <c r="BK9" s="144">
        <v>48543</v>
      </c>
      <c r="BL9" s="189">
        <v>51763</v>
      </c>
      <c r="BM9" s="202">
        <f>(Tableau1[[#This Row],[mars-20]]-Tableau1[[#This Row],[dec-19]])/Tableau1[[#This Row],[dec-19]]</f>
        <v>6.6332941927775377E-2</v>
      </c>
      <c r="BN9" s="187">
        <f>Tableau1[[#This Row],[mars-20]]-Tableau1[[#This Row],[dec-19]]</f>
        <v>3220</v>
      </c>
      <c r="BO9" s="21">
        <v>83088</v>
      </c>
      <c r="BP9" s="234">
        <v>83091</v>
      </c>
      <c r="BQ9" s="234">
        <v>103776</v>
      </c>
      <c r="BR9" s="234">
        <v>106202</v>
      </c>
      <c r="BS9" s="21">
        <v>106141</v>
      </c>
      <c r="BT9" s="234">
        <v>109877</v>
      </c>
      <c r="BU9" s="234">
        <v>109750</v>
      </c>
      <c r="BV9" s="234">
        <v>114893</v>
      </c>
      <c r="BW9" s="21">
        <v>125000</v>
      </c>
      <c r="BX9" s="234">
        <v>124000</v>
      </c>
      <c r="BY9" s="234"/>
      <c r="BZ9" s="554">
        <f>(Tableau1[[#This Row],[juin-24]]-Tableau1[[#This Row],[avr-24]])/Tableau1[[#This Row],[avr-24]]</f>
        <v>-8.0000000000000002E-3</v>
      </c>
      <c r="CA9" s="548">
        <f>Tableau1[[#This Row],[juin-24]]-Tableau1[[#This Row],[avr-24]]</f>
        <v>-1000</v>
      </c>
    </row>
    <row r="10" spans="1:79" ht="18" customHeight="1" x14ac:dyDescent="0.3">
      <c r="A10" s="68">
        <v>15</v>
      </c>
      <c r="B10" s="61" t="s">
        <v>18</v>
      </c>
      <c r="C10" s="56" t="s">
        <v>59</v>
      </c>
      <c r="D10" s="56" t="s">
        <v>49</v>
      </c>
      <c r="E10" s="69">
        <v>9782</v>
      </c>
      <c r="F10" s="69">
        <v>9980</v>
      </c>
      <c r="G10" s="69">
        <v>14438</v>
      </c>
      <c r="H10" s="69">
        <v>14740</v>
      </c>
      <c r="I10" s="69">
        <v>14876</v>
      </c>
      <c r="J10" s="69">
        <v>15175</v>
      </c>
      <c r="K10" s="69">
        <v>15215</v>
      </c>
      <c r="L10" s="69">
        <v>15379</v>
      </c>
      <c r="M10" s="69">
        <v>15404</v>
      </c>
      <c r="N10" s="69">
        <v>15476</v>
      </c>
      <c r="O10" s="69">
        <v>15526</v>
      </c>
      <c r="P10" s="69">
        <v>15754</v>
      </c>
      <c r="Q10" s="69">
        <v>15882</v>
      </c>
      <c r="R10" s="69">
        <v>20947</v>
      </c>
      <c r="S10" s="69">
        <v>30350</v>
      </c>
      <c r="T10" s="69">
        <v>30322</v>
      </c>
      <c r="U10" s="69">
        <v>30282</v>
      </c>
      <c r="V10" s="69">
        <v>30247</v>
      </c>
      <c r="W10" s="69">
        <v>30193</v>
      </c>
      <c r="X10" s="69">
        <v>30128</v>
      </c>
      <c r="Y10" s="69">
        <v>30086</v>
      </c>
      <c r="Z10" s="69">
        <v>30029</v>
      </c>
      <c r="AA10" s="69">
        <v>29988</v>
      </c>
      <c r="AB10" s="69">
        <v>30476</v>
      </c>
      <c r="AC10" s="69">
        <v>30493</v>
      </c>
      <c r="AD10" s="69">
        <v>30688</v>
      </c>
      <c r="AE10" s="69">
        <v>39386</v>
      </c>
      <c r="AF10" s="69">
        <v>39784</v>
      </c>
      <c r="AG10" s="69">
        <v>40885</v>
      </c>
      <c r="AH10" s="69">
        <v>40855</v>
      </c>
      <c r="AI10" s="69">
        <v>40831</v>
      </c>
      <c r="AJ10" s="69">
        <v>40790</v>
      </c>
      <c r="AK10" s="69">
        <v>40724</v>
      </c>
      <c r="AL10" s="69">
        <v>40676</v>
      </c>
      <c r="AM10" s="69">
        <v>40656</v>
      </c>
      <c r="AN10" s="69">
        <v>40615</v>
      </c>
      <c r="AO10" s="69">
        <v>40655</v>
      </c>
      <c r="AP10" s="69">
        <v>41908</v>
      </c>
      <c r="AQ10" s="69">
        <v>51934</v>
      </c>
      <c r="AR10" s="69">
        <v>51894</v>
      </c>
      <c r="AS10" s="69">
        <v>51811</v>
      </c>
      <c r="AT10" s="69">
        <v>51719</v>
      </c>
      <c r="AU10" s="69">
        <v>51593</v>
      </c>
      <c r="AV10" s="69">
        <v>51501</v>
      </c>
      <c r="AW10" s="69">
        <v>51442</v>
      </c>
      <c r="AX10" s="69">
        <v>51405</v>
      </c>
      <c r="AY10" s="69">
        <v>51338</v>
      </c>
      <c r="AZ10" s="69">
        <v>51307</v>
      </c>
      <c r="BA10" s="69">
        <v>51257</v>
      </c>
      <c r="BB10" s="69">
        <v>51284</v>
      </c>
      <c r="BC10" s="69">
        <v>60815</v>
      </c>
      <c r="BD10" s="69">
        <v>60764</v>
      </c>
      <c r="BE10" s="69">
        <v>60000</v>
      </c>
      <c r="BF10" s="69">
        <v>60688</v>
      </c>
      <c r="BG10" s="69">
        <v>60645</v>
      </c>
      <c r="BH10" s="69">
        <v>60564</v>
      </c>
      <c r="BI10" s="69">
        <v>60448</v>
      </c>
      <c r="BJ10" s="69">
        <v>60358</v>
      </c>
      <c r="BK10" s="69">
        <v>60291</v>
      </c>
      <c r="BL10" s="189">
        <v>62726</v>
      </c>
      <c r="BM10" s="202">
        <f>(Tableau1[[#This Row],[mars-20]]-Tableau1[[#This Row],[dec-19]])/Tableau1[[#This Row],[dec-19]]</f>
        <v>4.0387454180557628E-2</v>
      </c>
      <c r="BN10" s="187">
        <f>Tableau1[[#This Row],[mars-20]]-Tableau1[[#This Row],[dec-19]]</f>
        <v>2435</v>
      </c>
      <c r="BO10" s="21">
        <v>81888</v>
      </c>
      <c r="BP10" s="234">
        <v>81840</v>
      </c>
      <c r="BQ10" s="234">
        <v>101758</v>
      </c>
      <c r="BR10" s="234">
        <v>103141</v>
      </c>
      <c r="BS10" s="21">
        <v>102986</v>
      </c>
      <c r="BT10" s="234">
        <v>105414</v>
      </c>
      <c r="BU10" s="234">
        <v>105277</v>
      </c>
      <c r="BV10" s="234">
        <v>110033</v>
      </c>
      <c r="BW10" s="21">
        <v>118000</v>
      </c>
      <c r="BX10" s="234">
        <v>117000</v>
      </c>
      <c r="BY10" s="234"/>
      <c r="BZ10" s="554">
        <f>(Tableau1[[#This Row],[juin-24]]-Tableau1[[#This Row],[avr-24]])/Tableau1[[#This Row],[avr-24]]</f>
        <v>-8.4745762711864406E-3</v>
      </c>
      <c r="CA10" s="548">
        <f>Tableau1[[#This Row],[juin-24]]-Tableau1[[#This Row],[avr-24]]</f>
        <v>-1000</v>
      </c>
    </row>
    <row r="11" spans="1:79" s="12" customFormat="1" ht="16.5" customHeight="1" x14ac:dyDescent="0.3">
      <c r="A11" s="74">
        <v>8</v>
      </c>
      <c r="B11" s="137" t="s">
        <v>58</v>
      </c>
      <c r="C11" s="136" t="s">
        <v>46</v>
      </c>
      <c r="D11" s="136" t="s">
        <v>49</v>
      </c>
      <c r="E11" s="138"/>
      <c r="F11" s="138"/>
      <c r="G11" s="138">
        <v>63885</v>
      </c>
      <c r="H11" s="138">
        <v>65182</v>
      </c>
      <c r="I11" s="138">
        <v>66875</v>
      </c>
      <c r="J11" s="138">
        <v>66890</v>
      </c>
      <c r="K11" s="138">
        <v>66957</v>
      </c>
      <c r="L11" s="138">
        <v>66890</v>
      </c>
      <c r="M11" s="138">
        <v>67017</v>
      </c>
      <c r="N11" s="138">
        <v>67066</v>
      </c>
      <c r="O11" s="138">
        <v>66963</v>
      </c>
      <c r="P11" s="138">
        <v>67291</v>
      </c>
      <c r="Q11" s="138">
        <v>67331</v>
      </c>
      <c r="R11" s="138">
        <v>67469</v>
      </c>
      <c r="S11" s="138">
        <v>67771</v>
      </c>
      <c r="T11" s="138">
        <v>71648</v>
      </c>
      <c r="U11" s="138">
        <v>72770</v>
      </c>
      <c r="V11" s="138">
        <v>72872</v>
      </c>
      <c r="W11" s="138">
        <v>72863</v>
      </c>
      <c r="X11" s="138">
        <v>72825</v>
      </c>
      <c r="Y11" s="138">
        <v>74005</v>
      </c>
      <c r="Z11" s="138">
        <v>75286</v>
      </c>
      <c r="AA11" s="138">
        <v>80464</v>
      </c>
      <c r="AB11" s="138">
        <v>81061</v>
      </c>
      <c r="AC11" s="138">
        <v>81160</v>
      </c>
      <c r="AD11" s="138">
        <v>81291</v>
      </c>
      <c r="AE11" s="138">
        <v>82996</v>
      </c>
      <c r="AF11" s="138">
        <v>88304</v>
      </c>
      <c r="AG11" s="138">
        <v>88606</v>
      </c>
      <c r="AH11" s="138">
        <v>88627</v>
      </c>
      <c r="AI11" s="138">
        <v>88624</v>
      </c>
      <c r="AJ11" s="138">
        <v>88671</v>
      </c>
      <c r="AK11" s="138">
        <v>89111</v>
      </c>
      <c r="AL11" s="138">
        <v>89172</v>
      </c>
      <c r="AM11" s="138">
        <v>89149</v>
      </c>
      <c r="AN11" s="138">
        <v>89628</v>
      </c>
      <c r="AO11" s="138">
        <v>90029</v>
      </c>
      <c r="AP11" s="138">
        <v>90405</v>
      </c>
      <c r="AQ11" s="138">
        <v>90573</v>
      </c>
      <c r="AR11" s="138">
        <v>91466</v>
      </c>
      <c r="AS11" s="138">
        <v>95720</v>
      </c>
      <c r="AT11" s="138">
        <v>95692</v>
      </c>
      <c r="AU11" s="138">
        <v>95662</v>
      </c>
      <c r="AV11" s="138">
        <v>95542</v>
      </c>
      <c r="AW11" s="138">
        <v>95470</v>
      </c>
      <c r="AX11" s="138">
        <v>95708</v>
      </c>
      <c r="AY11" s="138">
        <v>95629</v>
      </c>
      <c r="AZ11" s="138">
        <v>95920</v>
      </c>
      <c r="BA11" s="138">
        <v>95940</v>
      </c>
      <c r="BB11" s="138">
        <v>95963</v>
      </c>
      <c r="BC11" s="138">
        <v>96175</v>
      </c>
      <c r="BD11" s="138">
        <v>96861</v>
      </c>
      <c r="BE11" s="138">
        <v>100648</v>
      </c>
      <c r="BF11" s="138">
        <v>100723</v>
      </c>
      <c r="BG11" s="138">
        <v>100693</v>
      </c>
      <c r="BH11" s="138">
        <v>100591</v>
      </c>
      <c r="BI11" s="138">
        <v>100576</v>
      </c>
      <c r="BJ11" s="138">
        <v>100457</v>
      </c>
      <c r="BK11" s="138">
        <v>100595</v>
      </c>
      <c r="BL11" s="138">
        <v>101093</v>
      </c>
      <c r="BM11" s="202">
        <f>(Tableau1[[#This Row],[mars-20]]-Tableau1[[#This Row],[dec-19]])/Tableau1[[#This Row],[dec-19]]</f>
        <v>4.950544261643223E-3</v>
      </c>
      <c r="BN11" s="187">
        <f>Tableau1[[#This Row],[mars-20]]-Tableau1[[#This Row],[dec-19]]</f>
        <v>498</v>
      </c>
      <c r="BO11" s="21">
        <v>100089</v>
      </c>
      <c r="BP11" s="234">
        <v>99812</v>
      </c>
      <c r="BQ11" s="234">
        <v>99636</v>
      </c>
      <c r="BR11" s="234">
        <v>99022</v>
      </c>
      <c r="BS11" s="21">
        <v>97974</v>
      </c>
      <c r="BT11" s="234">
        <v>99447</v>
      </c>
      <c r="BU11" s="234">
        <v>99342</v>
      </c>
      <c r="BV11" s="234">
        <v>98300</v>
      </c>
      <c r="BW11" s="21">
        <v>97000</v>
      </c>
      <c r="BX11" s="234">
        <v>117000</v>
      </c>
      <c r="BY11" s="234"/>
      <c r="BZ11" s="554">
        <f>(Tableau1[[#This Row],[juin-24]]-Tableau1[[#This Row],[avr-24]])/Tableau1[[#This Row],[avr-24]]</f>
        <v>0.20618556701030927</v>
      </c>
      <c r="CA11" s="548">
        <f>Tableau1[[#This Row],[juin-24]]-Tableau1[[#This Row],[avr-24]]</f>
        <v>20000</v>
      </c>
    </row>
    <row r="12" spans="1:79" ht="16.5" customHeight="1" x14ac:dyDescent="0.3">
      <c r="A12" s="67">
        <v>10</v>
      </c>
      <c r="B12" s="137" t="s">
        <v>34</v>
      </c>
      <c r="C12" s="56" t="s">
        <v>59</v>
      </c>
      <c r="D12" s="136" t="s">
        <v>49</v>
      </c>
      <c r="E12" s="138">
        <v>8710</v>
      </c>
      <c r="F12" s="138">
        <v>8859</v>
      </c>
      <c r="G12" s="138">
        <v>9219</v>
      </c>
      <c r="H12" s="138">
        <v>9652</v>
      </c>
      <c r="I12" s="138">
        <v>9809</v>
      </c>
      <c r="J12" s="138">
        <v>17484</v>
      </c>
      <c r="K12" s="138">
        <v>18781</v>
      </c>
      <c r="L12" s="138">
        <v>19445</v>
      </c>
      <c r="M12" s="138">
        <v>19684</v>
      </c>
      <c r="N12" s="138">
        <v>20089</v>
      </c>
      <c r="O12" s="138">
        <v>20208</v>
      </c>
      <c r="P12" s="138">
        <v>20527</v>
      </c>
      <c r="Q12" s="138">
        <v>20828</v>
      </c>
      <c r="R12" s="138">
        <v>21358</v>
      </c>
      <c r="S12" s="138">
        <v>23407</v>
      </c>
      <c r="T12" s="138">
        <v>24502</v>
      </c>
      <c r="U12" s="138">
        <v>26044</v>
      </c>
      <c r="V12" s="138">
        <v>39069</v>
      </c>
      <c r="W12" s="138">
        <v>41299</v>
      </c>
      <c r="X12" s="138">
        <v>41388</v>
      </c>
      <c r="Y12" s="138">
        <v>41488</v>
      </c>
      <c r="Z12" s="138">
        <v>41522</v>
      </c>
      <c r="AA12" s="138">
        <v>41535</v>
      </c>
      <c r="AB12" s="138">
        <v>41518</v>
      </c>
      <c r="AC12" s="138">
        <v>41534</v>
      </c>
      <c r="AD12" s="138">
        <v>41673</v>
      </c>
      <c r="AE12" s="138">
        <v>42607</v>
      </c>
      <c r="AF12" s="138">
        <v>42775</v>
      </c>
      <c r="AG12" s="138">
        <v>54605</v>
      </c>
      <c r="AH12" s="138">
        <v>63542</v>
      </c>
      <c r="AI12" s="138">
        <v>63512</v>
      </c>
      <c r="AJ12" s="138">
        <v>63441</v>
      </c>
      <c r="AK12" s="138">
        <v>63285</v>
      </c>
      <c r="AL12" s="138">
        <v>63165</v>
      </c>
      <c r="AM12" s="138">
        <v>63107</v>
      </c>
      <c r="AN12" s="138">
        <v>63112</v>
      </c>
      <c r="AO12" s="138">
        <v>63138</v>
      </c>
      <c r="AP12" s="138">
        <v>63174</v>
      </c>
      <c r="AQ12" s="138">
        <v>64261</v>
      </c>
      <c r="AR12" s="138">
        <v>64159</v>
      </c>
      <c r="AS12" s="138">
        <v>65853</v>
      </c>
      <c r="AT12" s="138">
        <v>73345</v>
      </c>
      <c r="AU12" s="138">
        <v>73331</v>
      </c>
      <c r="AV12" s="138">
        <v>73198</v>
      </c>
      <c r="AW12" s="138">
        <v>73090</v>
      </c>
      <c r="AX12" s="138">
        <v>73007</v>
      </c>
      <c r="AY12" s="138">
        <v>72855</v>
      </c>
      <c r="AZ12" s="138">
        <v>72733</v>
      </c>
      <c r="BA12" s="138">
        <v>72739</v>
      </c>
      <c r="BB12" s="138">
        <v>72680</v>
      </c>
      <c r="BC12" s="138">
        <v>72750</v>
      </c>
      <c r="BD12" s="138">
        <v>72724</v>
      </c>
      <c r="BE12" s="138">
        <v>72651</v>
      </c>
      <c r="BF12" s="138">
        <v>76346</v>
      </c>
      <c r="BG12" s="138">
        <v>76392</v>
      </c>
      <c r="BH12" s="138">
        <v>76254</v>
      </c>
      <c r="BI12" s="138">
        <v>76080</v>
      </c>
      <c r="BJ12" s="138">
        <v>75958</v>
      </c>
      <c r="BK12" s="138">
        <v>75857</v>
      </c>
      <c r="BL12" s="138">
        <v>75574</v>
      </c>
      <c r="BM12" s="202">
        <f>(Tableau1[[#This Row],[mars-20]]-Tableau1[[#This Row],[dec-19]])/Tableau1[[#This Row],[dec-19]]</f>
        <v>-3.7307038243009874E-3</v>
      </c>
      <c r="BN12" s="187">
        <f>Tableau1[[#This Row],[mars-20]]-Tableau1[[#This Row],[dec-19]]</f>
        <v>-283</v>
      </c>
      <c r="BO12" s="21">
        <v>81704</v>
      </c>
      <c r="BP12" s="234">
        <v>81599</v>
      </c>
      <c r="BQ12" s="234">
        <v>91881</v>
      </c>
      <c r="BR12" s="234">
        <v>84937</v>
      </c>
      <c r="BS12" s="21">
        <v>85004</v>
      </c>
      <c r="BT12" s="234">
        <v>97018</v>
      </c>
      <c r="BU12" s="234">
        <v>96837</v>
      </c>
      <c r="BV12" s="234">
        <v>89723</v>
      </c>
      <c r="BW12" s="21">
        <v>102000</v>
      </c>
      <c r="BX12" s="234">
        <v>107000</v>
      </c>
      <c r="BY12" s="234"/>
      <c r="BZ12" s="554">
        <f>(Tableau1[[#This Row],[juin-24]]-Tableau1[[#This Row],[avr-24]])/Tableau1[[#This Row],[avr-24]]</f>
        <v>4.9019607843137254E-2</v>
      </c>
      <c r="CA12" s="548">
        <f>Tableau1[[#This Row],[juin-24]]-Tableau1[[#This Row],[avr-24]]</f>
        <v>5000</v>
      </c>
    </row>
    <row r="13" spans="1:79" s="12" customFormat="1" x14ac:dyDescent="0.3">
      <c r="A13" s="75">
        <v>11</v>
      </c>
      <c r="B13" s="137" t="s">
        <v>30</v>
      </c>
      <c r="C13" s="136" t="s">
        <v>46</v>
      </c>
      <c r="D13" s="136" t="s">
        <v>49</v>
      </c>
      <c r="E13" s="138">
        <v>40285</v>
      </c>
      <c r="F13" s="138">
        <v>40428</v>
      </c>
      <c r="G13" s="138">
        <v>40651</v>
      </c>
      <c r="H13" s="138">
        <v>40901</v>
      </c>
      <c r="I13" s="138">
        <v>41186</v>
      </c>
      <c r="J13" s="138">
        <v>41464</v>
      </c>
      <c r="K13" s="138">
        <v>41953</v>
      </c>
      <c r="L13" s="138">
        <v>48014</v>
      </c>
      <c r="M13" s="138">
        <v>48176</v>
      </c>
      <c r="N13" s="138">
        <v>48377</v>
      </c>
      <c r="O13" s="138">
        <v>48503</v>
      </c>
      <c r="P13" s="138">
        <v>48688</v>
      </c>
      <c r="Q13" s="138">
        <v>49569</v>
      </c>
      <c r="R13" s="138">
        <v>50054</v>
      </c>
      <c r="S13" s="138">
        <v>50378</v>
      </c>
      <c r="T13" s="138">
        <v>50702</v>
      </c>
      <c r="U13" s="138">
        <v>50853</v>
      </c>
      <c r="V13" s="138">
        <v>51153</v>
      </c>
      <c r="W13" s="138">
        <v>51768</v>
      </c>
      <c r="X13" s="138">
        <v>54081</v>
      </c>
      <c r="Y13" s="138">
        <v>54164</v>
      </c>
      <c r="Z13" s="138">
        <v>54198</v>
      </c>
      <c r="AA13" s="138">
        <v>54151</v>
      </c>
      <c r="AB13" s="138">
        <v>54087</v>
      </c>
      <c r="AC13" s="138">
        <v>54393</v>
      </c>
      <c r="AD13" s="138">
        <v>54350</v>
      </c>
      <c r="AE13" s="138">
        <v>54320</v>
      </c>
      <c r="AF13" s="138">
        <v>54367</v>
      </c>
      <c r="AG13" s="138">
        <v>54515</v>
      </c>
      <c r="AH13" s="138">
        <v>54703</v>
      </c>
      <c r="AI13" s="138">
        <v>54993</v>
      </c>
      <c r="AJ13" s="138">
        <v>61640</v>
      </c>
      <c r="AK13" s="138">
        <v>61630</v>
      </c>
      <c r="AL13" s="138">
        <v>61583</v>
      </c>
      <c r="AM13" s="138">
        <v>61535</v>
      </c>
      <c r="AN13" s="138">
        <v>61697</v>
      </c>
      <c r="AO13" s="138">
        <v>61945</v>
      </c>
      <c r="AP13" s="138">
        <v>61879</v>
      </c>
      <c r="AQ13" s="138">
        <v>61773</v>
      </c>
      <c r="AR13" s="138">
        <v>61664</v>
      </c>
      <c r="AS13" s="138">
        <v>61583</v>
      </c>
      <c r="AT13" s="138">
        <v>61578</v>
      </c>
      <c r="AU13" s="138">
        <v>61661</v>
      </c>
      <c r="AV13" s="138">
        <v>67056</v>
      </c>
      <c r="AW13" s="138">
        <v>67007</v>
      </c>
      <c r="AX13" s="138">
        <v>66991</v>
      </c>
      <c r="AY13" s="138">
        <v>67627</v>
      </c>
      <c r="AZ13" s="138">
        <v>67569</v>
      </c>
      <c r="BA13" s="138">
        <v>67487</v>
      </c>
      <c r="BB13" s="138">
        <v>67414</v>
      </c>
      <c r="BC13" s="138">
        <v>67390</v>
      </c>
      <c r="BD13" s="138">
        <v>67360</v>
      </c>
      <c r="BE13" s="138">
        <v>67298</v>
      </c>
      <c r="BF13" s="138">
        <v>67296</v>
      </c>
      <c r="BG13" s="138">
        <v>67531</v>
      </c>
      <c r="BH13" s="138">
        <v>94268</v>
      </c>
      <c r="BI13" s="138">
        <v>94038</v>
      </c>
      <c r="BJ13" s="138">
        <v>93822</v>
      </c>
      <c r="BK13" s="138">
        <v>93753</v>
      </c>
      <c r="BL13" s="138">
        <v>95428</v>
      </c>
      <c r="BM13" s="202">
        <f>(Tableau1[[#This Row],[mars-20]]-Tableau1[[#This Row],[dec-19]])/Tableau1[[#This Row],[dec-19]]</f>
        <v>1.7866094951628216E-2</v>
      </c>
      <c r="BN13" s="187">
        <f>Tableau1[[#This Row],[mars-20]]-Tableau1[[#This Row],[dec-19]]</f>
        <v>1675</v>
      </c>
      <c r="BO13" s="21">
        <v>94758</v>
      </c>
      <c r="BP13" s="234">
        <v>94557</v>
      </c>
      <c r="BQ13" s="234">
        <v>95342</v>
      </c>
      <c r="BR13" s="234">
        <v>94106</v>
      </c>
      <c r="BS13" s="21">
        <v>94056</v>
      </c>
      <c r="BT13" s="234">
        <v>102741</v>
      </c>
      <c r="BU13" s="234">
        <v>102569</v>
      </c>
      <c r="BV13" s="234">
        <v>102115</v>
      </c>
      <c r="BW13" s="21">
        <v>103000</v>
      </c>
      <c r="BX13" s="234">
        <v>102000</v>
      </c>
      <c r="BY13" s="234"/>
      <c r="BZ13" s="554">
        <f>(Tableau1[[#This Row],[juin-24]]-Tableau1[[#This Row],[avr-24]])/Tableau1[[#This Row],[avr-24]]</f>
        <v>-9.7087378640776691E-3</v>
      </c>
      <c r="CA13" s="548">
        <f>Tableau1[[#This Row],[juin-24]]-Tableau1[[#This Row],[avr-24]]</f>
        <v>-1000</v>
      </c>
    </row>
    <row r="14" spans="1:79" s="12" customFormat="1" ht="16.5" customHeight="1" x14ac:dyDescent="0.3">
      <c r="A14" s="68">
        <v>19</v>
      </c>
      <c r="B14" s="61" t="s">
        <v>19</v>
      </c>
      <c r="C14" s="56" t="s">
        <v>59</v>
      </c>
      <c r="D14" s="56" t="s">
        <v>50</v>
      </c>
      <c r="E14" s="69">
        <v>6311</v>
      </c>
      <c r="F14" s="69">
        <v>6449</v>
      </c>
      <c r="G14" s="69">
        <v>7455</v>
      </c>
      <c r="H14" s="69">
        <v>7675</v>
      </c>
      <c r="I14" s="69">
        <v>7707</v>
      </c>
      <c r="J14" s="69">
        <v>7769</v>
      </c>
      <c r="K14" s="69">
        <v>7765</v>
      </c>
      <c r="L14" s="69">
        <v>7812</v>
      </c>
      <c r="M14" s="69">
        <v>7846</v>
      </c>
      <c r="N14" s="69">
        <v>7971</v>
      </c>
      <c r="O14" s="69">
        <v>8062</v>
      </c>
      <c r="P14" s="69">
        <v>8122</v>
      </c>
      <c r="Q14" s="69">
        <v>8268</v>
      </c>
      <c r="R14" s="69">
        <v>12954</v>
      </c>
      <c r="S14" s="69">
        <v>20198</v>
      </c>
      <c r="T14" s="69">
        <v>20278</v>
      </c>
      <c r="U14" s="69">
        <v>20265</v>
      </c>
      <c r="V14" s="69">
        <v>20247</v>
      </c>
      <c r="W14" s="69">
        <v>20269</v>
      </c>
      <c r="X14" s="69">
        <v>20248</v>
      </c>
      <c r="Y14" s="69">
        <v>20241</v>
      </c>
      <c r="Z14" s="69">
        <v>20212</v>
      </c>
      <c r="AA14" s="69">
        <v>20192</v>
      </c>
      <c r="AB14" s="69">
        <v>20175</v>
      </c>
      <c r="AC14" s="69">
        <v>20179</v>
      </c>
      <c r="AD14" s="69">
        <v>20440</v>
      </c>
      <c r="AE14" s="69">
        <v>27581</v>
      </c>
      <c r="AF14" s="69">
        <v>27732</v>
      </c>
      <c r="AG14" s="69">
        <v>27856</v>
      </c>
      <c r="AH14" s="69">
        <v>27851</v>
      </c>
      <c r="AI14" s="69">
        <v>27838</v>
      </c>
      <c r="AJ14" s="69">
        <v>27803</v>
      </c>
      <c r="AK14" s="69">
        <v>27787</v>
      </c>
      <c r="AL14" s="69">
        <v>27762</v>
      </c>
      <c r="AM14" s="69">
        <v>27732</v>
      </c>
      <c r="AN14" s="69">
        <v>27710</v>
      </c>
      <c r="AO14" s="69">
        <v>27786</v>
      </c>
      <c r="AP14" s="69">
        <v>27997</v>
      </c>
      <c r="AQ14" s="69">
        <v>39454</v>
      </c>
      <c r="AR14" s="69">
        <v>39453</v>
      </c>
      <c r="AS14" s="69">
        <v>39420</v>
      </c>
      <c r="AT14" s="69">
        <v>39369</v>
      </c>
      <c r="AU14" s="69">
        <v>39303</v>
      </c>
      <c r="AV14" s="69">
        <v>39258</v>
      </c>
      <c r="AW14" s="69">
        <v>39227</v>
      </c>
      <c r="AX14" s="69">
        <v>39196</v>
      </c>
      <c r="AY14" s="144">
        <v>39155</v>
      </c>
      <c r="AZ14" s="144">
        <v>39143</v>
      </c>
      <c r="BA14" s="144">
        <v>39141</v>
      </c>
      <c r="BB14" s="144">
        <v>39188</v>
      </c>
      <c r="BC14" s="144">
        <v>49940</v>
      </c>
      <c r="BD14" s="144">
        <v>50008</v>
      </c>
      <c r="BE14" s="144">
        <v>49961</v>
      </c>
      <c r="BF14" s="144">
        <v>49943</v>
      </c>
      <c r="BG14" s="144">
        <v>49903</v>
      </c>
      <c r="BH14" s="144">
        <v>49837</v>
      </c>
      <c r="BI14" s="144">
        <v>49765</v>
      </c>
      <c r="BJ14" s="144">
        <v>49708</v>
      </c>
      <c r="BK14" s="144">
        <v>49635</v>
      </c>
      <c r="BL14" s="69">
        <v>49639</v>
      </c>
      <c r="BM14" s="202">
        <f>(Tableau1[[#This Row],[mars-20]]-Tableau1[[#This Row],[dec-19]])/Tableau1[[#This Row],[dec-19]]</f>
        <v>8.0588294550216583E-5</v>
      </c>
      <c r="BN14" s="187">
        <f>Tableau1[[#This Row],[mars-20]]-Tableau1[[#This Row],[dec-19]]</f>
        <v>4</v>
      </c>
      <c r="BO14" s="21">
        <v>69930</v>
      </c>
      <c r="BP14" s="234">
        <v>69988</v>
      </c>
      <c r="BQ14" s="234">
        <v>89280</v>
      </c>
      <c r="BR14" s="234">
        <v>90534</v>
      </c>
      <c r="BS14" s="21">
        <v>90565</v>
      </c>
      <c r="BT14" s="234">
        <v>93766</v>
      </c>
      <c r="BU14" s="234">
        <v>93798</v>
      </c>
      <c r="BV14" s="234">
        <v>102000</v>
      </c>
      <c r="BW14" s="21">
        <v>108000</v>
      </c>
      <c r="BX14" s="234">
        <v>108000</v>
      </c>
      <c r="BY14" s="234"/>
      <c r="BZ14" s="554">
        <f>(Tableau1[[#This Row],[juin-24]]-Tableau1[[#This Row],[avr-24]])/Tableau1[[#This Row],[avr-24]]</f>
        <v>0</v>
      </c>
      <c r="CA14" s="548">
        <f>Tableau1[[#This Row],[juin-24]]-Tableau1[[#This Row],[avr-24]]</f>
        <v>0</v>
      </c>
    </row>
    <row r="15" spans="1:79" ht="16.5" customHeight="1" x14ac:dyDescent="0.3">
      <c r="A15" s="75">
        <v>35</v>
      </c>
      <c r="B15" s="156" t="s">
        <v>277</v>
      </c>
      <c r="C15" s="56"/>
      <c r="D15" s="56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334"/>
      <c r="BM15" s="335"/>
      <c r="BN15" s="53">
        <f>Tableau1[[#This Row],[mars-20]]-Tableau1[[#This Row],[dec-19]]</f>
        <v>0</v>
      </c>
      <c r="BO15" s="21"/>
      <c r="BP15" s="21"/>
      <c r="BQ15" s="21"/>
      <c r="BR15" s="21"/>
      <c r="BS15" s="21">
        <v>91188</v>
      </c>
      <c r="BT15" s="234">
        <v>91104</v>
      </c>
      <c r="BU15" s="234">
        <v>90703</v>
      </c>
      <c r="BV15" s="234">
        <v>91000</v>
      </c>
      <c r="BW15" s="21"/>
      <c r="BX15" s="234">
        <v>89000</v>
      </c>
      <c r="BY15" s="234"/>
      <c r="BZ15" s="554">
        <f>(Tableau1[[#This Row],[juin-24]]-Tableau1[[#This Row],[oct-23]])/Tableau1[[#This Row],[oct-23]]</f>
        <v>-2.197802197802198E-2</v>
      </c>
      <c r="CA15" s="548">
        <f>Tableau1[[#This Row],[juin-24]]-Tableau1[[#This Row],[oct-23]]</f>
        <v>-2000</v>
      </c>
    </row>
    <row r="16" spans="1:79" x14ac:dyDescent="0.3">
      <c r="A16" s="67">
        <v>14</v>
      </c>
      <c r="B16" s="137" t="s">
        <v>17</v>
      </c>
      <c r="C16" s="56" t="s">
        <v>59</v>
      </c>
      <c r="D16" s="136" t="s">
        <v>49</v>
      </c>
      <c r="E16" s="138">
        <v>9824</v>
      </c>
      <c r="F16" s="138">
        <v>10257</v>
      </c>
      <c r="G16" s="138">
        <v>14492</v>
      </c>
      <c r="H16" s="138">
        <v>15060</v>
      </c>
      <c r="I16" s="138">
        <v>15080</v>
      </c>
      <c r="J16" s="138">
        <v>15309</v>
      </c>
      <c r="K16" s="138">
        <v>15406</v>
      </c>
      <c r="L16" s="138">
        <v>15509</v>
      </c>
      <c r="M16" s="138">
        <v>15529</v>
      </c>
      <c r="N16" s="138">
        <v>15602</v>
      </c>
      <c r="O16" s="138">
        <v>15656</v>
      </c>
      <c r="P16" s="138">
        <v>15795</v>
      </c>
      <c r="Q16" s="138">
        <v>16001</v>
      </c>
      <c r="R16" s="138">
        <v>16551</v>
      </c>
      <c r="S16" s="138">
        <v>25356</v>
      </c>
      <c r="T16" s="138">
        <v>25371</v>
      </c>
      <c r="U16" s="138">
        <v>25313</v>
      </c>
      <c r="V16" s="138">
        <v>25312</v>
      </c>
      <c r="W16" s="138">
        <v>25317</v>
      </c>
      <c r="X16" s="138">
        <v>25296</v>
      </c>
      <c r="Y16" s="138">
        <v>25275</v>
      </c>
      <c r="Z16" s="138">
        <v>25252</v>
      </c>
      <c r="AA16" s="138">
        <v>25218</v>
      </c>
      <c r="AB16" s="138">
        <v>25212</v>
      </c>
      <c r="AC16" s="138">
        <v>26186</v>
      </c>
      <c r="AD16" s="138">
        <v>31360</v>
      </c>
      <c r="AE16" s="138">
        <v>39379</v>
      </c>
      <c r="AF16" s="138">
        <v>40330</v>
      </c>
      <c r="AG16" s="138">
        <v>40813</v>
      </c>
      <c r="AH16" s="138">
        <v>41235</v>
      </c>
      <c r="AI16" s="138">
        <v>41341</v>
      </c>
      <c r="AJ16" s="138">
        <v>41304</v>
      </c>
      <c r="AK16" s="138">
        <v>41248</v>
      </c>
      <c r="AL16" s="138">
        <v>42844</v>
      </c>
      <c r="AM16" s="138">
        <v>42795</v>
      </c>
      <c r="AN16" s="138">
        <v>42804</v>
      </c>
      <c r="AO16" s="138">
        <v>43396</v>
      </c>
      <c r="AP16" s="138">
        <v>43537</v>
      </c>
      <c r="AQ16" s="138">
        <v>57877</v>
      </c>
      <c r="AR16" s="138">
        <v>57908</v>
      </c>
      <c r="AS16" s="138">
        <v>57770</v>
      </c>
      <c r="AT16" s="138">
        <v>57743</v>
      </c>
      <c r="AU16" s="138">
        <v>57714</v>
      </c>
      <c r="AV16" s="138">
        <v>57613</v>
      </c>
      <c r="AW16" s="138">
        <v>57526</v>
      </c>
      <c r="AX16" s="138">
        <v>57494</v>
      </c>
      <c r="AY16" s="138">
        <v>57482</v>
      </c>
      <c r="AZ16" s="138">
        <v>57373</v>
      </c>
      <c r="BA16" s="138">
        <v>57444</v>
      </c>
      <c r="BB16" s="138">
        <v>58028</v>
      </c>
      <c r="BC16" s="138">
        <v>62455</v>
      </c>
      <c r="BD16" s="138">
        <v>62660</v>
      </c>
      <c r="BE16" s="138">
        <v>62592</v>
      </c>
      <c r="BF16" s="138">
        <v>62607</v>
      </c>
      <c r="BG16" s="138">
        <v>62537</v>
      </c>
      <c r="BH16" s="138">
        <v>62474</v>
      </c>
      <c r="BI16" s="138">
        <v>62350</v>
      </c>
      <c r="BJ16" s="138">
        <v>62270</v>
      </c>
      <c r="BK16" s="138">
        <v>62173</v>
      </c>
      <c r="BL16" s="138">
        <v>62193</v>
      </c>
      <c r="BM16" s="202">
        <f>(Tableau1[[#This Row],[mars-20]]-Tableau1[[#This Row],[dec-19]])/Tableau1[[#This Row],[dec-19]]</f>
        <v>3.2168304569507665E-4</v>
      </c>
      <c r="BN16" s="187">
        <f>Tableau1[[#This Row],[mars-20]]-Tableau1[[#This Row],[dec-19]]</f>
        <v>20</v>
      </c>
      <c r="BO16" s="21">
        <v>65262</v>
      </c>
      <c r="BP16" s="234">
        <v>65279</v>
      </c>
      <c r="BQ16" s="234">
        <v>79232</v>
      </c>
      <c r="BR16" s="234">
        <v>77440</v>
      </c>
      <c r="BS16" s="21">
        <v>77494</v>
      </c>
      <c r="BT16" s="234">
        <v>82376</v>
      </c>
      <c r="BU16" s="234">
        <v>82296</v>
      </c>
      <c r="BV16" s="234">
        <v>80823</v>
      </c>
      <c r="BW16" s="21">
        <v>97000</v>
      </c>
      <c r="BX16" s="234">
        <v>98000</v>
      </c>
      <c r="BY16" s="234"/>
      <c r="BZ16" s="554">
        <f>(Tableau1[[#This Row],[juin-24]]-Tableau1[[#This Row],[avr-24]])/Tableau1[[#This Row],[avr-24]]</f>
        <v>1.0309278350515464E-2</v>
      </c>
      <c r="CA16" s="548">
        <f>Tableau1[[#This Row],[juin-24]]-Tableau1[[#This Row],[avr-24]]</f>
        <v>1000</v>
      </c>
    </row>
    <row r="17" spans="1:79" s="12" customFormat="1" x14ac:dyDescent="0.3">
      <c r="A17" s="68">
        <v>12</v>
      </c>
      <c r="B17" s="61" t="s">
        <v>111</v>
      </c>
      <c r="C17" s="56" t="s">
        <v>59</v>
      </c>
      <c r="D17" s="56" t="s">
        <v>49</v>
      </c>
      <c r="E17" s="69">
        <v>42438</v>
      </c>
      <c r="F17" s="69">
        <v>42554</v>
      </c>
      <c r="G17" s="69">
        <v>42153</v>
      </c>
      <c r="H17" s="69">
        <v>42198</v>
      </c>
      <c r="I17" s="69">
        <v>42396</v>
      </c>
      <c r="J17" s="69">
        <v>42531</v>
      </c>
      <c r="K17" s="69">
        <v>45616</v>
      </c>
      <c r="L17" s="69">
        <v>48841</v>
      </c>
      <c r="M17" s="69">
        <v>48854</v>
      </c>
      <c r="N17" s="69">
        <v>48768</v>
      </c>
      <c r="O17" s="69">
        <v>48683</v>
      </c>
      <c r="P17" s="69">
        <v>48664</v>
      </c>
      <c r="Q17" s="69">
        <v>48738</v>
      </c>
      <c r="R17" s="69">
        <v>48797</v>
      </c>
      <c r="S17" s="69">
        <v>48803</v>
      </c>
      <c r="T17" s="69">
        <v>49090</v>
      </c>
      <c r="U17" s="69">
        <v>49300</v>
      </c>
      <c r="V17" s="69">
        <v>49719</v>
      </c>
      <c r="W17" s="69">
        <v>54213</v>
      </c>
      <c r="X17" s="69">
        <v>54467</v>
      </c>
      <c r="Y17" s="69">
        <v>54406</v>
      </c>
      <c r="Z17" s="69">
        <v>54295</v>
      </c>
      <c r="AA17" s="69">
        <v>54220</v>
      </c>
      <c r="AB17" s="69">
        <v>54116</v>
      </c>
      <c r="AC17" s="69">
        <v>54072</v>
      </c>
      <c r="AD17" s="69">
        <v>54049</v>
      </c>
      <c r="AE17" s="69">
        <v>54018</v>
      </c>
      <c r="AF17" s="69">
        <v>54144</v>
      </c>
      <c r="AG17" s="69">
        <v>54727</v>
      </c>
      <c r="AH17" s="69">
        <v>55026</v>
      </c>
      <c r="AI17" s="69">
        <v>60854</v>
      </c>
      <c r="AJ17" s="69">
        <v>62598</v>
      </c>
      <c r="AK17" s="69">
        <v>62577</v>
      </c>
      <c r="AL17" s="69">
        <v>62474</v>
      </c>
      <c r="AM17" s="69">
        <v>62439</v>
      </c>
      <c r="AN17" s="69">
        <v>62364</v>
      </c>
      <c r="AO17" s="69">
        <v>62308</v>
      </c>
      <c r="AP17" s="69">
        <v>62246</v>
      </c>
      <c r="AQ17" s="69">
        <v>62233</v>
      </c>
      <c r="AR17" s="69">
        <v>62137</v>
      </c>
      <c r="AS17" s="69">
        <v>62263</v>
      </c>
      <c r="AT17" s="69">
        <v>62323</v>
      </c>
      <c r="AU17" s="69">
        <v>62885</v>
      </c>
      <c r="AV17" s="69">
        <v>65739</v>
      </c>
      <c r="AW17" s="69">
        <v>65659</v>
      </c>
      <c r="AX17" s="69">
        <v>65600</v>
      </c>
      <c r="AY17" s="69">
        <v>65505</v>
      </c>
      <c r="AZ17" s="69">
        <v>65383</v>
      </c>
      <c r="BA17" s="69">
        <v>65353</v>
      </c>
      <c r="BB17" s="69">
        <v>65257</v>
      </c>
      <c r="BC17" s="69">
        <v>65210</v>
      </c>
      <c r="BD17" s="69">
        <v>65207</v>
      </c>
      <c r="BE17" s="69">
        <v>65208</v>
      </c>
      <c r="BF17" s="69">
        <v>65226</v>
      </c>
      <c r="BG17" s="69">
        <v>65489</v>
      </c>
      <c r="BH17" s="69">
        <v>70041</v>
      </c>
      <c r="BI17" s="69">
        <v>69915</v>
      </c>
      <c r="BJ17" s="69">
        <v>69820</v>
      </c>
      <c r="BK17" s="69">
        <v>69731</v>
      </c>
      <c r="BL17" s="69">
        <v>69427</v>
      </c>
      <c r="BM17" s="202">
        <f>(Tableau1[[#This Row],[mars-20]]-Tableau1[[#This Row],[dec-19]])/Tableau1[[#This Row],[dec-19]]</f>
        <v>-4.3596105032195154E-3</v>
      </c>
      <c r="BN17" s="187">
        <f>Tableau1[[#This Row],[mars-20]]-Tableau1[[#This Row],[dec-19]]</f>
        <v>-304</v>
      </c>
      <c r="BO17" s="21">
        <v>72830</v>
      </c>
      <c r="BP17" s="234">
        <v>72711</v>
      </c>
      <c r="BQ17" s="234">
        <v>75965</v>
      </c>
      <c r="BR17" s="234">
        <v>75612</v>
      </c>
      <c r="BS17" s="21">
        <v>75567</v>
      </c>
      <c r="BT17" s="234">
        <v>78959</v>
      </c>
      <c r="BU17" s="234">
        <v>78962</v>
      </c>
      <c r="BV17" s="234">
        <v>82000</v>
      </c>
      <c r="BW17" s="21">
        <v>90000</v>
      </c>
      <c r="BX17" s="234">
        <v>99000</v>
      </c>
      <c r="BY17" s="234"/>
      <c r="BZ17" s="554">
        <f>(Tableau1[[#This Row],[juin-24]]-Tableau1[[#This Row],[avr-24]])/Tableau1[[#This Row],[avr-24]]</f>
        <v>0.1</v>
      </c>
      <c r="CA17" s="548">
        <f>Tableau1[[#This Row],[juin-24]]-Tableau1[[#This Row],[avr-24]]</f>
        <v>9000</v>
      </c>
    </row>
    <row r="18" spans="1:79" x14ac:dyDescent="0.3">
      <c r="A18" s="74">
        <v>17</v>
      </c>
      <c r="B18" s="55" t="s">
        <v>165</v>
      </c>
      <c r="C18" s="56" t="s">
        <v>59</v>
      </c>
      <c r="D18" s="56" t="s">
        <v>49</v>
      </c>
      <c r="E18" s="69"/>
      <c r="F18" s="69"/>
      <c r="G18" s="69">
        <v>220</v>
      </c>
      <c r="H18" s="69">
        <v>248</v>
      </c>
      <c r="I18" s="69">
        <v>326</v>
      </c>
      <c r="J18" s="69">
        <v>349</v>
      </c>
      <c r="K18" s="69">
        <v>470</v>
      </c>
      <c r="L18" s="69">
        <v>577</v>
      </c>
      <c r="M18" s="69">
        <v>7257</v>
      </c>
      <c r="N18" s="69">
        <v>20064</v>
      </c>
      <c r="O18" s="69">
        <v>20023</v>
      </c>
      <c r="P18" s="69">
        <v>19990</v>
      </c>
      <c r="Q18" s="69">
        <v>20030</v>
      </c>
      <c r="R18" s="69">
        <v>20032</v>
      </c>
      <c r="S18" s="69">
        <v>20018</v>
      </c>
      <c r="T18" s="69">
        <v>20001</v>
      </c>
      <c r="U18" s="69">
        <v>19991</v>
      </c>
      <c r="V18" s="69">
        <v>19977</v>
      </c>
      <c r="W18" s="69">
        <v>19985</v>
      </c>
      <c r="X18" s="69">
        <v>19986</v>
      </c>
      <c r="Y18" s="69">
        <v>22413</v>
      </c>
      <c r="Z18" s="69">
        <v>28867</v>
      </c>
      <c r="AA18" s="69">
        <v>29108</v>
      </c>
      <c r="AB18" s="69">
        <v>29073</v>
      </c>
      <c r="AC18" s="69">
        <v>29144</v>
      </c>
      <c r="AD18" s="69">
        <v>36987</v>
      </c>
      <c r="AE18" s="69">
        <v>37118</v>
      </c>
      <c r="AF18" s="69">
        <v>37080</v>
      </c>
      <c r="AG18" s="69">
        <v>37056</v>
      </c>
      <c r="AH18" s="69">
        <v>37038</v>
      </c>
      <c r="AI18" s="69">
        <v>36992</v>
      </c>
      <c r="AJ18" s="69">
        <v>37010</v>
      </c>
      <c r="AK18" s="69">
        <v>36963</v>
      </c>
      <c r="AL18" s="69">
        <v>36900</v>
      </c>
      <c r="AM18" s="69">
        <v>36832</v>
      </c>
      <c r="AN18" s="69">
        <v>36757</v>
      </c>
      <c r="AO18" s="69">
        <v>36821</v>
      </c>
      <c r="AP18" s="69">
        <v>47644</v>
      </c>
      <c r="AQ18" s="69">
        <v>47672</v>
      </c>
      <c r="AR18" s="69">
        <v>47554</v>
      </c>
      <c r="AS18" s="69">
        <v>47467</v>
      </c>
      <c r="AT18" s="69">
        <v>47398</v>
      </c>
      <c r="AU18" s="69">
        <v>47279</v>
      </c>
      <c r="AV18" s="69">
        <v>47050</v>
      </c>
      <c r="AW18" s="69">
        <v>46993</v>
      </c>
      <c r="AX18" s="69">
        <v>46935</v>
      </c>
      <c r="AY18" s="144">
        <v>46889</v>
      </c>
      <c r="AZ18" s="144">
        <v>46861</v>
      </c>
      <c r="BA18" s="144">
        <v>46902</v>
      </c>
      <c r="BB18" s="144">
        <v>59995</v>
      </c>
      <c r="BC18" s="144">
        <v>61110</v>
      </c>
      <c r="BD18" s="144">
        <v>61027</v>
      </c>
      <c r="BE18" s="144">
        <v>60000</v>
      </c>
      <c r="BF18" s="144">
        <v>60800</v>
      </c>
      <c r="BG18" s="144">
        <v>60731</v>
      </c>
      <c r="BH18" s="144">
        <v>60595</v>
      </c>
      <c r="BI18" s="144">
        <v>60460</v>
      </c>
      <c r="BJ18" s="144">
        <v>60348</v>
      </c>
      <c r="BK18" s="144">
        <v>60285</v>
      </c>
      <c r="BL18" s="69">
        <v>65008</v>
      </c>
      <c r="BM18" s="202">
        <f>(Tableau1[[#This Row],[mars-20]]-Tableau1[[#This Row],[dec-19]])/Tableau1[[#This Row],[dec-19]]</f>
        <v>7.8344530148461475E-2</v>
      </c>
      <c r="BN18" s="187">
        <f>Tableau1[[#This Row],[mars-20]]-Tableau1[[#This Row],[dec-19]]</f>
        <v>4723</v>
      </c>
      <c r="BO18" s="21">
        <v>64461</v>
      </c>
      <c r="BP18" s="234">
        <v>64305</v>
      </c>
      <c r="BQ18" s="234">
        <v>71742</v>
      </c>
      <c r="BR18" s="234">
        <v>73468</v>
      </c>
      <c r="BS18" s="21">
        <v>71222</v>
      </c>
      <c r="BT18" s="234">
        <v>73525</v>
      </c>
      <c r="BU18" s="234">
        <v>73362</v>
      </c>
      <c r="BV18" s="234">
        <v>73000</v>
      </c>
      <c r="BW18" s="21">
        <v>73000</v>
      </c>
      <c r="BX18" s="234">
        <v>73000</v>
      </c>
      <c r="BY18" s="234"/>
      <c r="BZ18" s="554">
        <f>(Tableau1[[#This Row],[juin-24]]-Tableau1[[#This Row],[avr-24]])/Tableau1[[#This Row],[avr-24]]</f>
        <v>0</v>
      </c>
      <c r="CA18" s="548">
        <f>Tableau1[[#This Row],[juin-24]]-Tableau1[[#This Row],[avr-24]]</f>
        <v>0</v>
      </c>
    </row>
    <row r="19" spans="1:79" s="12" customFormat="1" x14ac:dyDescent="0.3">
      <c r="A19" s="68">
        <v>24</v>
      </c>
      <c r="B19" s="61" t="s">
        <v>21</v>
      </c>
      <c r="C19" s="56" t="s">
        <v>59</v>
      </c>
      <c r="D19" s="56" t="s">
        <v>50</v>
      </c>
      <c r="E19" s="69">
        <v>11199</v>
      </c>
      <c r="F19" s="69">
        <v>11514</v>
      </c>
      <c r="G19" s="69">
        <v>12281</v>
      </c>
      <c r="H19" s="69">
        <v>14006</v>
      </c>
      <c r="I19" s="69">
        <v>14054</v>
      </c>
      <c r="J19" s="69">
        <v>14159</v>
      </c>
      <c r="K19" s="69">
        <v>14267</v>
      </c>
      <c r="L19" s="69">
        <v>14378</v>
      </c>
      <c r="M19" s="69">
        <v>14396</v>
      </c>
      <c r="N19" s="69">
        <v>14417</v>
      </c>
      <c r="O19" s="69">
        <v>14494</v>
      </c>
      <c r="P19" s="69">
        <v>14516</v>
      </c>
      <c r="Q19" s="69">
        <v>15237</v>
      </c>
      <c r="R19" s="69">
        <v>15901</v>
      </c>
      <c r="S19" s="69">
        <v>16907</v>
      </c>
      <c r="T19" s="69">
        <v>19151</v>
      </c>
      <c r="U19" s="69">
        <v>19147</v>
      </c>
      <c r="V19" s="69">
        <v>19179</v>
      </c>
      <c r="W19" s="69">
        <v>19177</v>
      </c>
      <c r="X19" s="69">
        <v>19167</v>
      </c>
      <c r="Y19" s="69">
        <v>19172</v>
      </c>
      <c r="Z19" s="69">
        <v>19181</v>
      </c>
      <c r="AA19" s="69">
        <v>19241</v>
      </c>
      <c r="AB19" s="69">
        <v>19282</v>
      </c>
      <c r="AC19" s="69">
        <v>19300</v>
      </c>
      <c r="AD19" s="69">
        <v>19705</v>
      </c>
      <c r="AE19" s="69">
        <v>24795</v>
      </c>
      <c r="AF19" s="69">
        <v>25397</v>
      </c>
      <c r="AG19" s="69">
        <v>25511</v>
      </c>
      <c r="AH19" s="69">
        <v>25546</v>
      </c>
      <c r="AI19" s="69">
        <v>25571</v>
      </c>
      <c r="AJ19" s="69">
        <v>25628</v>
      </c>
      <c r="AK19" s="69">
        <v>25620</v>
      </c>
      <c r="AL19" s="69">
        <v>25603</v>
      </c>
      <c r="AM19" s="69">
        <v>25600</v>
      </c>
      <c r="AN19" s="69">
        <v>25623</v>
      </c>
      <c r="AO19" s="69">
        <v>25717</v>
      </c>
      <c r="AP19" s="69">
        <v>25826</v>
      </c>
      <c r="AQ19" s="69">
        <v>26462</v>
      </c>
      <c r="AR19" s="69">
        <v>29421</v>
      </c>
      <c r="AS19" s="69">
        <v>29342</v>
      </c>
      <c r="AT19" s="69">
        <v>29293</v>
      </c>
      <c r="AU19" s="69">
        <v>29262</v>
      </c>
      <c r="AV19" s="69">
        <v>29242</v>
      </c>
      <c r="AW19" s="69">
        <v>29232</v>
      </c>
      <c r="AX19" s="69">
        <v>29269</v>
      </c>
      <c r="AY19" s="69">
        <v>29306</v>
      </c>
      <c r="AZ19" s="69">
        <v>29451</v>
      </c>
      <c r="BA19" s="69">
        <v>29503</v>
      </c>
      <c r="BB19" s="69">
        <v>29704</v>
      </c>
      <c r="BC19" s="69">
        <v>30060</v>
      </c>
      <c r="BD19" s="69">
        <v>33551</v>
      </c>
      <c r="BE19" s="69">
        <v>33000</v>
      </c>
      <c r="BF19" s="69">
        <v>33000</v>
      </c>
      <c r="BG19" s="69">
        <v>33566</v>
      </c>
      <c r="BH19" s="69">
        <v>33552</v>
      </c>
      <c r="BI19" s="69">
        <v>33542</v>
      </c>
      <c r="BJ19" s="69">
        <v>33559</v>
      </c>
      <c r="BK19" s="69">
        <v>33574</v>
      </c>
      <c r="BL19" s="189">
        <v>33705</v>
      </c>
      <c r="BM19" s="202">
        <f>(Tableau1[[#This Row],[mars-20]]-Tableau1[[#This Row],[dec-19]])/Tableau1[[#This Row],[dec-19]]</f>
        <v>3.9018287960922143E-3</v>
      </c>
      <c r="BN19" s="187">
        <f>Tableau1[[#This Row],[mars-20]]-Tableau1[[#This Row],[dec-19]]</f>
        <v>131</v>
      </c>
      <c r="BO19" s="21">
        <v>36229</v>
      </c>
      <c r="BP19" s="234">
        <v>38268</v>
      </c>
      <c r="BQ19" s="234">
        <v>43563</v>
      </c>
      <c r="BR19" s="234">
        <v>44263</v>
      </c>
      <c r="BS19" s="21">
        <v>43325</v>
      </c>
      <c r="BT19" s="234">
        <v>47314</v>
      </c>
      <c r="BU19" s="234">
        <v>47545</v>
      </c>
      <c r="BV19" s="234">
        <v>50000</v>
      </c>
      <c r="BW19" s="21">
        <v>52000</v>
      </c>
      <c r="BX19" s="234">
        <v>52000</v>
      </c>
      <c r="BY19" s="234"/>
      <c r="BZ19" s="554">
        <f>(Tableau1[[#This Row],[juin-24]]-Tableau1[[#This Row],[avr-24]])/Tableau1[[#This Row],[avr-24]]</f>
        <v>0</v>
      </c>
      <c r="CA19" s="548">
        <f>Tableau1[[#This Row],[juin-24]]-Tableau1[[#This Row],[avr-24]]</f>
        <v>0</v>
      </c>
    </row>
    <row r="20" spans="1:79" ht="16.5" customHeight="1" x14ac:dyDescent="0.3">
      <c r="A20" s="67">
        <v>22</v>
      </c>
      <c r="B20" s="137" t="s">
        <v>25</v>
      </c>
      <c r="C20" s="56" t="s">
        <v>59</v>
      </c>
      <c r="D20" s="136" t="s">
        <v>50</v>
      </c>
      <c r="E20" s="138">
        <v>3217</v>
      </c>
      <c r="F20" s="138">
        <v>3393</v>
      </c>
      <c r="G20" s="138">
        <v>3865</v>
      </c>
      <c r="H20" s="138">
        <v>6122</v>
      </c>
      <c r="I20" s="138">
        <v>6190</v>
      </c>
      <c r="J20" s="138">
        <v>6401</v>
      </c>
      <c r="K20" s="138">
        <v>6462</v>
      </c>
      <c r="L20" s="138">
        <v>6545</v>
      </c>
      <c r="M20" s="138">
        <v>6579</v>
      </c>
      <c r="N20" s="138">
        <v>6678</v>
      </c>
      <c r="O20" s="138">
        <v>6742</v>
      </c>
      <c r="P20" s="138">
        <v>6841</v>
      </c>
      <c r="Q20" s="138">
        <v>6966</v>
      </c>
      <c r="R20" s="138">
        <v>7467</v>
      </c>
      <c r="S20" s="138">
        <v>9729</v>
      </c>
      <c r="T20" s="138">
        <v>13325</v>
      </c>
      <c r="U20" s="138">
        <v>13543</v>
      </c>
      <c r="V20" s="138">
        <v>13709</v>
      </c>
      <c r="W20" s="138">
        <v>13757</v>
      </c>
      <c r="X20" s="138">
        <v>13756</v>
      </c>
      <c r="Y20" s="138">
        <v>13784</v>
      </c>
      <c r="Z20" s="138">
        <v>13803</v>
      </c>
      <c r="AA20" s="138">
        <v>13800</v>
      </c>
      <c r="AB20" s="138">
        <v>13798</v>
      </c>
      <c r="AC20" s="138">
        <v>13917</v>
      </c>
      <c r="AD20" s="138">
        <v>14260</v>
      </c>
      <c r="AE20" s="138">
        <v>14491</v>
      </c>
      <c r="AF20" s="138">
        <v>29839</v>
      </c>
      <c r="AG20" s="138">
        <v>29841</v>
      </c>
      <c r="AH20" s="138">
        <v>29825</v>
      </c>
      <c r="AI20" s="138">
        <v>29889</v>
      </c>
      <c r="AJ20" s="138">
        <v>29846</v>
      </c>
      <c r="AK20" s="138">
        <v>29777</v>
      </c>
      <c r="AL20" s="138">
        <v>29728</v>
      </c>
      <c r="AM20" s="138">
        <v>29713</v>
      </c>
      <c r="AN20" s="138">
        <v>29675</v>
      </c>
      <c r="AO20" s="138">
        <v>29733</v>
      </c>
      <c r="AP20" s="138">
        <v>29706</v>
      </c>
      <c r="AQ20" s="138">
        <v>29714</v>
      </c>
      <c r="AR20" s="138">
        <v>32891</v>
      </c>
      <c r="AS20" s="138">
        <v>32844</v>
      </c>
      <c r="AT20" s="138">
        <v>32791</v>
      </c>
      <c r="AU20" s="138">
        <v>32756</v>
      </c>
      <c r="AV20" s="138">
        <v>32739</v>
      </c>
      <c r="AW20" s="138">
        <v>32702</v>
      </c>
      <c r="AX20" s="138">
        <v>32731</v>
      </c>
      <c r="AY20" s="138">
        <v>32741</v>
      </c>
      <c r="AZ20" s="138">
        <v>32746</v>
      </c>
      <c r="BA20" s="138">
        <v>32794</v>
      </c>
      <c r="BB20" s="138">
        <v>32850</v>
      </c>
      <c r="BC20" s="138">
        <v>33160</v>
      </c>
      <c r="BD20" s="138">
        <v>34190</v>
      </c>
      <c r="BE20" s="138">
        <v>34000</v>
      </c>
      <c r="BF20" s="138">
        <v>34338</v>
      </c>
      <c r="BG20" s="138">
        <v>34368</v>
      </c>
      <c r="BH20" s="138">
        <v>34318</v>
      </c>
      <c r="BI20" s="138">
        <v>34292</v>
      </c>
      <c r="BJ20" s="138">
        <v>34276</v>
      </c>
      <c r="BK20" s="138">
        <v>34257</v>
      </c>
      <c r="BL20" s="138">
        <v>34328</v>
      </c>
      <c r="BM20" s="202">
        <f>(Tableau1[[#This Row],[mars-20]]-Tableau1[[#This Row],[dec-19]])/Tableau1[[#This Row],[dec-19]]</f>
        <v>2.0725691099629275E-3</v>
      </c>
      <c r="BN20" s="187">
        <f>Tableau1[[#This Row],[mars-20]]-Tableau1[[#This Row],[dec-19]]</f>
        <v>71</v>
      </c>
      <c r="BO20" s="21">
        <v>35313</v>
      </c>
      <c r="BP20" s="234">
        <v>37056</v>
      </c>
      <c r="BQ20" s="234">
        <v>42605</v>
      </c>
      <c r="BR20" s="234">
        <v>39781</v>
      </c>
      <c r="BS20" s="21">
        <v>40732</v>
      </c>
      <c r="BT20" s="234">
        <v>44331</v>
      </c>
      <c r="BU20" s="234">
        <v>44261</v>
      </c>
      <c r="BV20" s="234">
        <v>49879</v>
      </c>
      <c r="BW20" s="21">
        <v>55000</v>
      </c>
      <c r="BX20" s="234">
        <v>56000</v>
      </c>
      <c r="BY20" s="234"/>
      <c r="BZ20" s="554">
        <f>(Tableau1[[#This Row],[juin-24]]-Tableau1[[#This Row],[avr-24]])/Tableau1[[#This Row],[avr-24]]</f>
        <v>1.8181818181818181E-2</v>
      </c>
      <c r="CA20" s="548">
        <f>Tableau1[[#This Row],[juin-24]]-Tableau1[[#This Row],[avr-24]]</f>
        <v>1000</v>
      </c>
    </row>
    <row r="21" spans="1:79" x14ac:dyDescent="0.3">
      <c r="A21" s="68">
        <v>35</v>
      </c>
      <c r="B21" s="61" t="s">
        <v>180</v>
      </c>
      <c r="C21" s="56"/>
      <c r="D21" s="56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144"/>
      <c r="AZ21" s="144"/>
      <c r="BA21" s="144"/>
      <c r="BB21" s="144">
        <v>24850</v>
      </c>
      <c r="BC21" s="144">
        <v>24985</v>
      </c>
      <c r="BD21" s="144">
        <v>25017</v>
      </c>
      <c r="BE21" s="144">
        <v>25001</v>
      </c>
      <c r="BF21" s="144">
        <v>25087</v>
      </c>
      <c r="BG21" s="144">
        <v>25551</v>
      </c>
      <c r="BH21" s="144">
        <v>26029</v>
      </c>
      <c r="BI21" s="144">
        <v>26156</v>
      </c>
      <c r="BJ21" s="144">
        <v>26430</v>
      </c>
      <c r="BK21" s="144">
        <v>26495</v>
      </c>
      <c r="BL21" s="189">
        <v>39711</v>
      </c>
      <c r="BM21" s="202">
        <f>(Tableau1[[#This Row],[mars-20]]-Tableau1[[#This Row],[dec-19]])/Tableau1[[#This Row],[dec-19]]</f>
        <v>0.4988110964332893</v>
      </c>
      <c r="BN21" s="187">
        <f>Tableau1[[#This Row],[mars-20]]-Tableau1[[#This Row],[dec-19]]</f>
        <v>13216</v>
      </c>
      <c r="BO21" s="21">
        <v>40192</v>
      </c>
      <c r="BP21" s="234">
        <v>40236</v>
      </c>
      <c r="BQ21" s="234">
        <v>42929</v>
      </c>
      <c r="BR21" s="234">
        <v>42744</v>
      </c>
      <c r="BS21" s="21">
        <v>39893</v>
      </c>
      <c r="BT21" s="234">
        <v>42577</v>
      </c>
      <c r="BU21" s="234">
        <v>42000</v>
      </c>
      <c r="BV21" s="234">
        <v>41000</v>
      </c>
      <c r="BW21" s="21">
        <v>46000</v>
      </c>
      <c r="BX21" s="234">
        <v>46000</v>
      </c>
      <c r="BY21" s="234"/>
      <c r="BZ21" s="554">
        <f>(Tableau1[[#This Row],[juin-24]]-Tableau1[[#This Row],[avr-24]])/Tableau1[[#This Row],[avr-24]]</f>
        <v>0</v>
      </c>
      <c r="CA21" s="548">
        <f>Tableau1[[#This Row],[juin-24]]-Tableau1[[#This Row],[avr-24]]</f>
        <v>0</v>
      </c>
    </row>
    <row r="22" spans="1:79" x14ac:dyDescent="0.3">
      <c r="A22" s="74">
        <v>23</v>
      </c>
      <c r="B22" s="61" t="s">
        <v>41</v>
      </c>
      <c r="C22" s="56" t="s">
        <v>59</v>
      </c>
      <c r="D22" s="56" t="s">
        <v>50</v>
      </c>
      <c r="E22" s="69">
        <v>12162</v>
      </c>
      <c r="F22" s="69">
        <v>12583</v>
      </c>
      <c r="G22" s="69">
        <v>12594</v>
      </c>
      <c r="H22" s="69">
        <v>12756</v>
      </c>
      <c r="I22" s="69">
        <v>13029</v>
      </c>
      <c r="J22" s="69">
        <v>13275</v>
      </c>
      <c r="K22" s="69">
        <v>15265</v>
      </c>
      <c r="L22" s="69">
        <v>17564</v>
      </c>
      <c r="M22" s="69">
        <v>17808</v>
      </c>
      <c r="N22" s="69">
        <v>18077</v>
      </c>
      <c r="O22" s="69">
        <v>18214</v>
      </c>
      <c r="P22" s="69">
        <v>19251</v>
      </c>
      <c r="Q22" s="69">
        <v>19726</v>
      </c>
      <c r="R22" s="69">
        <v>20248</v>
      </c>
      <c r="S22" s="69">
        <v>20419</v>
      </c>
      <c r="T22" s="69">
        <v>20607</v>
      </c>
      <c r="U22" s="69">
        <v>20890</v>
      </c>
      <c r="V22" s="69">
        <v>21047</v>
      </c>
      <c r="W22" s="69">
        <v>24059</v>
      </c>
      <c r="X22" s="69">
        <v>24719</v>
      </c>
      <c r="Y22" s="69">
        <v>24983</v>
      </c>
      <c r="Z22" s="69">
        <v>25216</v>
      </c>
      <c r="AA22" s="69">
        <v>25243</v>
      </c>
      <c r="AB22" s="69">
        <v>25216</v>
      </c>
      <c r="AC22" s="69">
        <v>25251</v>
      </c>
      <c r="AD22" s="69">
        <v>25506</v>
      </c>
      <c r="AE22" s="69">
        <v>25566</v>
      </c>
      <c r="AF22" s="69">
        <v>25642</v>
      </c>
      <c r="AG22" s="69">
        <v>25814</v>
      </c>
      <c r="AH22" s="69">
        <v>25947</v>
      </c>
      <c r="AI22" s="69">
        <v>27993</v>
      </c>
      <c r="AJ22" s="69">
        <v>28847</v>
      </c>
      <c r="AK22" s="69">
        <v>28940</v>
      </c>
      <c r="AL22" s="69">
        <v>28969</v>
      </c>
      <c r="AM22" s="69">
        <v>28977</v>
      </c>
      <c r="AN22" s="69">
        <v>29013</v>
      </c>
      <c r="AO22" s="69">
        <v>29033</v>
      </c>
      <c r="AP22" s="69">
        <v>29461</v>
      </c>
      <c r="AQ22" s="69">
        <v>29595</v>
      </c>
      <c r="AR22" s="69">
        <v>29555</v>
      </c>
      <c r="AS22" s="69">
        <v>29663</v>
      </c>
      <c r="AT22" s="69">
        <v>29805</v>
      </c>
      <c r="AU22" s="69">
        <v>31271</v>
      </c>
      <c r="AV22" s="69">
        <v>31924</v>
      </c>
      <c r="AW22" s="69">
        <v>32028</v>
      </c>
      <c r="AX22" s="69">
        <v>32142</v>
      </c>
      <c r="AY22" s="144">
        <v>32208</v>
      </c>
      <c r="AZ22" s="144">
        <v>32344</v>
      </c>
      <c r="BA22" s="144">
        <v>32404</v>
      </c>
      <c r="BB22" s="144">
        <v>32956</v>
      </c>
      <c r="BC22" s="144">
        <v>33195</v>
      </c>
      <c r="BD22" s="144">
        <v>33407</v>
      </c>
      <c r="BE22" s="144">
        <v>33000</v>
      </c>
      <c r="BF22" s="144">
        <v>33835</v>
      </c>
      <c r="BG22" s="144">
        <v>34205</v>
      </c>
      <c r="BH22" s="144">
        <v>35571</v>
      </c>
      <c r="BI22" s="144">
        <v>35568</v>
      </c>
      <c r="BJ22" s="144">
        <v>35535</v>
      </c>
      <c r="BK22" s="144">
        <v>35519</v>
      </c>
      <c r="BL22" s="189">
        <v>36156</v>
      </c>
      <c r="BM22" s="202">
        <f>(Tableau1[[#This Row],[mars-20]]-Tableau1[[#This Row],[dec-19]])/Tableau1[[#This Row],[dec-19]]</f>
        <v>1.7934063458993777E-2</v>
      </c>
      <c r="BN22" s="187">
        <f>Tableau1[[#This Row],[mars-20]]-Tableau1[[#This Row],[dec-19]]</f>
        <v>637</v>
      </c>
      <c r="BO22" s="21">
        <v>36351</v>
      </c>
      <c r="BP22" s="234">
        <v>36015</v>
      </c>
      <c r="BQ22" s="234">
        <v>36672</v>
      </c>
      <c r="BR22" s="234">
        <v>37970</v>
      </c>
      <c r="BS22" s="21">
        <v>36737</v>
      </c>
      <c r="BT22" s="234">
        <v>40061</v>
      </c>
      <c r="BU22" s="234">
        <v>40527</v>
      </c>
      <c r="BV22" s="234">
        <v>41000</v>
      </c>
      <c r="BW22" s="21">
        <v>42000</v>
      </c>
      <c r="BX22" s="234">
        <v>42000</v>
      </c>
      <c r="BY22" s="234"/>
      <c r="BZ22" s="554">
        <f>(Tableau1[[#This Row],[juin-24]]-Tableau1[[#This Row],[avr-24]])/Tableau1[[#This Row],[avr-24]]</f>
        <v>0</v>
      </c>
      <c r="CA22" s="548">
        <f>Tableau1[[#This Row],[juin-24]]-Tableau1[[#This Row],[avr-24]]</f>
        <v>0</v>
      </c>
    </row>
    <row r="23" spans="1:79" s="12" customFormat="1" ht="18" customHeight="1" x14ac:dyDescent="0.3">
      <c r="A23" s="75">
        <v>34</v>
      </c>
      <c r="B23" s="311" t="s">
        <v>241</v>
      </c>
      <c r="C23" s="305"/>
      <c r="D23" s="305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7"/>
      <c r="S23" s="307"/>
      <c r="T23" s="307"/>
      <c r="U23" s="307"/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  <c r="AF23" s="307"/>
      <c r="AG23" s="307"/>
      <c r="AH23" s="307"/>
      <c r="AI23" s="307"/>
      <c r="AJ23" s="307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308"/>
      <c r="BM23" s="309"/>
      <c r="BN23" s="310">
        <f>Tableau1[[#This Row],[mars-20]]-Tableau1[[#This Row],[dec-19]]</f>
        <v>0</v>
      </c>
      <c r="BO23" s="21"/>
      <c r="BP23" s="234"/>
      <c r="BQ23" s="234"/>
      <c r="BR23" s="234">
        <v>38709</v>
      </c>
      <c r="BS23" s="21">
        <v>37929</v>
      </c>
      <c r="BT23" s="234">
        <v>38828</v>
      </c>
      <c r="BU23" s="234">
        <v>44746</v>
      </c>
      <c r="BV23" s="234">
        <v>47453</v>
      </c>
      <c r="BW23" s="21">
        <v>49000</v>
      </c>
      <c r="BX23" s="234">
        <v>49000</v>
      </c>
      <c r="BY23" s="234"/>
      <c r="BZ23" s="554">
        <f>(Tableau1[[#This Row],[juin-24]]-Tableau1[[#This Row],[avr-24]])/Tableau1[[#This Row],[avr-24]]</f>
        <v>0</v>
      </c>
      <c r="CA23" s="548">
        <f>Tableau1[[#This Row],[juin-24]]-Tableau1[[#This Row],[avr-24]]</f>
        <v>0</v>
      </c>
    </row>
    <row r="24" spans="1:79" x14ac:dyDescent="0.3">
      <c r="A24" s="74">
        <v>20</v>
      </c>
      <c r="B24" s="61" t="s">
        <v>76</v>
      </c>
      <c r="C24" s="56" t="s">
        <v>45</v>
      </c>
      <c r="D24" s="56" t="s">
        <v>49</v>
      </c>
      <c r="E24" s="69"/>
      <c r="F24" s="69"/>
      <c r="G24" s="69"/>
      <c r="H24" s="69">
        <v>28658</v>
      </c>
      <c r="I24" s="69">
        <v>28995</v>
      </c>
      <c r="J24" s="69">
        <v>29078</v>
      </c>
      <c r="K24" s="69">
        <v>29318</v>
      </c>
      <c r="L24" s="69">
        <v>29497</v>
      </c>
      <c r="M24" s="69">
        <v>29629</v>
      </c>
      <c r="N24" s="69">
        <v>29789</v>
      </c>
      <c r="O24" s="69">
        <v>29819</v>
      </c>
      <c r="P24" s="69">
        <v>29870</v>
      </c>
      <c r="Q24" s="69">
        <v>29921</v>
      </c>
      <c r="R24" s="69">
        <v>30024</v>
      </c>
      <c r="S24" s="69">
        <v>30638</v>
      </c>
      <c r="T24" s="69">
        <v>32114</v>
      </c>
      <c r="U24" s="69">
        <v>32271</v>
      </c>
      <c r="V24" s="69">
        <v>32234</v>
      </c>
      <c r="W24" s="69">
        <v>32174</v>
      </c>
      <c r="X24" s="69">
        <v>32149</v>
      </c>
      <c r="Y24" s="69">
        <v>32098</v>
      </c>
      <c r="Z24" s="69">
        <v>32032</v>
      </c>
      <c r="AA24" s="69">
        <v>31987</v>
      </c>
      <c r="AB24" s="69">
        <v>31891</v>
      </c>
      <c r="AC24" s="69">
        <v>31869</v>
      </c>
      <c r="AD24" s="69">
        <v>31922</v>
      </c>
      <c r="AE24" s="69">
        <v>31976</v>
      </c>
      <c r="AF24" s="69">
        <v>33838</v>
      </c>
      <c r="AG24" s="69">
        <v>33799</v>
      </c>
      <c r="AH24" s="69">
        <v>33766</v>
      </c>
      <c r="AI24" s="69">
        <v>33758</v>
      </c>
      <c r="AJ24" s="69">
        <v>33734</v>
      </c>
      <c r="AK24" s="69">
        <v>33673</v>
      </c>
      <c r="AL24" s="69">
        <v>33619</v>
      </c>
      <c r="AM24" s="69">
        <v>33654</v>
      </c>
      <c r="AN24" s="69">
        <v>33607</v>
      </c>
      <c r="AO24" s="69">
        <v>33590</v>
      </c>
      <c r="AP24" s="69">
        <v>33532</v>
      </c>
      <c r="AQ24" s="69">
        <v>33517</v>
      </c>
      <c r="AR24" s="69">
        <v>34849</v>
      </c>
      <c r="AS24" s="69">
        <v>34778</v>
      </c>
      <c r="AT24" s="69">
        <v>34724</v>
      </c>
      <c r="AU24" s="69">
        <v>34649</v>
      </c>
      <c r="AV24" s="69">
        <v>34595</v>
      </c>
      <c r="AW24" s="69">
        <v>34552</v>
      </c>
      <c r="AX24" s="69">
        <v>34518</v>
      </c>
      <c r="AY24" s="69">
        <v>34483</v>
      </c>
      <c r="AZ24" s="69">
        <v>34449</v>
      </c>
      <c r="BA24" s="69">
        <v>34460</v>
      </c>
      <c r="BB24" s="69">
        <v>34450</v>
      </c>
      <c r="BC24" s="69">
        <v>34415</v>
      </c>
      <c r="BD24" s="69">
        <v>35654</v>
      </c>
      <c r="BE24" s="69">
        <v>35000</v>
      </c>
      <c r="BF24" s="69">
        <v>35587</v>
      </c>
      <c r="BG24" s="69">
        <v>35571</v>
      </c>
      <c r="BH24" s="69">
        <v>35511</v>
      </c>
      <c r="BI24" s="69">
        <v>35473</v>
      </c>
      <c r="BJ24" s="69">
        <v>35451</v>
      </c>
      <c r="BK24" s="69">
        <v>35399</v>
      </c>
      <c r="BL24" s="189">
        <v>35253</v>
      </c>
      <c r="BM24" s="202">
        <f>(Tableau1[[#This Row],[mars-20]]-Tableau1[[#This Row],[dec-19]])/Tableau1[[#This Row],[dec-19]]</f>
        <v>-4.124410294076104E-3</v>
      </c>
      <c r="BN24" s="187">
        <f>Tableau1[[#This Row],[mars-20]]-Tableau1[[#This Row],[dec-19]]</f>
        <v>-146</v>
      </c>
      <c r="BO24" s="21">
        <v>34954</v>
      </c>
      <c r="BP24" s="234">
        <v>34852</v>
      </c>
      <c r="BQ24" s="251">
        <v>36584</v>
      </c>
      <c r="BR24" s="250">
        <v>36380</v>
      </c>
      <c r="BS24" s="251">
        <v>36932</v>
      </c>
      <c r="BT24" s="250">
        <v>37642</v>
      </c>
      <c r="BU24" s="250">
        <v>37000</v>
      </c>
      <c r="BV24" s="250">
        <v>37000</v>
      </c>
      <c r="BW24" s="251">
        <v>38000</v>
      </c>
      <c r="BX24" s="250">
        <v>38000</v>
      </c>
      <c r="BY24" s="250"/>
      <c r="BZ24" s="554">
        <f>(Tableau1[[#This Row],[juin-24]]-Tableau1[[#This Row],[avr-24]])/Tableau1[[#This Row],[avr-24]]</f>
        <v>0</v>
      </c>
      <c r="CA24" s="548">
        <f>Tableau1[[#This Row],[juin-24]]-Tableau1[[#This Row],[avr-24]]</f>
        <v>0</v>
      </c>
    </row>
    <row r="25" spans="1:79" x14ac:dyDescent="0.3">
      <c r="A25" s="80">
        <v>21</v>
      </c>
      <c r="B25" s="61" t="s">
        <v>67</v>
      </c>
      <c r="C25" s="81" t="s">
        <v>45</v>
      </c>
      <c r="D25" s="81" t="s">
        <v>50</v>
      </c>
      <c r="E25" s="82"/>
      <c r="F25" s="82"/>
      <c r="G25" s="82"/>
      <c r="H25" s="82"/>
      <c r="I25" s="82">
        <v>6574</v>
      </c>
      <c r="J25" s="82">
        <v>6774</v>
      </c>
      <c r="K25" s="82">
        <v>6808</v>
      </c>
      <c r="L25" s="82">
        <v>6910</v>
      </c>
      <c r="M25" s="82">
        <v>6935</v>
      </c>
      <c r="N25" s="82">
        <v>16844</v>
      </c>
      <c r="O25" s="82">
        <v>20184</v>
      </c>
      <c r="P25" s="82">
        <v>21446</v>
      </c>
      <c r="Q25" s="82">
        <v>22130</v>
      </c>
      <c r="R25" s="82">
        <v>22545</v>
      </c>
      <c r="S25" s="82">
        <v>22863</v>
      </c>
      <c r="T25" s="82">
        <v>23418</v>
      </c>
      <c r="U25" s="82">
        <v>24855</v>
      </c>
      <c r="V25" s="82">
        <v>25627</v>
      </c>
      <c r="W25" s="82">
        <v>26182</v>
      </c>
      <c r="X25" s="82">
        <v>26522</v>
      </c>
      <c r="Y25" s="82">
        <v>26879</v>
      </c>
      <c r="Z25" s="82">
        <v>27542</v>
      </c>
      <c r="AA25" s="82">
        <v>27861</v>
      </c>
      <c r="AB25" s="82">
        <v>29316</v>
      </c>
      <c r="AC25" s="82">
        <v>29484</v>
      </c>
      <c r="AD25" s="82">
        <v>29587</v>
      </c>
      <c r="AE25" s="82">
        <v>30409</v>
      </c>
      <c r="AF25" s="82">
        <v>30618</v>
      </c>
      <c r="AG25" s="82">
        <v>31178</v>
      </c>
      <c r="AH25" s="82">
        <v>32303</v>
      </c>
      <c r="AI25" s="82">
        <v>32848</v>
      </c>
      <c r="AJ25" s="82">
        <v>33048</v>
      </c>
      <c r="AK25" s="82">
        <v>33466</v>
      </c>
      <c r="AL25" s="82">
        <v>33456</v>
      </c>
      <c r="AM25" s="82">
        <v>33609</v>
      </c>
      <c r="AN25" s="82">
        <v>33745</v>
      </c>
      <c r="AO25" s="82">
        <v>33813</v>
      </c>
      <c r="AP25" s="82">
        <v>33947</v>
      </c>
      <c r="AQ25" s="82">
        <v>33969</v>
      </c>
      <c r="AR25" s="82">
        <v>33943</v>
      </c>
      <c r="AS25" s="82">
        <v>34106</v>
      </c>
      <c r="AT25" s="82">
        <v>34189</v>
      </c>
      <c r="AU25" s="82">
        <v>34450</v>
      </c>
      <c r="AV25" s="82">
        <v>34446</v>
      </c>
      <c r="AW25" s="82">
        <v>34434</v>
      </c>
      <c r="AX25" s="82">
        <v>34426</v>
      </c>
      <c r="AY25" s="82">
        <v>34383</v>
      </c>
      <c r="AZ25" s="82">
        <v>34403</v>
      </c>
      <c r="BA25" s="82">
        <v>34484</v>
      </c>
      <c r="BB25" s="82">
        <v>34450</v>
      </c>
      <c r="BC25" s="82">
        <v>34410</v>
      </c>
      <c r="BD25" s="82">
        <v>34392</v>
      </c>
      <c r="BE25" s="82">
        <v>34000</v>
      </c>
      <c r="BF25" s="82">
        <v>34377</v>
      </c>
      <c r="BG25" s="82">
        <v>34367</v>
      </c>
      <c r="BH25" s="82">
        <v>34358</v>
      </c>
      <c r="BI25" s="82">
        <v>34354</v>
      </c>
      <c r="BJ25" s="82">
        <v>34380</v>
      </c>
      <c r="BK25" s="82">
        <v>34313</v>
      </c>
      <c r="BL25" s="69">
        <v>34171</v>
      </c>
      <c r="BM25" s="202">
        <f>(Tableau1[[#This Row],[mars-20]]-Tableau1[[#This Row],[dec-19]])/Tableau1[[#This Row],[dec-19]]</f>
        <v>-4.1383732113193248E-3</v>
      </c>
      <c r="BN25" s="187">
        <f>Tableau1[[#This Row],[mars-20]]-Tableau1[[#This Row],[dec-19]]</f>
        <v>-142</v>
      </c>
      <c r="BO25" s="21">
        <v>33777</v>
      </c>
      <c r="BP25" s="234">
        <v>33684</v>
      </c>
      <c r="BQ25" s="234">
        <v>33458</v>
      </c>
      <c r="BR25" s="234">
        <v>33253</v>
      </c>
      <c r="BS25" s="21">
        <v>33157</v>
      </c>
      <c r="BT25" s="234">
        <v>33270</v>
      </c>
      <c r="BU25" s="234">
        <v>33256</v>
      </c>
      <c r="BV25" s="234">
        <v>33000</v>
      </c>
      <c r="BW25" s="21">
        <v>32000</v>
      </c>
      <c r="BX25" s="234">
        <v>32000</v>
      </c>
      <c r="BY25" s="234"/>
      <c r="BZ25" s="554">
        <f>(Tableau1[[#This Row],[juin-24]]-Tableau1[[#This Row],[avr-24]])/Tableau1[[#This Row],[avr-24]]</f>
        <v>0</v>
      </c>
      <c r="CA25" s="548">
        <f>Tableau1[[#This Row],[juin-24]]-Tableau1[[#This Row],[avr-24]]</f>
        <v>0</v>
      </c>
    </row>
    <row r="26" spans="1:79" x14ac:dyDescent="0.3">
      <c r="A26" s="68">
        <v>25</v>
      </c>
      <c r="B26" s="61" t="s">
        <v>27</v>
      </c>
      <c r="C26" s="56" t="s">
        <v>59</v>
      </c>
      <c r="D26" s="56" t="s">
        <v>49</v>
      </c>
      <c r="E26" s="69">
        <v>8343</v>
      </c>
      <c r="F26" s="69">
        <v>8336</v>
      </c>
      <c r="G26" s="69">
        <v>8338</v>
      </c>
      <c r="H26" s="69">
        <v>8377</v>
      </c>
      <c r="I26" s="69">
        <v>8511</v>
      </c>
      <c r="J26" s="69">
        <v>12466</v>
      </c>
      <c r="K26" s="69">
        <v>12594</v>
      </c>
      <c r="L26" s="69">
        <v>12586</v>
      </c>
      <c r="M26" s="69">
        <v>12583</v>
      </c>
      <c r="N26" s="69">
        <v>12610</v>
      </c>
      <c r="O26" s="69">
        <v>12651</v>
      </c>
      <c r="P26" s="69">
        <v>12983</v>
      </c>
      <c r="Q26" s="69">
        <v>13004</v>
      </c>
      <c r="R26" s="69">
        <v>13034</v>
      </c>
      <c r="S26" s="69">
        <v>13196</v>
      </c>
      <c r="T26" s="69">
        <v>13521</v>
      </c>
      <c r="U26" s="69">
        <v>13725</v>
      </c>
      <c r="V26" s="69">
        <v>17330</v>
      </c>
      <c r="W26" s="69">
        <v>17927</v>
      </c>
      <c r="X26" s="69">
        <v>17930</v>
      </c>
      <c r="Y26" s="69">
        <v>17940</v>
      </c>
      <c r="Z26" s="69">
        <v>17913</v>
      </c>
      <c r="AA26" s="69">
        <v>17971</v>
      </c>
      <c r="AB26" s="69">
        <v>18054</v>
      </c>
      <c r="AC26" s="69">
        <v>18103</v>
      </c>
      <c r="AD26" s="69">
        <v>18238</v>
      </c>
      <c r="AE26" s="69">
        <v>18303</v>
      </c>
      <c r="AF26" s="69">
        <v>18450</v>
      </c>
      <c r="AG26" s="69">
        <v>18596</v>
      </c>
      <c r="AH26" s="69">
        <v>21648</v>
      </c>
      <c r="AI26" s="69">
        <v>21688</v>
      </c>
      <c r="AJ26" s="69">
        <v>21663</v>
      </c>
      <c r="AK26" s="69">
        <v>21626</v>
      </c>
      <c r="AL26" s="69">
        <v>21598</v>
      </c>
      <c r="AM26" s="69">
        <v>21606</v>
      </c>
      <c r="AN26" s="69">
        <v>21636</v>
      </c>
      <c r="AO26" s="69">
        <v>21616</v>
      </c>
      <c r="AP26" s="69">
        <v>21604</v>
      </c>
      <c r="AQ26" s="69">
        <v>21602</v>
      </c>
      <c r="AR26" s="69">
        <v>21632</v>
      </c>
      <c r="AS26" s="69">
        <v>22412</v>
      </c>
      <c r="AT26" s="69">
        <v>24549</v>
      </c>
      <c r="AU26" s="69">
        <v>24607</v>
      </c>
      <c r="AV26" s="69">
        <v>24562</v>
      </c>
      <c r="AW26" s="69">
        <v>24511</v>
      </c>
      <c r="AX26" s="69">
        <v>24483</v>
      </c>
      <c r="AY26" s="69">
        <v>24472</v>
      </c>
      <c r="AZ26" s="69">
        <v>24467</v>
      </c>
      <c r="BA26" s="69">
        <v>24434</v>
      </c>
      <c r="BB26" s="69">
        <v>24436</v>
      </c>
      <c r="BC26" s="69">
        <v>24420</v>
      </c>
      <c r="BD26" s="69">
        <v>24433</v>
      </c>
      <c r="BE26" s="69">
        <v>24656</v>
      </c>
      <c r="BF26" s="69">
        <v>27088</v>
      </c>
      <c r="BG26" s="69">
        <v>27158</v>
      </c>
      <c r="BH26" s="69">
        <v>27141</v>
      </c>
      <c r="BI26" s="69">
        <v>27127</v>
      </c>
      <c r="BJ26" s="69">
        <v>27098</v>
      </c>
      <c r="BK26" s="69">
        <v>27112</v>
      </c>
      <c r="BL26" s="189">
        <v>27049</v>
      </c>
      <c r="BM26" s="202">
        <f>(Tableau1[[#This Row],[mars-20]]-Tableau1[[#This Row],[dec-19]])/Tableau1[[#This Row],[dec-19]]</f>
        <v>-2.3236943051047508E-3</v>
      </c>
      <c r="BN26" s="187">
        <f>Tableau1[[#This Row],[mars-20]]-Tableau1[[#This Row],[dec-19]]</f>
        <v>-63</v>
      </c>
      <c r="BO26" s="21">
        <v>27084</v>
      </c>
      <c r="BP26" s="234">
        <v>27025</v>
      </c>
      <c r="BQ26" s="234">
        <v>31595</v>
      </c>
      <c r="BR26" s="234">
        <v>31375</v>
      </c>
      <c r="BS26" s="21">
        <v>30454</v>
      </c>
      <c r="BT26" s="234">
        <v>32733</v>
      </c>
      <c r="BU26" s="234">
        <v>32000</v>
      </c>
      <c r="BV26" s="234">
        <v>33000</v>
      </c>
      <c r="BW26" s="21">
        <v>33000</v>
      </c>
      <c r="BX26" s="234">
        <v>35000</v>
      </c>
      <c r="BY26" s="234"/>
      <c r="BZ26" s="554">
        <f>(Tableau1[[#This Row],[juin-24]]-Tableau1[[#This Row],[avr-24]])/Tableau1[[#This Row],[avr-24]]</f>
        <v>6.0606060606060608E-2</v>
      </c>
      <c r="CA26" s="548">
        <f>Tableau1[[#This Row],[juin-24]]-Tableau1[[#This Row],[avr-24]]</f>
        <v>2000</v>
      </c>
    </row>
    <row r="27" spans="1:79" x14ac:dyDescent="0.3">
      <c r="A27" s="68">
        <v>26</v>
      </c>
      <c r="B27" s="61" t="s">
        <v>23</v>
      </c>
      <c r="C27" s="56" t="s">
        <v>59</v>
      </c>
      <c r="D27" s="56" t="s">
        <v>50</v>
      </c>
      <c r="E27" s="69">
        <v>7896</v>
      </c>
      <c r="F27" s="69">
        <v>8026</v>
      </c>
      <c r="G27" s="69">
        <v>8747</v>
      </c>
      <c r="H27" s="69">
        <v>11102</v>
      </c>
      <c r="I27" s="69">
        <v>11164</v>
      </c>
      <c r="J27" s="69">
        <v>11207</v>
      </c>
      <c r="K27" s="69">
        <v>11308</v>
      </c>
      <c r="L27" s="69">
        <v>11451</v>
      </c>
      <c r="M27" s="69">
        <v>11587</v>
      </c>
      <c r="N27" s="69">
        <v>12411</v>
      </c>
      <c r="O27" s="69">
        <v>12775</v>
      </c>
      <c r="P27" s="69">
        <v>12864</v>
      </c>
      <c r="Q27" s="69">
        <v>12984</v>
      </c>
      <c r="R27" s="69">
        <v>13217</v>
      </c>
      <c r="S27" s="69">
        <v>14156</v>
      </c>
      <c r="T27" s="69">
        <v>18023</v>
      </c>
      <c r="U27" s="69">
        <v>18240</v>
      </c>
      <c r="V27" s="69">
        <v>18432</v>
      </c>
      <c r="W27" s="69">
        <v>18445</v>
      </c>
      <c r="X27" s="69">
        <v>18476</v>
      </c>
      <c r="Y27" s="69">
        <v>18512</v>
      </c>
      <c r="Z27" s="69">
        <v>18746</v>
      </c>
      <c r="AA27" s="69">
        <v>18933</v>
      </c>
      <c r="AB27" s="69">
        <v>18975</v>
      </c>
      <c r="AC27" s="69">
        <v>19018</v>
      </c>
      <c r="AD27" s="69">
        <v>19118</v>
      </c>
      <c r="AE27" s="69">
        <v>19308</v>
      </c>
      <c r="AF27" s="69">
        <v>21474</v>
      </c>
      <c r="AG27" s="69">
        <v>21566</v>
      </c>
      <c r="AH27" s="69">
        <v>21608</v>
      </c>
      <c r="AI27" s="69">
        <v>21597</v>
      </c>
      <c r="AJ27" s="69">
        <v>21573</v>
      </c>
      <c r="AK27" s="69">
        <v>21656</v>
      </c>
      <c r="AL27" s="69">
        <v>21846</v>
      </c>
      <c r="AM27" s="69">
        <v>21865</v>
      </c>
      <c r="AN27" s="69">
        <v>21863</v>
      </c>
      <c r="AO27" s="69">
        <v>21881</v>
      </c>
      <c r="AP27" s="69">
        <v>21904</v>
      </c>
      <c r="AQ27" s="69">
        <v>21972</v>
      </c>
      <c r="AR27" s="69">
        <v>23409</v>
      </c>
      <c r="AS27" s="69">
        <v>23261</v>
      </c>
      <c r="AT27" s="69">
        <v>23214</v>
      </c>
      <c r="AU27" s="69">
        <v>23174</v>
      </c>
      <c r="AV27" s="69">
        <v>23154</v>
      </c>
      <c r="AW27" s="69">
        <v>23197</v>
      </c>
      <c r="AX27" s="69">
        <v>23325</v>
      </c>
      <c r="AY27" s="69">
        <v>23488</v>
      </c>
      <c r="AZ27" s="69">
        <v>23546</v>
      </c>
      <c r="BA27" s="69">
        <v>23583</v>
      </c>
      <c r="BB27" s="69">
        <v>23634</v>
      </c>
      <c r="BC27" s="69">
        <v>23750</v>
      </c>
      <c r="BD27" s="69">
        <v>25940</v>
      </c>
      <c r="BE27" s="69">
        <v>25943</v>
      </c>
      <c r="BF27" s="69">
        <v>25946</v>
      </c>
      <c r="BG27" s="69">
        <v>25959</v>
      </c>
      <c r="BH27" s="69">
        <v>25957</v>
      </c>
      <c r="BI27" s="69">
        <v>26156</v>
      </c>
      <c r="BJ27" s="69">
        <v>26242</v>
      </c>
      <c r="BK27" s="69">
        <v>26272</v>
      </c>
      <c r="BL27" s="189">
        <v>26377</v>
      </c>
      <c r="BM27" s="202">
        <f>(Tableau1[[#This Row],[mars-20]]-Tableau1[[#This Row],[dec-19]])/Tableau1[[#This Row],[dec-19]]</f>
        <v>3.9966504263093785E-3</v>
      </c>
      <c r="BN27" s="187">
        <f>Tableau1[[#This Row],[mars-20]]-Tableau1[[#This Row],[dec-19]]</f>
        <v>105</v>
      </c>
      <c r="BO27" s="21">
        <v>26904</v>
      </c>
      <c r="BP27" s="234">
        <v>26944</v>
      </c>
      <c r="BQ27" s="234">
        <v>29290</v>
      </c>
      <c r="BR27" s="234">
        <v>29423</v>
      </c>
      <c r="BS27" s="21">
        <v>29285</v>
      </c>
      <c r="BT27" s="234">
        <v>30527</v>
      </c>
      <c r="BU27" s="234">
        <v>30638</v>
      </c>
      <c r="BV27" s="234">
        <v>31000</v>
      </c>
      <c r="BW27" s="21">
        <v>31000</v>
      </c>
      <c r="BX27" s="234">
        <v>0</v>
      </c>
      <c r="BY27" s="234"/>
      <c r="BZ27" s="554">
        <f>(Tableau1[[#This Row],[juin-24]]-Tableau1[[#This Row],[avr-24]])/Tableau1[[#This Row],[avr-24]]</f>
        <v>-1</v>
      </c>
      <c r="CA27" s="548">
        <f>Tableau1[[#This Row],[juin-24]]-Tableau1[[#This Row],[avr-24]]</f>
        <v>-31000</v>
      </c>
    </row>
    <row r="28" spans="1:79" x14ac:dyDescent="0.3">
      <c r="A28" s="67">
        <v>29</v>
      </c>
      <c r="B28" s="137" t="s">
        <v>24</v>
      </c>
      <c r="C28" s="56" t="s">
        <v>59</v>
      </c>
      <c r="D28" s="136" t="s">
        <v>50</v>
      </c>
      <c r="E28" s="138">
        <v>2581</v>
      </c>
      <c r="F28" s="138">
        <v>2729</v>
      </c>
      <c r="G28" s="138">
        <v>3034</v>
      </c>
      <c r="H28" s="138">
        <v>4338</v>
      </c>
      <c r="I28" s="138">
        <v>4374</v>
      </c>
      <c r="J28" s="138">
        <v>4581</v>
      </c>
      <c r="K28" s="138">
        <v>4679</v>
      </c>
      <c r="L28" s="138">
        <v>4733</v>
      </c>
      <c r="M28" s="138">
        <v>4754</v>
      </c>
      <c r="N28" s="138">
        <v>4819</v>
      </c>
      <c r="O28" s="138">
        <v>4883</v>
      </c>
      <c r="P28" s="138">
        <v>4944</v>
      </c>
      <c r="Q28" s="138">
        <v>5029</v>
      </c>
      <c r="R28" s="138">
        <v>5359</v>
      </c>
      <c r="S28" s="138">
        <v>6209</v>
      </c>
      <c r="T28" s="138">
        <v>9362</v>
      </c>
      <c r="U28" s="138">
        <v>9518</v>
      </c>
      <c r="V28" s="138">
        <v>9687</v>
      </c>
      <c r="W28" s="138">
        <v>9722</v>
      </c>
      <c r="X28" s="138">
        <v>9697</v>
      </c>
      <c r="Y28" s="138">
        <v>9713</v>
      </c>
      <c r="Z28" s="138">
        <v>9702</v>
      </c>
      <c r="AA28" s="138">
        <v>9704</v>
      </c>
      <c r="AB28" s="138">
        <v>9706</v>
      </c>
      <c r="AC28" s="138">
        <v>9705</v>
      </c>
      <c r="AD28" s="138">
        <v>9848</v>
      </c>
      <c r="AE28" s="138">
        <v>10294</v>
      </c>
      <c r="AF28" s="138">
        <v>13628</v>
      </c>
      <c r="AG28" s="138">
        <v>13682</v>
      </c>
      <c r="AH28" s="138">
        <v>13862</v>
      </c>
      <c r="AI28" s="138">
        <v>13904</v>
      </c>
      <c r="AJ28" s="138">
        <v>13889</v>
      </c>
      <c r="AK28" s="138">
        <v>13885</v>
      </c>
      <c r="AL28" s="138">
        <v>13915</v>
      </c>
      <c r="AM28" s="138">
        <v>13907</v>
      </c>
      <c r="AN28" s="138">
        <v>13977</v>
      </c>
      <c r="AO28" s="138">
        <v>14124</v>
      </c>
      <c r="AP28" s="138">
        <v>14200</v>
      </c>
      <c r="AQ28" s="138">
        <v>14500</v>
      </c>
      <c r="AR28" s="138">
        <v>18657</v>
      </c>
      <c r="AS28" s="138">
        <v>18644</v>
      </c>
      <c r="AT28" s="138">
        <v>18625</v>
      </c>
      <c r="AU28" s="138">
        <v>18594</v>
      </c>
      <c r="AV28" s="138">
        <v>18584</v>
      </c>
      <c r="AW28" s="138">
        <v>18556</v>
      </c>
      <c r="AX28" s="138">
        <v>18574</v>
      </c>
      <c r="AY28" s="138">
        <v>18553</v>
      </c>
      <c r="AZ28" s="138">
        <v>18547</v>
      </c>
      <c r="BA28" s="138">
        <v>18551</v>
      </c>
      <c r="BB28" s="138">
        <v>18590</v>
      </c>
      <c r="BC28" s="138">
        <v>18895</v>
      </c>
      <c r="BD28" s="138">
        <v>20186</v>
      </c>
      <c r="BE28" s="138">
        <v>20194</v>
      </c>
      <c r="BF28" s="138">
        <v>20212</v>
      </c>
      <c r="BG28" s="138">
        <v>20218</v>
      </c>
      <c r="BH28" s="138">
        <v>20182</v>
      </c>
      <c r="BI28" s="138">
        <v>20148</v>
      </c>
      <c r="BJ28" s="138">
        <v>20127</v>
      </c>
      <c r="BK28" s="138">
        <v>20104</v>
      </c>
      <c r="BL28" s="138">
        <v>20111</v>
      </c>
      <c r="BM28" s="202">
        <f>(Tableau1[[#This Row],[mars-20]]-Tableau1[[#This Row],[dec-19]])/Tableau1[[#This Row],[dec-19]]</f>
        <v>3.4818941504178273E-4</v>
      </c>
      <c r="BN28" s="187">
        <f>Tableau1[[#This Row],[mars-20]]-Tableau1[[#This Row],[dec-19]]</f>
        <v>7</v>
      </c>
      <c r="BO28" s="21">
        <v>21016</v>
      </c>
      <c r="BP28" s="234">
        <v>22320</v>
      </c>
      <c r="BQ28" s="234">
        <v>25893</v>
      </c>
      <c r="BR28" s="234">
        <v>24983</v>
      </c>
      <c r="BS28" s="21">
        <v>25428</v>
      </c>
      <c r="BT28" s="234">
        <v>28099</v>
      </c>
      <c r="BU28" s="234">
        <v>27068</v>
      </c>
      <c r="BV28" s="234">
        <v>27918</v>
      </c>
      <c r="BW28" s="21">
        <v>32000</v>
      </c>
      <c r="BX28" s="234">
        <v>41000</v>
      </c>
      <c r="BY28" s="234"/>
      <c r="BZ28" s="554">
        <f>(Tableau1[[#This Row],[juin-24]]-Tableau1[[#This Row],[avr-24]])/Tableau1[[#This Row],[avr-24]]</f>
        <v>0.28125</v>
      </c>
      <c r="CA28" s="548">
        <f>Tableau1[[#This Row],[juin-24]]-Tableau1[[#This Row],[avr-24]]</f>
        <v>9000</v>
      </c>
    </row>
    <row r="29" spans="1:79" ht="16.5" customHeight="1" x14ac:dyDescent="0.3">
      <c r="A29" s="83">
        <v>27</v>
      </c>
      <c r="B29" s="61" t="s">
        <v>80</v>
      </c>
      <c r="C29" s="77" t="s">
        <v>45</v>
      </c>
      <c r="D29" s="77" t="s">
        <v>49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>
        <v>1475</v>
      </c>
      <c r="AE29" s="78">
        <v>1979</v>
      </c>
      <c r="AF29" s="78">
        <v>2538</v>
      </c>
      <c r="AG29" s="78">
        <v>4963</v>
      </c>
      <c r="AH29" s="78">
        <v>19178</v>
      </c>
      <c r="AI29" s="78">
        <v>19207</v>
      </c>
      <c r="AJ29" s="78">
        <v>19198</v>
      </c>
      <c r="AK29" s="78">
        <v>19178</v>
      </c>
      <c r="AL29" s="78">
        <v>19149</v>
      </c>
      <c r="AM29" s="78">
        <v>19221</v>
      </c>
      <c r="AN29" s="78">
        <v>19259</v>
      </c>
      <c r="AO29" s="78">
        <v>19244</v>
      </c>
      <c r="AP29" s="78">
        <v>19468</v>
      </c>
      <c r="AQ29" s="78">
        <v>19471</v>
      </c>
      <c r="AR29" s="78">
        <v>19573</v>
      </c>
      <c r="AS29" s="78">
        <v>21334</v>
      </c>
      <c r="AT29" s="78">
        <v>22694</v>
      </c>
      <c r="AU29" s="78">
        <v>22724</v>
      </c>
      <c r="AV29" s="78">
        <v>22724</v>
      </c>
      <c r="AW29" s="78">
        <v>22737</v>
      </c>
      <c r="AX29" s="78">
        <v>23213</v>
      </c>
      <c r="AY29" s="228">
        <v>23198</v>
      </c>
      <c r="AZ29" s="228">
        <v>23226</v>
      </c>
      <c r="BA29" s="228">
        <v>23254</v>
      </c>
      <c r="BB29" s="228">
        <v>23218</v>
      </c>
      <c r="BC29" s="228">
        <v>23200</v>
      </c>
      <c r="BD29" s="228">
        <v>23178</v>
      </c>
      <c r="BE29" s="228">
        <v>23000</v>
      </c>
      <c r="BF29" s="228">
        <v>24993</v>
      </c>
      <c r="BG29" s="228">
        <v>24966</v>
      </c>
      <c r="BH29" s="228">
        <v>24921</v>
      </c>
      <c r="BI29" s="228">
        <v>24874</v>
      </c>
      <c r="BJ29" s="228">
        <v>24827</v>
      </c>
      <c r="BK29" s="228">
        <v>24876</v>
      </c>
      <c r="BL29" s="189">
        <v>24832</v>
      </c>
      <c r="BM29" s="202">
        <f>(Tableau1[[#This Row],[mars-20]]-Tableau1[[#This Row],[dec-19]])/Tableau1[[#This Row],[dec-19]]</f>
        <v>-1.7687731146486573E-3</v>
      </c>
      <c r="BN29" s="187">
        <f>Tableau1[[#This Row],[mars-20]]-Tableau1[[#This Row],[dec-19]]</f>
        <v>-44</v>
      </c>
      <c r="BO29" s="21">
        <v>24604</v>
      </c>
      <c r="BP29" s="234">
        <v>24529</v>
      </c>
      <c r="BQ29" s="234">
        <v>28000</v>
      </c>
      <c r="BR29" s="234">
        <v>28007</v>
      </c>
      <c r="BS29" s="21">
        <v>27953</v>
      </c>
      <c r="BT29" s="234">
        <v>27000</v>
      </c>
      <c r="BU29" s="234">
        <v>27000</v>
      </c>
      <c r="BV29" s="234">
        <v>27000</v>
      </c>
      <c r="BW29" s="21">
        <v>27000</v>
      </c>
      <c r="BX29" s="234">
        <v>27000</v>
      </c>
      <c r="BY29" s="234"/>
      <c r="BZ29" s="554">
        <f>(Tableau1[[#This Row],[juin-24]]-Tableau1[[#This Row],[avr-24]])/Tableau1[[#This Row],[avr-24]]</f>
        <v>0</v>
      </c>
      <c r="CA29" s="548">
        <f>Tableau1[[#This Row],[juin-24]]-Tableau1[[#This Row],[avr-24]]</f>
        <v>0</v>
      </c>
    </row>
    <row r="30" spans="1:79" x14ac:dyDescent="0.3">
      <c r="A30" s="67">
        <v>31</v>
      </c>
      <c r="B30" s="137" t="s">
        <v>112</v>
      </c>
      <c r="C30" s="136" t="s">
        <v>59</v>
      </c>
      <c r="D30" s="136" t="s">
        <v>49</v>
      </c>
      <c r="E30" s="138">
        <v>5848</v>
      </c>
      <c r="F30" s="138">
        <v>5879</v>
      </c>
      <c r="G30" s="138">
        <v>7204</v>
      </c>
      <c r="H30" s="138">
        <v>7220</v>
      </c>
      <c r="I30" s="138">
        <v>7233</v>
      </c>
      <c r="J30" s="138">
        <v>7281</v>
      </c>
      <c r="K30" s="138">
        <v>7291</v>
      </c>
      <c r="L30" s="138">
        <v>7318</v>
      </c>
      <c r="M30" s="138">
        <v>7319</v>
      </c>
      <c r="N30" s="138">
        <v>7329</v>
      </c>
      <c r="O30" s="138">
        <v>7348</v>
      </c>
      <c r="P30" s="138">
        <v>7360</v>
      </c>
      <c r="Q30" s="138">
        <v>7412</v>
      </c>
      <c r="R30" s="138">
        <v>7501</v>
      </c>
      <c r="S30" s="138">
        <v>10342</v>
      </c>
      <c r="T30" s="138">
        <v>10375</v>
      </c>
      <c r="U30" s="138">
        <v>10373</v>
      </c>
      <c r="V30" s="138">
        <v>10369</v>
      </c>
      <c r="W30" s="138">
        <v>10380</v>
      </c>
      <c r="X30" s="138">
        <v>10377</v>
      </c>
      <c r="Y30" s="138">
        <v>10372</v>
      </c>
      <c r="Z30" s="138">
        <v>10359</v>
      </c>
      <c r="AA30" s="138">
        <v>10347</v>
      </c>
      <c r="AB30" s="138">
        <v>10375</v>
      </c>
      <c r="AC30" s="138">
        <v>10405</v>
      </c>
      <c r="AD30" s="138">
        <v>10468</v>
      </c>
      <c r="AE30" s="138">
        <v>12851</v>
      </c>
      <c r="AF30" s="138">
        <v>12897</v>
      </c>
      <c r="AG30" s="138">
        <v>12929</v>
      </c>
      <c r="AH30" s="138">
        <v>12971</v>
      </c>
      <c r="AI30" s="138">
        <v>12996</v>
      </c>
      <c r="AJ30" s="138">
        <v>13043</v>
      </c>
      <c r="AK30" s="138">
        <v>13095</v>
      </c>
      <c r="AL30" s="138">
        <v>13078</v>
      </c>
      <c r="AM30" s="138">
        <v>13082</v>
      </c>
      <c r="AN30" s="138">
        <v>13122</v>
      </c>
      <c r="AO30" s="138">
        <v>13153</v>
      </c>
      <c r="AP30" s="138"/>
      <c r="AQ30" s="138"/>
      <c r="AR30" s="138"/>
      <c r="AS30" s="138"/>
      <c r="AT30" s="138"/>
      <c r="AU30" s="138">
        <v>14742</v>
      </c>
      <c r="AV30" s="138">
        <v>14726</v>
      </c>
      <c r="AW30" s="138">
        <v>14714</v>
      </c>
      <c r="AX30" s="138">
        <v>14694</v>
      </c>
      <c r="AY30" s="138">
        <v>14677</v>
      </c>
      <c r="AZ30" s="138">
        <v>14670</v>
      </c>
      <c r="BA30" s="138">
        <v>14724</v>
      </c>
      <c r="BB30" s="138">
        <v>14745</v>
      </c>
      <c r="BC30" s="138">
        <v>16750</v>
      </c>
      <c r="BD30" s="138">
        <v>16778</v>
      </c>
      <c r="BE30" s="138">
        <v>16743</v>
      </c>
      <c r="BF30" s="138">
        <v>16739</v>
      </c>
      <c r="BG30" s="138">
        <v>16734</v>
      </c>
      <c r="BH30" s="138">
        <v>16709</v>
      </c>
      <c r="BI30" s="138">
        <v>16679</v>
      </c>
      <c r="BJ30" s="138">
        <v>16669</v>
      </c>
      <c r="BK30" s="138">
        <v>16656</v>
      </c>
      <c r="BL30" s="138">
        <v>16682</v>
      </c>
      <c r="BM30" s="202">
        <f>(Tableau1[[#This Row],[mars-20]]-Tableau1[[#This Row],[dec-19]])/Tableau1[[#This Row],[dec-19]]</f>
        <v>1.5609990393852064E-3</v>
      </c>
      <c r="BN30" s="187">
        <f>Tableau1[[#This Row],[mars-20]]-Tableau1[[#This Row],[dec-19]]</f>
        <v>26</v>
      </c>
      <c r="BO30" s="21">
        <v>16613</v>
      </c>
      <c r="BP30" s="234">
        <v>16563</v>
      </c>
      <c r="BQ30" s="234">
        <v>23792</v>
      </c>
      <c r="BR30" s="234">
        <v>24555</v>
      </c>
      <c r="BS30" s="21">
        <v>24117</v>
      </c>
      <c r="BT30" s="234">
        <v>25325</v>
      </c>
      <c r="BU30" s="234">
        <v>25000</v>
      </c>
      <c r="BV30" s="234">
        <v>26000</v>
      </c>
      <c r="BW30" s="21">
        <v>27000</v>
      </c>
      <c r="BX30" s="234">
        <v>27000</v>
      </c>
      <c r="BY30" s="234"/>
      <c r="BZ30" s="554">
        <f>(Tableau1[[#This Row],[juin-24]]-Tableau1[[#This Row],[avr-24]])/Tableau1[[#This Row],[avr-24]]</f>
        <v>0</v>
      </c>
      <c r="CA30" s="548">
        <f>Tableau1[[#This Row],[juin-24]]-Tableau1[[#This Row],[avr-24]]</f>
        <v>0</v>
      </c>
    </row>
    <row r="31" spans="1:79" ht="16.5" customHeight="1" x14ac:dyDescent="0.3">
      <c r="A31" s="68">
        <v>28</v>
      </c>
      <c r="B31" s="61" t="s">
        <v>409</v>
      </c>
      <c r="C31" s="56" t="s">
        <v>59</v>
      </c>
      <c r="D31" s="56" t="s">
        <v>49</v>
      </c>
      <c r="E31" s="69">
        <v>8758</v>
      </c>
      <c r="F31" s="69">
        <v>8749</v>
      </c>
      <c r="G31" s="69">
        <v>8704</v>
      </c>
      <c r="H31" s="69">
        <v>8737</v>
      </c>
      <c r="I31" s="69">
        <v>8750</v>
      </c>
      <c r="J31" s="69">
        <v>8808</v>
      </c>
      <c r="K31" s="69">
        <v>9069</v>
      </c>
      <c r="L31" s="69">
        <v>10899</v>
      </c>
      <c r="M31" s="69">
        <v>10911</v>
      </c>
      <c r="N31" s="69">
        <v>10897</v>
      </c>
      <c r="O31" s="69">
        <v>10883</v>
      </c>
      <c r="P31" s="69">
        <v>10863</v>
      </c>
      <c r="Q31" s="69">
        <v>10848</v>
      </c>
      <c r="R31" s="69">
        <v>10834</v>
      </c>
      <c r="S31" s="69">
        <v>10889</v>
      </c>
      <c r="T31" s="69">
        <v>10902</v>
      </c>
      <c r="U31" s="69">
        <v>10914</v>
      </c>
      <c r="V31" s="69">
        <v>10929</v>
      </c>
      <c r="W31" s="69">
        <v>10964</v>
      </c>
      <c r="X31" s="69">
        <v>11020</v>
      </c>
      <c r="Y31" s="69">
        <v>13583</v>
      </c>
      <c r="Z31" s="69">
        <v>13589</v>
      </c>
      <c r="AA31" s="69">
        <v>13975</v>
      </c>
      <c r="AB31" s="69">
        <v>13548</v>
      </c>
      <c r="AC31" s="69">
        <v>13530</v>
      </c>
      <c r="AD31" s="69">
        <v>13545</v>
      </c>
      <c r="AE31" s="69">
        <v>13559</v>
      </c>
      <c r="AF31" s="69"/>
      <c r="AG31" s="69">
        <v>13476</v>
      </c>
      <c r="AH31" s="69">
        <v>13455</v>
      </c>
      <c r="AI31" s="69">
        <v>13803</v>
      </c>
      <c r="AJ31" s="69">
        <v>18892</v>
      </c>
      <c r="AK31" s="69">
        <v>18841</v>
      </c>
      <c r="AL31" s="69">
        <v>18795</v>
      </c>
      <c r="AM31" s="69">
        <v>18773</v>
      </c>
      <c r="AN31" s="69">
        <v>18726</v>
      </c>
      <c r="AO31" s="69">
        <v>18687</v>
      </c>
      <c r="AP31" s="69">
        <v>18680</v>
      </c>
      <c r="AQ31" s="69">
        <v>18645</v>
      </c>
      <c r="AR31" s="69">
        <v>18565</v>
      </c>
      <c r="AS31" s="69">
        <v>18504</v>
      </c>
      <c r="AT31" s="69">
        <v>18488</v>
      </c>
      <c r="AU31" s="69">
        <v>18539</v>
      </c>
      <c r="AV31" s="69">
        <v>19533</v>
      </c>
      <c r="AW31" s="69">
        <v>19514</v>
      </c>
      <c r="AX31" s="69">
        <v>19477</v>
      </c>
      <c r="AY31" s="69">
        <v>19433</v>
      </c>
      <c r="AZ31" s="69">
        <v>19408</v>
      </c>
      <c r="BA31" s="69">
        <v>19379</v>
      </c>
      <c r="BB31" s="69">
        <v>19360</v>
      </c>
      <c r="BC31" s="69">
        <v>19350</v>
      </c>
      <c r="BD31" s="69">
        <v>19345</v>
      </c>
      <c r="BE31" s="69">
        <v>19328</v>
      </c>
      <c r="BF31" s="69">
        <v>19347</v>
      </c>
      <c r="BG31" s="69">
        <v>19421</v>
      </c>
      <c r="BH31" s="69">
        <v>20881</v>
      </c>
      <c r="BI31" s="69">
        <v>20854</v>
      </c>
      <c r="BJ31" s="69">
        <v>20816</v>
      </c>
      <c r="BK31" s="69">
        <v>20785</v>
      </c>
      <c r="BL31" s="189">
        <v>20702</v>
      </c>
      <c r="BM31" s="202">
        <f>(Tableau1[[#This Row],[mars-20]]-Tableau1[[#This Row],[dec-19]])/Tableau1[[#This Row],[dec-19]]</f>
        <v>-3.9932643733461629E-3</v>
      </c>
      <c r="BN31" s="187">
        <f>Tableau1[[#This Row],[mars-20]]-Tableau1[[#This Row],[dec-19]]</f>
        <v>-83</v>
      </c>
      <c r="BO31" s="21">
        <v>20608</v>
      </c>
      <c r="BP31" s="234">
        <v>21398</v>
      </c>
      <c r="BQ31" s="234">
        <v>22919</v>
      </c>
      <c r="BR31" s="234">
        <v>22796</v>
      </c>
      <c r="BS31" s="21">
        <v>22288</v>
      </c>
      <c r="BT31" s="234">
        <v>22802</v>
      </c>
      <c r="BU31" s="234">
        <v>22752</v>
      </c>
      <c r="BV31" s="234"/>
      <c r="BW31" s="21"/>
      <c r="BX31" s="234">
        <v>22000</v>
      </c>
      <c r="BY31" s="234"/>
      <c r="BZ31" s="554" t="e">
        <f>(Tableau1[[#This Row],[juin-24]]-Tableau1[[#This Row],[avr-24]])/Tableau1[[#This Row],[avr-24]]</f>
        <v>#DIV/0!</v>
      </c>
      <c r="CA31" s="548">
        <f>Tableau1[[#This Row],[juin-24]]-Tableau1[[#This Row],[avr-24]]</f>
        <v>22000</v>
      </c>
    </row>
    <row r="32" spans="1:79" ht="16.5" customHeight="1" x14ac:dyDescent="0.3">
      <c r="A32" s="152">
        <v>38</v>
      </c>
      <c r="B32" s="156" t="s">
        <v>26</v>
      </c>
      <c r="C32" s="153" t="s">
        <v>59</v>
      </c>
      <c r="D32" s="153" t="s">
        <v>49</v>
      </c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>
        <v>17157</v>
      </c>
      <c r="BF32" s="69">
        <v>17194</v>
      </c>
      <c r="BG32" s="69">
        <v>17208</v>
      </c>
      <c r="BH32" s="69">
        <v>17195</v>
      </c>
      <c r="BI32" s="69">
        <v>17153</v>
      </c>
      <c r="BJ32" s="69">
        <v>17120</v>
      </c>
      <c r="BK32" s="69">
        <v>17105</v>
      </c>
      <c r="BL32" s="189">
        <v>17046</v>
      </c>
      <c r="BM32" s="202">
        <f>(Tableau1[[#This Row],[mars-20]]-Tableau1[[#This Row],[dec-19]])/Tableau1[[#This Row],[dec-19]]</f>
        <v>-3.4492838351359253E-3</v>
      </c>
      <c r="BN32" s="187">
        <f>Tableau1[[#This Row],[mars-20]]-Tableau1[[#This Row],[dec-19]]</f>
        <v>-59</v>
      </c>
      <c r="BO32" s="21">
        <v>16945</v>
      </c>
      <c r="BP32" s="234">
        <v>16932</v>
      </c>
      <c r="BQ32" s="234">
        <v>20733</v>
      </c>
      <c r="BR32" s="234">
        <v>20000</v>
      </c>
      <c r="BS32" s="21">
        <v>21000</v>
      </c>
      <c r="BT32" s="234">
        <v>21000</v>
      </c>
      <c r="BU32" s="234">
        <v>21000</v>
      </c>
      <c r="BV32" s="234">
        <v>22000</v>
      </c>
      <c r="BW32" s="21">
        <v>22000</v>
      </c>
      <c r="BX32" s="234">
        <v>23000</v>
      </c>
      <c r="BY32" s="234"/>
      <c r="BZ32" s="554">
        <f>(Tableau1[[#This Row],[juin-24]]-Tableau1[[#This Row],[avr-24]])/Tableau1[[#This Row],[avr-24]]</f>
        <v>4.5454545454545456E-2</v>
      </c>
      <c r="CA32" s="548">
        <f>Tableau1[[#This Row],[juin-24]]-Tableau1[[#This Row],[avr-24]]</f>
        <v>1000</v>
      </c>
    </row>
    <row r="33" spans="1:79" ht="16.5" customHeight="1" x14ac:dyDescent="0.3">
      <c r="A33" s="75">
        <v>30</v>
      </c>
      <c r="B33" s="137" t="s">
        <v>37</v>
      </c>
      <c r="C33" s="136" t="s">
        <v>46</v>
      </c>
      <c r="D33" s="136" t="s">
        <v>49</v>
      </c>
      <c r="E33" s="138">
        <v>4132</v>
      </c>
      <c r="F33" s="138">
        <v>5906</v>
      </c>
      <c r="G33" s="138">
        <v>5911</v>
      </c>
      <c r="H33" s="138">
        <v>5980</v>
      </c>
      <c r="I33" s="138">
        <v>6034</v>
      </c>
      <c r="J33" s="138">
        <v>6153</v>
      </c>
      <c r="K33" s="138">
        <v>6250</v>
      </c>
      <c r="L33" s="138">
        <v>6323</v>
      </c>
      <c r="M33" s="138">
        <v>6349</v>
      </c>
      <c r="N33" s="138">
        <v>6421</v>
      </c>
      <c r="O33" s="138">
        <v>6463</v>
      </c>
      <c r="P33" s="138">
        <v>6510</v>
      </c>
      <c r="Q33" s="138">
        <v>6586</v>
      </c>
      <c r="R33" s="138">
        <v>11562</v>
      </c>
      <c r="S33" s="138">
        <v>11697</v>
      </c>
      <c r="T33" s="138">
        <v>11873</v>
      </c>
      <c r="U33" s="138">
        <v>11890</v>
      </c>
      <c r="V33" s="138">
        <v>11910</v>
      </c>
      <c r="W33" s="138">
        <v>11921</v>
      </c>
      <c r="X33" s="138">
        <v>11907</v>
      </c>
      <c r="Y33" s="138">
        <v>11889</v>
      </c>
      <c r="Z33" s="138">
        <v>11882</v>
      </c>
      <c r="AA33" s="138">
        <v>11890</v>
      </c>
      <c r="AB33" s="138">
        <v>11866</v>
      </c>
      <c r="AC33" s="138">
        <v>11923</v>
      </c>
      <c r="AD33" s="138">
        <v>14721</v>
      </c>
      <c r="AE33" s="138">
        <v>14822</v>
      </c>
      <c r="AF33" s="138">
        <v>14876</v>
      </c>
      <c r="AG33" s="138">
        <v>14861</v>
      </c>
      <c r="AH33" s="138">
        <v>14842</v>
      </c>
      <c r="AI33" s="138">
        <v>14841</v>
      </c>
      <c r="AJ33" s="138">
        <v>14829</v>
      </c>
      <c r="AK33" s="138">
        <v>14801</v>
      </c>
      <c r="AL33" s="138">
        <v>14772</v>
      </c>
      <c r="AM33" s="138">
        <v>14743</v>
      </c>
      <c r="AN33" s="138">
        <v>14717</v>
      </c>
      <c r="AO33" s="138">
        <v>14722</v>
      </c>
      <c r="AP33" s="138">
        <v>15800</v>
      </c>
      <c r="AQ33" s="138">
        <v>15812</v>
      </c>
      <c r="AR33" s="138">
        <v>15816</v>
      </c>
      <c r="AS33" s="138">
        <v>15808</v>
      </c>
      <c r="AT33" s="138">
        <v>15810</v>
      </c>
      <c r="AU33" s="138">
        <v>15803</v>
      </c>
      <c r="AV33" s="138">
        <v>15798</v>
      </c>
      <c r="AW33" s="138">
        <v>15767</v>
      </c>
      <c r="AX33" s="138">
        <v>15756</v>
      </c>
      <c r="AY33" s="138">
        <v>15740</v>
      </c>
      <c r="AZ33" s="138">
        <v>15715</v>
      </c>
      <c r="BA33" s="138">
        <v>15728</v>
      </c>
      <c r="BB33" s="138">
        <v>16772</v>
      </c>
      <c r="BC33" s="138">
        <v>17190</v>
      </c>
      <c r="BD33" s="138">
        <v>17270</v>
      </c>
      <c r="BE33" s="138">
        <v>17000</v>
      </c>
      <c r="BF33" s="138">
        <v>17219</v>
      </c>
      <c r="BG33" s="138">
        <v>17214</v>
      </c>
      <c r="BH33" s="138">
        <v>17175</v>
      </c>
      <c r="BI33" s="138">
        <v>17141</v>
      </c>
      <c r="BJ33" s="138">
        <v>17106</v>
      </c>
      <c r="BK33" s="138">
        <v>17090</v>
      </c>
      <c r="BL33" s="138">
        <v>17028</v>
      </c>
      <c r="BM33" s="202">
        <f>(Tableau1[[#This Row],[mars-20]]-Tableau1[[#This Row],[dec-19]])/Tableau1[[#This Row],[dec-19]]</f>
        <v>-3.6278525453481568E-3</v>
      </c>
      <c r="BN33" s="187">
        <f>Tableau1[[#This Row],[mars-20]]-Tableau1[[#This Row],[dec-19]]</f>
        <v>-62</v>
      </c>
      <c r="BO33" s="21">
        <v>16870</v>
      </c>
      <c r="BP33" s="234">
        <v>16839</v>
      </c>
      <c r="BQ33" s="250">
        <v>17811</v>
      </c>
      <c r="BR33" s="250">
        <v>20171</v>
      </c>
      <c r="BS33" s="251">
        <v>18437</v>
      </c>
      <c r="BT33" s="250">
        <v>20278</v>
      </c>
      <c r="BU33" s="250">
        <v>20219</v>
      </c>
      <c r="BV33" s="250">
        <v>36000</v>
      </c>
      <c r="BW33" s="251">
        <v>47000</v>
      </c>
      <c r="BX33" s="250">
        <v>47000</v>
      </c>
      <c r="BY33" s="250"/>
      <c r="BZ33" s="554">
        <f>(Tableau1[[#This Row],[juin-24]]-Tableau1[[#This Row],[avr-24]])/Tableau1[[#This Row],[avr-24]]</f>
        <v>0</v>
      </c>
      <c r="CA33" s="548">
        <f>Tableau1[[#This Row],[juin-24]]-Tableau1[[#This Row],[avr-24]]</f>
        <v>0</v>
      </c>
    </row>
    <row r="34" spans="1:79" x14ac:dyDescent="0.3">
      <c r="A34" s="85">
        <v>32</v>
      </c>
      <c r="B34" s="137" t="s">
        <v>155</v>
      </c>
      <c r="C34" s="136" t="s">
        <v>46</v>
      </c>
      <c r="D34" s="136" t="s">
        <v>49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138">
        <v>6860</v>
      </c>
      <c r="AW34" s="138">
        <v>6849</v>
      </c>
      <c r="AX34" s="138">
        <v>6847</v>
      </c>
      <c r="AY34" s="145">
        <v>6840</v>
      </c>
      <c r="AZ34" s="145">
        <v>6826</v>
      </c>
      <c r="BA34" s="145">
        <v>6813</v>
      </c>
      <c r="BB34" s="145">
        <v>6860</v>
      </c>
      <c r="BC34" s="145">
        <v>7110</v>
      </c>
      <c r="BD34" s="145">
        <v>7240</v>
      </c>
      <c r="BE34" s="145">
        <v>7286</v>
      </c>
      <c r="BF34" s="145">
        <v>7463</v>
      </c>
      <c r="BG34" s="145">
        <v>8008</v>
      </c>
      <c r="BH34" s="145">
        <v>13306</v>
      </c>
      <c r="BI34" s="145">
        <v>14105</v>
      </c>
      <c r="BJ34" s="145">
        <v>14116</v>
      </c>
      <c r="BK34" s="145">
        <v>14171</v>
      </c>
      <c r="BL34" s="138">
        <v>14637</v>
      </c>
      <c r="BM34" s="202">
        <f>(Tableau1[[#This Row],[mars-20]]-Tableau1[[#This Row],[dec-19]])/Tableau1[[#This Row],[dec-19]]</f>
        <v>3.2884058993719566E-2</v>
      </c>
      <c r="BN34" s="187">
        <f>Tableau1[[#This Row],[mars-20]]-Tableau1[[#This Row],[dec-19]]</f>
        <v>466</v>
      </c>
      <c r="BO34" s="21">
        <v>14732</v>
      </c>
      <c r="BP34" s="234">
        <v>14714</v>
      </c>
      <c r="BQ34" s="234">
        <v>16997</v>
      </c>
      <c r="BR34" s="234">
        <v>17183</v>
      </c>
      <c r="BS34" s="21">
        <v>16332</v>
      </c>
      <c r="BT34" s="234">
        <v>18094</v>
      </c>
      <c r="BU34" s="21">
        <v>18072</v>
      </c>
      <c r="BV34" s="234">
        <v>18000</v>
      </c>
      <c r="BW34" s="21">
        <v>18000</v>
      </c>
      <c r="BX34" s="234">
        <v>18000</v>
      </c>
      <c r="BY34" s="234"/>
      <c r="BZ34" s="554">
        <f>(Tableau1[[#This Row],[juin-24]]-Tableau1[[#This Row],[avr-24]])/Tableau1[[#This Row],[avr-24]]</f>
        <v>0</v>
      </c>
      <c r="CA34" s="548">
        <f>Tableau1[[#This Row],[juin-24]]-Tableau1[[#This Row],[avr-24]]</f>
        <v>0</v>
      </c>
    </row>
    <row r="35" spans="1:79" ht="16.5" customHeight="1" x14ac:dyDescent="0.3">
      <c r="A35" s="350">
        <v>39</v>
      </c>
      <c r="B35" s="311" t="s">
        <v>327</v>
      </c>
      <c r="C35" s="56" t="s">
        <v>59</v>
      </c>
      <c r="D35" s="56" t="s">
        <v>50</v>
      </c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7"/>
      <c r="AH35" s="307"/>
      <c r="AI35" s="307"/>
      <c r="AJ35" s="307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308"/>
      <c r="BM35" s="309"/>
      <c r="BN35" s="310"/>
      <c r="BO35" s="21"/>
      <c r="BP35" s="234"/>
      <c r="BQ35" s="234"/>
      <c r="BR35" s="234"/>
      <c r="BS35" s="234"/>
      <c r="BT35" s="234">
        <v>14673</v>
      </c>
      <c r="BU35" s="234">
        <v>14000</v>
      </c>
      <c r="BV35" s="234">
        <v>15000</v>
      </c>
      <c r="BW35" s="21">
        <v>16000</v>
      </c>
      <c r="BX35" s="234">
        <v>16000</v>
      </c>
      <c r="BY35" s="234"/>
      <c r="BZ35" s="554">
        <f>(Tableau1[[#This Row],[juin-24]]-Tableau1[[#This Row],[avr-24]])/Tableau1[[#This Row],[avr-24]]</f>
        <v>0</v>
      </c>
      <c r="CA35" s="548">
        <f>Tableau1[[#This Row],[juin-24]]-Tableau1[[#This Row],[avr-24]]</f>
        <v>0</v>
      </c>
    </row>
    <row r="36" spans="1:79" ht="16.5" customHeight="1" x14ac:dyDescent="0.3">
      <c r="A36" s="74">
        <v>40</v>
      </c>
      <c r="B36" s="311" t="s">
        <v>282</v>
      </c>
      <c r="C36" s="56" t="s">
        <v>45</v>
      </c>
      <c r="D36" s="56" t="s">
        <v>49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334"/>
      <c r="BM36" s="335"/>
      <c r="BN36" s="53"/>
      <c r="BO36" s="21"/>
      <c r="BP36" s="21"/>
      <c r="BQ36" s="21"/>
      <c r="BR36" s="21"/>
      <c r="BS36" s="21"/>
      <c r="BT36" s="21">
        <v>11815</v>
      </c>
      <c r="BU36" s="234">
        <v>11810</v>
      </c>
      <c r="BV36" s="234">
        <v>12000</v>
      </c>
      <c r="BW36" s="21">
        <v>11000</v>
      </c>
      <c r="BX36" s="234">
        <v>11000</v>
      </c>
      <c r="BY36" s="21"/>
      <c r="BZ36" s="554">
        <f>(Tableau1[[#This Row],[juin-24]]-Tableau1[[#This Row],[avr-24]])/Tableau1[[#This Row],[avr-24]]</f>
        <v>0</v>
      </c>
      <c r="CA36" s="548">
        <f>Tableau1[[#This Row],[juin-24]]-Tableau1[[#This Row],[avr-24]]</f>
        <v>0</v>
      </c>
    </row>
    <row r="37" spans="1:79" ht="16.5" customHeight="1" x14ac:dyDescent="0.3">
      <c r="A37" s="75">
        <v>36</v>
      </c>
      <c r="B37" s="311" t="s">
        <v>279</v>
      </c>
      <c r="C37" s="56" t="s">
        <v>45</v>
      </c>
      <c r="D37" s="56" t="s">
        <v>49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334"/>
      <c r="BM37" s="335"/>
      <c r="BN37" s="53"/>
      <c r="BO37" s="21"/>
      <c r="BP37" s="21"/>
      <c r="BQ37" s="21"/>
      <c r="BR37" s="21"/>
      <c r="BS37" s="21"/>
      <c r="BT37" s="21">
        <v>10947</v>
      </c>
      <c r="BU37" s="234">
        <v>10987</v>
      </c>
      <c r="BV37" s="234">
        <v>10000</v>
      </c>
      <c r="BW37" s="21">
        <v>11000</v>
      </c>
      <c r="BX37" s="234">
        <v>11000</v>
      </c>
      <c r="BY37" s="21"/>
      <c r="BZ37" s="554">
        <f>(Tableau1[[#This Row],[juin-24]]-Tableau1[[#This Row],[avr-24]])/Tableau1[[#This Row],[avr-24]]</f>
        <v>0</v>
      </c>
      <c r="CA37" s="548">
        <f>Tableau1[[#This Row],[juin-24]]-Tableau1[[#This Row],[avr-24]]</f>
        <v>0</v>
      </c>
    </row>
    <row r="38" spans="1:79" ht="16.5" customHeight="1" x14ac:dyDescent="0.3">
      <c r="A38" s="75">
        <v>37</v>
      </c>
      <c r="B38" s="311" t="s">
        <v>281</v>
      </c>
      <c r="C38" s="56" t="s">
        <v>45</v>
      </c>
      <c r="D38" s="56" t="s">
        <v>50</v>
      </c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334"/>
      <c r="BM38" s="335"/>
      <c r="BN38" s="53"/>
      <c r="BO38" s="21"/>
      <c r="BP38" s="21"/>
      <c r="BQ38" s="21"/>
      <c r="BR38" s="21"/>
      <c r="BS38" s="21"/>
      <c r="BT38" s="21">
        <v>8624</v>
      </c>
      <c r="BU38" s="234">
        <v>8500</v>
      </c>
      <c r="BV38" s="234">
        <v>8900</v>
      </c>
      <c r="BW38" s="21">
        <v>9200</v>
      </c>
      <c r="BX38" s="234">
        <v>9200</v>
      </c>
      <c r="BY38" s="21"/>
      <c r="BZ38" s="554">
        <f>(Tableau1[[#This Row],[juin-24]]-Tableau1[[#This Row],[avr-24]])/Tableau1[[#This Row],[avr-24]]</f>
        <v>0</v>
      </c>
      <c r="CA38" s="548">
        <f>Tableau1[[#This Row],[juin-24]]-Tableau1[[#This Row],[avr-24]]</f>
        <v>0</v>
      </c>
    </row>
    <row r="39" spans="1:79" ht="16.5" customHeight="1" x14ac:dyDescent="0.3">
      <c r="A39" s="75">
        <v>34</v>
      </c>
      <c r="B39" s="137" t="s">
        <v>152</v>
      </c>
      <c r="C39" s="136" t="s">
        <v>46</v>
      </c>
      <c r="D39" s="136" t="s">
        <v>50</v>
      </c>
      <c r="E39" s="138">
        <v>2018</v>
      </c>
      <c r="F39" s="138">
        <v>2079</v>
      </c>
      <c r="G39" s="138">
        <v>2122</v>
      </c>
      <c r="H39" s="138">
        <v>2141</v>
      </c>
      <c r="I39" s="138">
        <v>2151</v>
      </c>
      <c r="J39" s="138">
        <v>2188</v>
      </c>
      <c r="K39" s="138">
        <v>2355</v>
      </c>
      <c r="L39" s="138">
        <v>2377</v>
      </c>
      <c r="M39" s="138">
        <v>2389</v>
      </c>
      <c r="N39" s="138">
        <v>2657</v>
      </c>
      <c r="O39" s="138">
        <v>2680</v>
      </c>
      <c r="P39" s="138">
        <v>2694</v>
      </c>
      <c r="Q39" s="138">
        <v>2695</v>
      </c>
      <c r="R39" s="138">
        <v>2692</v>
      </c>
      <c r="S39" s="138">
        <v>2692</v>
      </c>
      <c r="T39" s="138">
        <v>2696</v>
      </c>
      <c r="U39" s="138">
        <v>2688</v>
      </c>
      <c r="V39" s="138">
        <v>2692</v>
      </c>
      <c r="W39" s="138">
        <v>2711</v>
      </c>
      <c r="X39" s="138">
        <v>2711</v>
      </c>
      <c r="Y39" s="138">
        <v>2718</v>
      </c>
      <c r="Z39" s="138">
        <v>3046</v>
      </c>
      <c r="AA39" s="138">
        <v>3050</v>
      </c>
      <c r="AB39" s="138">
        <v>3051</v>
      </c>
      <c r="AC39" s="138">
        <v>3049</v>
      </c>
      <c r="AD39" s="138">
        <v>3056</v>
      </c>
      <c r="AE39" s="138">
        <v>3062</v>
      </c>
      <c r="AF39" s="138">
        <v>3059</v>
      </c>
      <c r="AG39" s="138">
        <v>3056</v>
      </c>
      <c r="AH39" s="138">
        <v>3064</v>
      </c>
      <c r="AI39" s="138">
        <v>3083</v>
      </c>
      <c r="AJ39" s="138">
        <v>3078</v>
      </c>
      <c r="AK39" s="138">
        <v>3155</v>
      </c>
      <c r="AL39" s="138">
        <v>3680</v>
      </c>
      <c r="AM39" s="138">
        <v>3676</v>
      </c>
      <c r="AN39" s="138">
        <v>3690</v>
      </c>
      <c r="AO39" s="138">
        <v>3695</v>
      </c>
      <c r="AP39" s="138"/>
      <c r="AQ39" s="138"/>
      <c r="AR39" s="138"/>
      <c r="AS39" s="138"/>
      <c r="AT39" s="138"/>
      <c r="AU39" s="138">
        <v>3763</v>
      </c>
      <c r="AV39" s="138">
        <v>3774</v>
      </c>
      <c r="AW39" s="138">
        <v>3984</v>
      </c>
      <c r="AX39" s="138">
        <v>4441</v>
      </c>
      <c r="AY39" s="138">
        <v>4432</v>
      </c>
      <c r="AZ39" s="138">
        <v>4437</v>
      </c>
      <c r="BA39" s="138">
        <v>4433</v>
      </c>
      <c r="BB39" s="138">
        <v>4430</v>
      </c>
      <c r="BC39" s="138">
        <v>4430</v>
      </c>
      <c r="BD39" s="138">
        <v>4400</v>
      </c>
      <c r="BE39" s="138">
        <v>4400</v>
      </c>
      <c r="BF39" s="138">
        <v>4400</v>
      </c>
      <c r="BG39" s="138">
        <v>4436</v>
      </c>
      <c r="BH39" s="138">
        <v>4441</v>
      </c>
      <c r="BI39" s="138">
        <v>4541</v>
      </c>
      <c r="BJ39" s="138">
        <v>4972</v>
      </c>
      <c r="BK39" s="138">
        <v>4992</v>
      </c>
      <c r="BL39" s="138">
        <v>4997</v>
      </c>
      <c r="BM39" s="202">
        <f>(Tableau1[[#This Row],[mars-20]]-Tableau1[[#This Row],[dec-19]])/Tableau1[[#This Row],[dec-19]]</f>
        <v>1.001602564102564E-3</v>
      </c>
      <c r="BN39" s="187">
        <f>Tableau1[[#This Row],[mars-20]]-Tableau1[[#This Row],[dec-19]]</f>
        <v>5</v>
      </c>
      <c r="BO39" s="21">
        <v>5001</v>
      </c>
      <c r="BP39" s="234">
        <v>5371</v>
      </c>
      <c r="BQ39" s="234">
        <v>5786</v>
      </c>
      <c r="BR39" s="234">
        <v>6085</v>
      </c>
      <c r="BS39" s="21">
        <v>5499</v>
      </c>
      <c r="BT39" s="234">
        <v>6154</v>
      </c>
      <c r="BU39" s="234">
        <v>6355</v>
      </c>
      <c r="BV39" s="234">
        <v>6300</v>
      </c>
      <c r="BW39" s="21">
        <v>6400</v>
      </c>
      <c r="BX39" s="234">
        <v>6300</v>
      </c>
      <c r="BY39" s="234"/>
      <c r="BZ39" s="554">
        <f>(Tableau1[[#This Row],[juin-24]]-Tableau1[[#This Row],[avr-24]])/Tableau1[[#This Row],[avr-24]]</f>
        <v>-1.5625E-2</v>
      </c>
      <c r="CA39" s="548">
        <f>Tableau1[[#This Row],[juin-24]]-Tableau1[[#This Row],[avr-24]]</f>
        <v>-100</v>
      </c>
    </row>
    <row r="40" spans="1:79" ht="16.5" customHeight="1" x14ac:dyDescent="0.3">
      <c r="A40" s="349">
        <v>38</v>
      </c>
      <c r="B40" s="311" t="s">
        <v>278</v>
      </c>
      <c r="C40" s="56" t="s">
        <v>45</v>
      </c>
      <c r="D40" s="136" t="s">
        <v>49</v>
      </c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7"/>
      <c r="S40" s="307"/>
      <c r="T40" s="307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  <c r="AG40" s="307"/>
      <c r="AH40" s="307"/>
      <c r="AI40" s="307"/>
      <c r="AJ40" s="307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308"/>
      <c r="BM40" s="309"/>
      <c r="BN40" s="310">
        <f>Tableau1[[#This Row],[mars-20]]-Tableau1[[#This Row],[dec-19]]</f>
        <v>0</v>
      </c>
      <c r="BO40" s="21"/>
      <c r="BP40" s="234"/>
      <c r="BQ40" s="234"/>
      <c r="BR40" s="234"/>
      <c r="BS40" s="234"/>
      <c r="BT40" s="234">
        <v>5700</v>
      </c>
      <c r="BU40" s="234">
        <v>5700</v>
      </c>
      <c r="BV40" s="234">
        <v>6300</v>
      </c>
      <c r="BW40" s="21">
        <v>6300</v>
      </c>
      <c r="BX40" s="234">
        <v>6300</v>
      </c>
      <c r="BY40" s="234"/>
      <c r="BZ40" s="554">
        <f>(Tableau1[[#This Row],[juin-24]]-Tableau1[[#This Row],[avr-24]])/Tableau1[[#This Row],[avr-24]]</f>
        <v>0</v>
      </c>
      <c r="CA40" s="548">
        <f>Tableau1[[#This Row],[juin-24]]-Tableau1[[#This Row],[avr-24]]</f>
        <v>0</v>
      </c>
    </row>
    <row r="41" spans="1:79" ht="16.5" customHeight="1" x14ac:dyDescent="0.3">
      <c r="A41" s="75">
        <v>39</v>
      </c>
      <c r="B41" s="311" t="s">
        <v>280</v>
      </c>
      <c r="C41" s="56" t="s">
        <v>45</v>
      </c>
      <c r="D41" s="56" t="s">
        <v>49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334"/>
      <c r="BM41" s="335"/>
      <c r="BN41" s="53">
        <f>Tableau1[[#This Row],[mars-20]]-Tableau1[[#This Row],[dec-19]]</f>
        <v>0</v>
      </c>
      <c r="BO41" s="21"/>
      <c r="BP41" s="21"/>
      <c r="BQ41" s="21"/>
      <c r="BR41" s="21"/>
      <c r="BS41" s="21"/>
      <c r="BT41" s="21">
        <v>5400</v>
      </c>
      <c r="BU41" s="234">
        <v>5400</v>
      </c>
      <c r="BV41" s="234">
        <v>5800</v>
      </c>
      <c r="BW41" s="21">
        <v>6500</v>
      </c>
      <c r="BX41" s="234">
        <v>6400</v>
      </c>
      <c r="BY41" s="21"/>
      <c r="BZ41" s="554">
        <f>(Tableau1[[#This Row],[juin-24]]-Tableau1[[#This Row],[avr-24]])/Tableau1[[#This Row],[avr-24]]</f>
        <v>-1.5384615384615385E-2</v>
      </c>
      <c r="CA41" s="548">
        <f>Tableau1[[#This Row],[juin-24]]-Tableau1[[#This Row],[avr-24]]</f>
        <v>-100</v>
      </c>
    </row>
    <row r="42" spans="1:79" ht="16.5" customHeight="1" x14ac:dyDescent="0.3">
      <c r="A42" s="74">
        <v>9</v>
      </c>
      <c r="B42" s="61" t="s">
        <v>52</v>
      </c>
      <c r="C42" s="56" t="s">
        <v>47</v>
      </c>
      <c r="D42" s="56" t="s">
        <v>49</v>
      </c>
      <c r="E42" s="69">
        <v>32008</v>
      </c>
      <c r="F42" s="69">
        <v>38098</v>
      </c>
      <c r="G42" s="69">
        <v>37846</v>
      </c>
      <c r="H42" s="69">
        <v>37773</v>
      </c>
      <c r="I42" s="69">
        <v>37729</v>
      </c>
      <c r="J42" s="69">
        <v>37670</v>
      </c>
      <c r="K42" s="69">
        <v>37560</v>
      </c>
      <c r="L42" s="69">
        <v>37402</v>
      </c>
      <c r="M42" s="69">
        <v>37354</v>
      </c>
      <c r="N42" s="69">
        <v>37259</v>
      </c>
      <c r="O42" s="69">
        <v>37106</v>
      </c>
      <c r="P42" s="69">
        <v>37053</v>
      </c>
      <c r="Q42" s="69">
        <v>48489</v>
      </c>
      <c r="R42" s="69">
        <v>56126</v>
      </c>
      <c r="S42" s="69">
        <v>56067</v>
      </c>
      <c r="T42" s="69">
        <v>55948</v>
      </c>
      <c r="U42" s="69">
        <v>55892</v>
      </c>
      <c r="V42" s="69">
        <v>55861</v>
      </c>
      <c r="W42" s="69">
        <v>55841</v>
      </c>
      <c r="X42" s="69">
        <v>55803</v>
      </c>
      <c r="Y42" s="69">
        <v>55750</v>
      </c>
      <c r="Z42" s="69">
        <v>55718</v>
      </c>
      <c r="AA42" s="69">
        <v>55758</v>
      </c>
      <c r="AB42" s="69">
        <v>56123</v>
      </c>
      <c r="AC42" s="69">
        <v>80515</v>
      </c>
      <c r="AD42" s="69">
        <v>82598</v>
      </c>
      <c r="AE42" s="69">
        <v>82624</v>
      </c>
      <c r="AF42" s="69">
        <v>82521</v>
      </c>
      <c r="AG42" s="69">
        <v>82480</v>
      </c>
      <c r="AH42" s="69">
        <v>82432</v>
      </c>
      <c r="AI42" s="69">
        <v>82374</v>
      </c>
      <c r="AJ42" s="69">
        <v>82324</v>
      </c>
      <c r="AK42" s="69">
        <v>82160</v>
      </c>
      <c r="AL42" s="69">
        <v>81943</v>
      </c>
      <c r="AM42" s="69">
        <v>81793</v>
      </c>
      <c r="AN42" s="69">
        <v>81749</v>
      </c>
      <c r="AO42" s="69">
        <v>86616</v>
      </c>
      <c r="AP42" s="69">
        <v>96561</v>
      </c>
      <c r="AQ42" s="69">
        <v>96392</v>
      </c>
      <c r="AR42" s="69">
        <v>96230</v>
      </c>
      <c r="AS42" s="69">
        <v>95997</v>
      </c>
      <c r="AT42" s="69">
        <v>95880</v>
      </c>
      <c r="AU42" s="69">
        <v>95646</v>
      </c>
      <c r="AV42" s="69">
        <v>95459</v>
      </c>
      <c r="AW42" s="69">
        <v>95325</v>
      </c>
      <c r="AX42" s="69">
        <v>95216</v>
      </c>
      <c r="AY42" s="69">
        <v>95071</v>
      </c>
      <c r="AZ42" s="69">
        <v>94939</v>
      </c>
      <c r="BA42" s="69">
        <v>94833</v>
      </c>
      <c r="BB42" s="69">
        <v>94757</v>
      </c>
      <c r="BC42" s="69">
        <v>94630</v>
      </c>
      <c r="BD42" s="69">
        <v>94527</v>
      </c>
      <c r="BE42" s="69">
        <v>94440</v>
      </c>
      <c r="BF42" s="69">
        <v>94290</v>
      </c>
      <c r="BG42" s="69">
        <v>94220</v>
      </c>
      <c r="BH42" s="69">
        <v>94190</v>
      </c>
      <c r="BI42" s="69">
        <v>94121</v>
      </c>
      <c r="BJ42" s="69"/>
      <c r="BK42" s="69"/>
      <c r="BL42" s="136">
        <f>(Tableau1[[#This Row],[nov-19]]-Tableau1[[#This Row],[oct-19]])/Tableau1[[#This Row],[oct-19]]</f>
        <v>-1</v>
      </c>
      <c r="BM42" s="202"/>
      <c r="BN42" s="187">
        <f>Tableau1[[#This Row],[mars-20]]-Tableau1[[#This Row],[dec-19]]</f>
        <v>-1</v>
      </c>
      <c r="BO42" s="21"/>
      <c r="BP42" s="234"/>
      <c r="BQ42" s="234"/>
      <c r="BR42" s="234"/>
      <c r="BS42" s="21"/>
      <c r="BT42" s="234">
        <v>0</v>
      </c>
      <c r="BU42" s="234">
        <v>0</v>
      </c>
      <c r="BV42" s="234">
        <v>0</v>
      </c>
      <c r="BW42" s="21">
        <v>0</v>
      </c>
      <c r="BX42" s="234">
        <v>0</v>
      </c>
      <c r="BY42" s="234"/>
      <c r="BZ42" s="554" t="e">
        <f>(Tableau1[[#This Row],[juin-24]]-Tableau1[[#This Row],[avr-24]])/Tableau1[[#This Row],[avr-24]]</f>
        <v>#DIV/0!</v>
      </c>
      <c r="CA42" s="548">
        <f>Tableau1[[#This Row],[juin-24]]-Tableau1[[#This Row],[avr-24]]</f>
        <v>0</v>
      </c>
    </row>
    <row r="43" spans="1:79" s="12" customFormat="1" x14ac:dyDescent="0.3">
      <c r="A43" s="74">
        <v>5</v>
      </c>
      <c r="B43" s="61" t="s">
        <v>39</v>
      </c>
      <c r="C43" s="56" t="s">
        <v>59</v>
      </c>
      <c r="D43" s="56" t="s">
        <v>49</v>
      </c>
      <c r="E43" s="69">
        <v>78140</v>
      </c>
      <c r="F43" s="69">
        <v>79009</v>
      </c>
      <c r="G43" s="69">
        <v>79884</v>
      </c>
      <c r="H43" s="69">
        <v>81564</v>
      </c>
      <c r="I43" s="69">
        <v>90922</v>
      </c>
      <c r="J43" s="69">
        <v>92982</v>
      </c>
      <c r="K43" s="69">
        <v>95241</v>
      </c>
      <c r="L43" s="69">
        <v>96335</v>
      </c>
      <c r="M43" s="69">
        <v>98756</v>
      </c>
      <c r="N43" s="69">
        <v>97758</v>
      </c>
      <c r="O43" s="69">
        <v>97956</v>
      </c>
      <c r="P43" s="69">
        <v>100287</v>
      </c>
      <c r="Q43" s="69">
        <v>101789</v>
      </c>
      <c r="R43" s="69">
        <v>103031</v>
      </c>
      <c r="S43" s="69">
        <v>104612</v>
      </c>
      <c r="T43" s="69">
        <v>106132</v>
      </c>
      <c r="U43" s="69">
        <v>117654</v>
      </c>
      <c r="V43" s="69">
        <v>118558</v>
      </c>
      <c r="W43" s="69">
        <v>120184</v>
      </c>
      <c r="X43" s="69">
        <v>120768</v>
      </c>
      <c r="Y43" s="69">
        <v>121126</v>
      </c>
      <c r="Z43" s="69">
        <v>121241</v>
      </c>
      <c r="AA43" s="69">
        <v>121776</v>
      </c>
      <c r="AB43" s="69">
        <v>122284</v>
      </c>
      <c r="AC43" s="69">
        <v>122402</v>
      </c>
      <c r="AD43" s="69">
        <v>122982</v>
      </c>
      <c r="AE43" s="69">
        <v>123449</v>
      </c>
      <c r="AF43" s="69">
        <v>124427</v>
      </c>
      <c r="AG43" s="69">
        <v>135331</v>
      </c>
      <c r="AH43" s="69">
        <v>135269</v>
      </c>
      <c r="AI43" s="69">
        <v>135241</v>
      </c>
      <c r="AJ43" s="69">
        <v>135088</v>
      </c>
      <c r="AK43" s="69">
        <v>134933</v>
      </c>
      <c r="AL43" s="69">
        <v>135210</v>
      </c>
      <c r="AM43" s="69">
        <v>135158</v>
      </c>
      <c r="AN43" s="69">
        <v>135058</v>
      </c>
      <c r="AO43" s="69">
        <v>134990</v>
      </c>
      <c r="AP43" s="69">
        <v>135244</v>
      </c>
      <c r="AQ43" s="69">
        <v>135657</v>
      </c>
      <c r="AR43" s="69">
        <v>142323</v>
      </c>
      <c r="AS43" s="69">
        <v>164979</v>
      </c>
      <c r="AT43" s="69">
        <v>164893</v>
      </c>
      <c r="AU43" s="69">
        <v>164716</v>
      </c>
      <c r="AV43" s="69">
        <v>164516</v>
      </c>
      <c r="AW43" s="69">
        <v>164357</v>
      </c>
      <c r="AX43" s="69">
        <v>164158</v>
      </c>
      <c r="AY43" s="69">
        <v>163906</v>
      </c>
      <c r="AZ43" s="69">
        <v>163860</v>
      </c>
      <c r="BA43" s="69">
        <v>163686</v>
      </c>
      <c r="BB43" s="69">
        <v>163540</v>
      </c>
      <c r="BC43" s="69">
        <v>172240</v>
      </c>
      <c r="BD43" s="69">
        <v>177562</v>
      </c>
      <c r="BE43" s="69">
        <v>184711</v>
      </c>
      <c r="BF43" s="69">
        <v>184880</v>
      </c>
      <c r="BG43" s="69">
        <v>184697</v>
      </c>
      <c r="BH43" s="69">
        <v>184473</v>
      </c>
      <c r="BI43" s="69">
        <v>184042</v>
      </c>
      <c r="BJ43" s="69">
        <v>183799</v>
      </c>
      <c r="BK43" s="69">
        <v>183442</v>
      </c>
      <c r="BL43" s="189">
        <v>182469</v>
      </c>
      <c r="BM43" s="202">
        <f>(Tableau1[[#This Row],[mars-20]]-Tableau1[[#This Row],[dec-19]])/Tableau1[[#This Row],[dec-19]]</f>
        <v>-5.3041288254598185E-3</v>
      </c>
      <c r="BN43" s="187">
        <f>Tableau1[[#This Row],[mars-20]]-Tableau1[[#This Row],[dec-19]]</f>
        <v>-973</v>
      </c>
      <c r="BO43" s="21">
        <v>180396</v>
      </c>
      <c r="BP43" s="234">
        <v>179844</v>
      </c>
      <c r="BQ43" s="234"/>
      <c r="BR43" s="234"/>
      <c r="BS43" s="21"/>
      <c r="BT43" s="234">
        <v>0</v>
      </c>
      <c r="BU43" s="234">
        <v>0</v>
      </c>
      <c r="BV43" s="234">
        <v>0</v>
      </c>
      <c r="BW43" s="21">
        <v>0</v>
      </c>
      <c r="BX43" s="234">
        <v>0</v>
      </c>
      <c r="BY43" s="234"/>
      <c r="BZ43" s="554" t="e">
        <f>(Tableau1[[#This Row],[juin-24]]-Tableau1[[#This Row],[avr-24]])/Tableau1[[#This Row],[avr-24]]</f>
        <v>#DIV/0!</v>
      </c>
      <c r="CA43" s="548">
        <f>Tableau1[[#This Row],[juin-24]]-Tableau1[[#This Row],[avr-24]]</f>
        <v>0</v>
      </c>
    </row>
    <row r="44" spans="1:79" x14ac:dyDescent="0.3">
      <c r="A44" s="74">
        <v>16</v>
      </c>
      <c r="B44" s="61" t="s">
        <v>44</v>
      </c>
      <c r="C44" s="56" t="s">
        <v>45</v>
      </c>
      <c r="D44" s="56" t="s">
        <v>49</v>
      </c>
      <c r="E44" s="69">
        <v>40939</v>
      </c>
      <c r="F44" s="69">
        <v>40975</v>
      </c>
      <c r="G44" s="69">
        <v>39989</v>
      </c>
      <c r="H44" s="69">
        <v>40103</v>
      </c>
      <c r="I44" s="69">
        <v>40168</v>
      </c>
      <c r="J44" s="69">
        <v>40257</v>
      </c>
      <c r="K44" s="69">
        <v>41652</v>
      </c>
      <c r="L44" s="69">
        <v>44207</v>
      </c>
      <c r="M44" s="69">
        <v>44240</v>
      </c>
      <c r="N44" s="69">
        <v>44260</v>
      </c>
      <c r="O44" s="69">
        <v>44234</v>
      </c>
      <c r="P44" s="69">
        <v>44232</v>
      </c>
      <c r="Q44" s="69">
        <v>44261</v>
      </c>
      <c r="R44" s="69">
        <v>44298</v>
      </c>
      <c r="S44" s="69">
        <v>44470</v>
      </c>
      <c r="T44" s="69">
        <v>44630</v>
      </c>
      <c r="U44" s="69">
        <v>44774</v>
      </c>
      <c r="V44" s="69">
        <v>44878</v>
      </c>
      <c r="W44" s="69">
        <v>47250</v>
      </c>
      <c r="X44" s="69">
        <v>47305</v>
      </c>
      <c r="Y44" s="69">
        <v>47346</v>
      </c>
      <c r="Z44" s="69">
        <v>47336</v>
      </c>
      <c r="AA44" s="69">
        <v>47312</v>
      </c>
      <c r="AB44" s="69">
        <v>47241</v>
      </c>
      <c r="AC44" s="69">
        <v>47254</v>
      </c>
      <c r="AD44" s="69">
        <v>47192</v>
      </c>
      <c r="AE44" s="69">
        <v>47202</v>
      </c>
      <c r="AF44" s="69">
        <v>47192</v>
      </c>
      <c r="AG44" s="69">
        <v>47404</v>
      </c>
      <c r="AH44" s="69">
        <v>47496</v>
      </c>
      <c r="AI44" s="69">
        <v>48467</v>
      </c>
      <c r="AJ44" s="69">
        <v>49319</v>
      </c>
      <c r="AK44" s="69">
        <v>49357</v>
      </c>
      <c r="AL44" s="69">
        <v>49393</v>
      </c>
      <c r="AM44" s="69">
        <v>49334</v>
      </c>
      <c r="AN44" s="69">
        <v>49290</v>
      </c>
      <c r="AO44" s="69">
        <v>49570</v>
      </c>
      <c r="AP44" s="69">
        <v>49536</v>
      </c>
      <c r="AQ44" s="69">
        <v>49454</v>
      </c>
      <c r="AR44" s="69">
        <v>49242</v>
      </c>
      <c r="AS44" s="69">
        <v>49173</v>
      </c>
      <c r="AT44" s="69">
        <v>49278</v>
      </c>
      <c r="AU44" s="69">
        <v>49563</v>
      </c>
      <c r="AV44" s="69">
        <v>50951</v>
      </c>
      <c r="AW44" s="69">
        <v>50921</v>
      </c>
      <c r="AX44" s="69">
        <v>50826</v>
      </c>
      <c r="AY44" s="69">
        <v>50709</v>
      </c>
      <c r="AZ44" s="69">
        <v>50606</v>
      </c>
      <c r="BA44" s="69">
        <v>50579</v>
      </c>
      <c r="BB44" s="69">
        <v>50517</v>
      </c>
      <c r="BC44" s="69">
        <v>50440</v>
      </c>
      <c r="BD44" s="69">
        <v>50404</v>
      </c>
      <c r="BE44" s="69">
        <v>50378</v>
      </c>
      <c r="BF44" s="69">
        <v>50401</v>
      </c>
      <c r="BG44" s="69">
        <v>50388</v>
      </c>
      <c r="BH44" s="69">
        <v>51255</v>
      </c>
      <c r="BI44" s="69">
        <v>51159</v>
      </c>
      <c r="BJ44" s="69">
        <v>51077</v>
      </c>
      <c r="BK44" s="69">
        <v>51021</v>
      </c>
      <c r="BL44" s="189">
        <v>55894</v>
      </c>
      <c r="BM44" s="202">
        <f>(Tableau1[[#This Row],[mars-20]]-Tableau1[[#This Row],[dec-19]])/Tableau1[[#This Row],[dec-19]]</f>
        <v>9.550969208757179E-2</v>
      </c>
      <c r="BN44" s="187">
        <f>Tableau1[[#This Row],[mars-20]]-Tableau1[[#This Row],[dec-19]]</f>
        <v>4873</v>
      </c>
      <c r="BO44" s="21">
        <v>55216</v>
      </c>
      <c r="BP44" s="234">
        <v>55039</v>
      </c>
      <c r="BQ44" s="251">
        <v>54180</v>
      </c>
      <c r="BR44" s="250"/>
      <c r="BS44" s="251"/>
      <c r="BT44" s="250">
        <v>0</v>
      </c>
      <c r="BU44" s="250">
        <v>0</v>
      </c>
      <c r="BV44" s="250">
        <v>53830</v>
      </c>
      <c r="BW44" s="251">
        <v>53000</v>
      </c>
      <c r="BX44" s="250">
        <v>52000</v>
      </c>
      <c r="BY44" s="250"/>
      <c r="BZ44" s="554">
        <f>(Tableau1[[#This Row],[juin-24]]-Tableau1[[#This Row],[avr-24]])/Tableau1[[#This Row],[avr-24]]</f>
        <v>-1.8867924528301886E-2</v>
      </c>
      <c r="CA44" s="548">
        <f>Tableau1[[#This Row],[juin-24]]-Tableau1[[#This Row],[avr-24]]</f>
        <v>-1000</v>
      </c>
    </row>
    <row r="45" spans="1:79" x14ac:dyDescent="0.3">
      <c r="A45" s="75">
        <v>33</v>
      </c>
      <c r="B45" s="137" t="s">
        <v>36</v>
      </c>
      <c r="C45" s="136" t="s">
        <v>59</v>
      </c>
      <c r="D45" s="136" t="s">
        <v>49</v>
      </c>
      <c r="E45" s="138">
        <v>993</v>
      </c>
      <c r="F45" s="138">
        <v>3353</v>
      </c>
      <c r="G45" s="138">
        <v>3375</v>
      </c>
      <c r="H45" s="138">
        <v>3380</v>
      </c>
      <c r="I45" s="138">
        <v>3392</v>
      </c>
      <c r="J45" s="138">
        <v>3415</v>
      </c>
      <c r="K45" s="138">
        <v>3432</v>
      </c>
      <c r="L45" s="138">
        <v>3427</v>
      </c>
      <c r="M45" s="138">
        <v>3427</v>
      </c>
      <c r="N45" s="138">
        <v>3424</v>
      </c>
      <c r="O45" s="138">
        <v>3420</v>
      </c>
      <c r="P45" s="138">
        <v>3410</v>
      </c>
      <c r="Q45" s="138">
        <v>3490</v>
      </c>
      <c r="R45" s="138">
        <v>4472</v>
      </c>
      <c r="S45" s="138">
        <v>4560</v>
      </c>
      <c r="T45" s="138">
        <v>4642</v>
      </c>
      <c r="U45" s="138">
        <v>4645</v>
      </c>
      <c r="V45" s="138">
        <v>4639</v>
      </c>
      <c r="W45" s="138">
        <v>4633</v>
      </c>
      <c r="X45" s="138">
        <v>4627</v>
      </c>
      <c r="Y45" s="138">
        <v>4620</v>
      </c>
      <c r="Z45" s="138">
        <v>4621</v>
      </c>
      <c r="AA45" s="138">
        <v>4630</v>
      </c>
      <c r="AB45" s="138">
        <v>4628</v>
      </c>
      <c r="AC45" s="138">
        <v>4621</v>
      </c>
      <c r="AD45" s="138">
        <v>4627</v>
      </c>
      <c r="AE45" s="138">
        <v>4624</v>
      </c>
      <c r="AF45" s="138">
        <v>4619</v>
      </c>
      <c r="AG45" s="138">
        <v>4617</v>
      </c>
      <c r="AH45" s="138">
        <v>4609</v>
      </c>
      <c r="AI45" s="138">
        <v>4608</v>
      </c>
      <c r="AJ45" s="138">
        <v>4599</v>
      </c>
      <c r="AK45" s="138">
        <v>4592</v>
      </c>
      <c r="AL45" s="138">
        <v>4572</v>
      </c>
      <c r="AM45" s="138">
        <v>4569</v>
      </c>
      <c r="AN45" s="138">
        <v>4565</v>
      </c>
      <c r="AO45" s="138">
        <v>4554</v>
      </c>
      <c r="AP45" s="138"/>
      <c r="AQ45" s="138"/>
      <c r="AR45" s="138"/>
      <c r="AS45" s="138"/>
      <c r="AT45" s="138"/>
      <c r="AU45" s="138">
        <v>4493</v>
      </c>
      <c r="AV45" s="138">
        <v>4493</v>
      </c>
      <c r="AW45" s="138">
        <v>4497</v>
      </c>
      <c r="AX45" s="138">
        <v>4487</v>
      </c>
      <c r="AY45" s="138">
        <v>4475</v>
      </c>
      <c r="AZ45" s="138">
        <v>4473</v>
      </c>
      <c r="BA45" s="138">
        <v>4467</v>
      </c>
      <c r="BB45" s="138">
        <v>4460</v>
      </c>
      <c r="BC45" s="138">
        <v>4455</v>
      </c>
      <c r="BD45" s="138">
        <v>4445</v>
      </c>
      <c r="BE45" s="138">
        <v>4436</v>
      </c>
      <c r="BF45" s="138">
        <v>4437</v>
      </c>
      <c r="BG45" s="138">
        <v>4423</v>
      </c>
      <c r="BH45" s="138">
        <v>4407</v>
      </c>
      <c r="BI45" s="138">
        <v>4395</v>
      </c>
      <c r="BJ45" s="138">
        <v>4381</v>
      </c>
      <c r="BK45" s="138">
        <v>4377</v>
      </c>
      <c r="BL45" s="138">
        <v>4359</v>
      </c>
      <c r="BM45" s="202">
        <f>(Tableau1[[#This Row],[mars-20]]-Tableau1[[#This Row],[dec-19]])/Tableau1[[#This Row],[dec-19]]</f>
        <v>-4.1124057573680602E-3</v>
      </c>
      <c r="BN45" s="187">
        <f>Tableau1[[#This Row],[mars-20]]-Tableau1[[#This Row],[dec-19]]</f>
        <v>-18</v>
      </c>
      <c r="BO45" s="20">
        <v>4317</v>
      </c>
      <c r="BP45" s="235">
        <v>4312</v>
      </c>
      <c r="BQ45" s="235">
        <v>4323</v>
      </c>
      <c r="BR45" s="235"/>
      <c r="BS45" s="20"/>
      <c r="BT45" s="235">
        <v>0</v>
      </c>
      <c r="BU45" s="21">
        <v>4515</v>
      </c>
      <c r="BV45" s="21">
        <v>4400</v>
      </c>
      <c r="BW45" s="21">
        <v>4400</v>
      </c>
      <c r="BX45" s="234">
        <v>4400</v>
      </c>
      <c r="BY45" s="235"/>
      <c r="BZ45" s="554">
        <f>(Tableau1[[#This Row],[juin-24]]-Tableau1[[#This Row],[avr-24]])/Tableau1[[#This Row],[avr-24]]</f>
        <v>0</v>
      </c>
      <c r="CA45" s="548">
        <f>Tableau1[[#This Row],[juin-24]]-Tableau1[[#This Row],[avr-24]]</f>
        <v>0</v>
      </c>
    </row>
    <row r="46" spans="1:79" x14ac:dyDescent="0.3">
      <c r="A46" s="75">
        <v>34</v>
      </c>
      <c r="B46" s="137" t="s">
        <v>29</v>
      </c>
      <c r="C46" s="136" t="s">
        <v>46</v>
      </c>
      <c r="D46" s="136" t="s">
        <v>49</v>
      </c>
      <c r="E46" s="138">
        <v>1161</v>
      </c>
      <c r="F46" s="138">
        <v>1246</v>
      </c>
      <c r="G46" s="138">
        <v>1601</v>
      </c>
      <c r="H46" s="138">
        <v>1662</v>
      </c>
      <c r="I46" s="138">
        <v>1671</v>
      </c>
      <c r="J46" s="138">
        <v>1767</v>
      </c>
      <c r="K46" s="138">
        <v>1787</v>
      </c>
      <c r="L46" s="138">
        <v>1794</v>
      </c>
      <c r="M46" s="138">
        <v>1797</v>
      </c>
      <c r="N46" s="138">
        <v>1791</v>
      </c>
      <c r="O46" s="138">
        <v>1789</v>
      </c>
      <c r="P46" s="138">
        <v>1794</v>
      </c>
      <c r="Q46" s="138">
        <v>1815</v>
      </c>
      <c r="R46" s="138">
        <v>1856</v>
      </c>
      <c r="S46" s="138">
        <v>2538</v>
      </c>
      <c r="T46" s="138">
        <v>2649</v>
      </c>
      <c r="U46" s="138">
        <v>2660</v>
      </c>
      <c r="V46" s="138">
        <v>2716</v>
      </c>
      <c r="W46" s="138">
        <v>2720</v>
      </c>
      <c r="X46" s="138">
        <v>2718</v>
      </c>
      <c r="Y46" s="138">
        <v>2713</v>
      </c>
      <c r="Z46" s="138">
        <v>2712</v>
      </c>
      <c r="AA46" s="138">
        <v>2703</v>
      </c>
      <c r="AB46" s="138">
        <v>2698</v>
      </c>
      <c r="AC46" s="138">
        <v>2690</v>
      </c>
      <c r="AD46" s="138">
        <v>2682</v>
      </c>
      <c r="AE46" s="138">
        <v>2677</v>
      </c>
      <c r="AF46" s="138">
        <v>2675</v>
      </c>
      <c r="AG46" s="138">
        <v>2669</v>
      </c>
      <c r="AH46" s="138">
        <v>2668</v>
      </c>
      <c r="AI46" s="138">
        <v>2671</v>
      </c>
      <c r="AJ46" s="138">
        <v>2674</v>
      </c>
      <c r="AK46" s="138">
        <v>2670</v>
      </c>
      <c r="AL46" s="138">
        <v>2663</v>
      </c>
      <c r="AM46" s="138">
        <v>2661</v>
      </c>
      <c r="AN46" s="138">
        <v>2649</v>
      </c>
      <c r="AO46" s="138">
        <v>2645</v>
      </c>
      <c r="AP46" s="138"/>
      <c r="AQ46" s="138"/>
      <c r="AR46" s="138"/>
      <c r="AS46" s="138"/>
      <c r="AT46" s="138"/>
      <c r="AU46" s="138">
        <v>2613</v>
      </c>
      <c r="AV46" s="138">
        <v>2609</v>
      </c>
      <c r="AW46" s="138">
        <v>2605</v>
      </c>
      <c r="AX46" s="138">
        <v>2601</v>
      </c>
      <c r="AY46" s="138">
        <v>2590</v>
      </c>
      <c r="AZ46" s="138">
        <v>2588</v>
      </c>
      <c r="BA46" s="138">
        <v>2584</v>
      </c>
      <c r="BB46" s="138"/>
      <c r="BC46" s="138"/>
      <c r="BD46" s="138"/>
      <c r="BE46" s="138"/>
      <c r="BF46" s="138"/>
      <c r="BG46" s="138"/>
      <c r="BH46" s="138"/>
      <c r="BI46" s="138">
        <v>2551</v>
      </c>
      <c r="BJ46" s="138">
        <v>2551</v>
      </c>
      <c r="BK46" s="138">
        <v>2545</v>
      </c>
      <c r="BL46" s="138">
        <v>2531</v>
      </c>
      <c r="BM46" s="202">
        <f>(Tableau1[[#This Row],[mars-20]]-Tableau1[[#This Row],[dec-19]])/Tableau1[[#This Row],[dec-19]]</f>
        <v>-5.5009823182711201E-3</v>
      </c>
      <c r="BN46" s="187">
        <f>Tableau1[[#This Row],[mars-20]]-Tableau1[[#This Row],[dec-19]]</f>
        <v>-14</v>
      </c>
      <c r="BO46" s="21">
        <v>2493</v>
      </c>
      <c r="BP46" s="234">
        <v>2486</v>
      </c>
      <c r="BQ46" s="234">
        <v>2594</v>
      </c>
      <c r="BR46" s="234"/>
      <c r="BS46" s="21"/>
      <c r="BT46" s="234">
        <v>0</v>
      </c>
      <c r="BU46" s="234">
        <v>0</v>
      </c>
      <c r="BV46" s="234">
        <v>2600</v>
      </c>
      <c r="BW46" s="21">
        <v>2600</v>
      </c>
      <c r="BX46" s="234">
        <v>2600</v>
      </c>
      <c r="BY46" s="234"/>
      <c r="BZ46" s="554">
        <f>(Tableau1[[#This Row],[juin-24]]-Tableau1[[#This Row],[avr-24]])/Tableau1[[#This Row],[avr-24]]</f>
        <v>0</v>
      </c>
      <c r="CA46" s="548">
        <f>Tableau1[[#This Row],[juin-24]]-Tableau1[[#This Row],[avr-24]]</f>
        <v>0</v>
      </c>
    </row>
    <row r="47" spans="1:79" x14ac:dyDescent="0.3">
      <c r="A47" s="87"/>
      <c r="B47" s="87" t="s">
        <v>56</v>
      </c>
      <c r="C47" s="140"/>
      <c r="D47" s="140"/>
      <c r="E47" s="141">
        <f>SUBTOTAL(109,Tableau1[févr-15])</f>
        <v>2791949</v>
      </c>
      <c r="F47" s="141">
        <f>SUBTOTAL(109,Tableau1[mars-15])</f>
        <v>2811171</v>
      </c>
      <c r="G47" s="141">
        <f>SUBTOTAL(109,Tableau1[avr-15])</f>
        <v>2875820</v>
      </c>
      <c r="H47" s="141">
        <f>SUBTOTAL(109,Tableau1[mai-15])</f>
        <v>2940511</v>
      </c>
      <c r="I47" s="141">
        <f>SUBTOTAL(109,Tableau1[juin-15])</f>
        <v>3126870</v>
      </c>
      <c r="J47" s="141">
        <f>SUBTOTAL(109,Tableau1[juil-15])</f>
        <v>3183951</v>
      </c>
      <c r="K47" s="141">
        <f>SUBTOTAL(109,Tableau1[août-15])</f>
        <v>3459749</v>
      </c>
      <c r="L47" s="141">
        <f>SUBTOTAL(109,Tableau1[sept-15])</f>
        <v>3530569</v>
      </c>
      <c r="M47" s="141">
        <f>SUBTOTAL(109,Tableau1[oct-15])</f>
        <v>3546233</v>
      </c>
      <c r="N47" s="141">
        <f>SUBTOTAL(109,Tableau1[nov-15])</f>
        <v>3581585</v>
      </c>
      <c r="O47" s="141">
        <f>SUBTOTAL(109,Tableau1[déc-15])</f>
        <v>3594733</v>
      </c>
      <c r="P47" s="141">
        <f>SUBTOTAL(109,Tableau1[janv-16])</f>
        <v>3606813</v>
      </c>
      <c r="Q47" s="141">
        <f>SUBTOTAL(109,Tableau1[févr-16])</f>
        <v>3640708</v>
      </c>
      <c r="R47" s="141">
        <f>SUBTOTAL(109,Tableau1[mars-16])</f>
        <v>3684630</v>
      </c>
      <c r="S47" s="141">
        <f>SUBTOTAL(109,Tableau1[avr-16])</f>
        <v>3753712</v>
      </c>
      <c r="T47" s="141">
        <f>SUBTOTAL(109,Tableau1[mai-16])</f>
        <v>3846943</v>
      </c>
      <c r="U47" s="141">
        <f>SUBTOTAL(109,Tableau1[juin-16])</f>
        <v>4048473</v>
      </c>
      <c r="V47" s="141">
        <f>SUBTOTAL(109,Tableau1[juil-16])</f>
        <v>4103503</v>
      </c>
      <c r="W47" s="141">
        <f>SUBTOTAL(109,Tableau1[août-16])</f>
        <v>4392769</v>
      </c>
      <c r="X47" s="141">
        <f>SUBTOTAL(109,Tableau1[sept-16])</f>
        <v>4428679</v>
      </c>
      <c r="Y47" s="141">
        <f>SUBTOTAL(109,Tableau1[oct-16])</f>
        <v>4466746</v>
      </c>
      <c r="Z47" s="141">
        <f>SUBTOTAL(109,Tableau1[nov-16])</f>
        <v>4481358</v>
      </c>
      <c r="AA47" s="141">
        <f>SUBTOTAL(109,Tableau1[déc-16])</f>
        <v>4879732</v>
      </c>
      <c r="AB47" s="141">
        <f>SUBTOTAL(109,Tableau1[janv-17])</f>
        <v>4895887</v>
      </c>
      <c r="AC47" s="141">
        <f>SUBTOTAL(109,Tableau1[févr-17])</f>
        <v>4939860</v>
      </c>
      <c r="AD47" s="141">
        <f>SUBTOTAL(109,Tableau1[mars-17])</f>
        <v>4975344</v>
      </c>
      <c r="AE47" s="141">
        <f>SUBTOTAL(109,Tableau1[avr-17])</f>
        <v>5078344</v>
      </c>
      <c r="AF47" s="141">
        <f>SUBTOTAL(109,Tableau1[mai-17])</f>
        <v>5128078</v>
      </c>
      <c r="AG47" s="141">
        <f>SUBTOTAL(109,Tableau1[juin-17])</f>
        <v>5360837</v>
      </c>
      <c r="AH47" s="141">
        <f>SUBTOTAL(109,Tableau1[juil-17])</f>
        <v>5497076</v>
      </c>
      <c r="AI47" s="141">
        <f>SUBTOTAL(109,Tableau1[août-17])</f>
        <v>5662426</v>
      </c>
      <c r="AJ47" s="141">
        <f>SUBTOTAL(109,Tableau1[sept-17])</f>
        <v>5709432</v>
      </c>
      <c r="AK47" s="141">
        <f>SUBTOTAL(109,Tableau1[oct-17])</f>
        <v>5734551</v>
      </c>
      <c r="AL47" s="141">
        <f>SUBTOTAL(109,Tableau1[nov-17])</f>
        <v>5752267</v>
      </c>
      <c r="AM47" s="141">
        <f t="shared" ref="AM47:AS47" si="0">SUM(AM2:AM46)</f>
        <v>5752305</v>
      </c>
      <c r="AN47" s="141">
        <f t="shared" si="0"/>
        <v>5755356</v>
      </c>
      <c r="AO47" s="141">
        <f t="shared" si="0"/>
        <v>5774832</v>
      </c>
      <c r="AP47" s="141">
        <f t="shared" si="0"/>
        <v>5779626</v>
      </c>
      <c r="AQ47" s="141">
        <f t="shared" si="0"/>
        <v>5830093</v>
      </c>
      <c r="AR47" s="141">
        <f t="shared" si="0"/>
        <v>5872788</v>
      </c>
      <c r="AS47" s="141">
        <f t="shared" si="0"/>
        <v>5984982</v>
      </c>
      <c r="AT47" s="141">
        <f>SUBTOTAL(109,Tableau1[juil-18])</f>
        <v>6001209</v>
      </c>
      <c r="AU47" s="141">
        <f>SUBTOTAL(109,Tableau1[août-18])</f>
        <v>6137729</v>
      </c>
      <c r="AV47" s="141">
        <f>SUBTOTAL(109,Tableau1[sept-18])</f>
        <v>6163793</v>
      </c>
      <c r="AW47" s="141">
        <f>SUBTOTAL(109,Tableau1[oct-18])</f>
        <v>6184586</v>
      </c>
      <c r="AX47" s="141">
        <f>SUBTOTAL(109,Tableau1[nov-18])</f>
        <v>6183664</v>
      </c>
      <c r="AY47" s="141">
        <f>SUBTOTAL(109,Tableau1[dec-18])</f>
        <v>6174613</v>
      </c>
      <c r="AZ47" s="141">
        <f>SUBTOTAL(109,Tableau1[janv-19])</f>
        <v>6170065</v>
      </c>
      <c r="BA47" s="141">
        <f>SUBTOTAL(109,Tableau1[févr-19])</f>
        <v>6176718</v>
      </c>
      <c r="BB47" s="141">
        <f>SUBTOTAL(109,Tableau1[mars-19])</f>
        <v>6215344</v>
      </c>
      <c r="BC47" s="141">
        <f>SUBTOTAL(109,Tableau1[avr-19])</f>
        <v>6257735</v>
      </c>
      <c r="BD47" s="141">
        <f>SUBTOTAL(109,Tableau1[mai-19])</f>
        <v>6281269</v>
      </c>
      <c r="BE47" s="141">
        <f>SUBTOTAL(109,Tableau1[juin-19])</f>
        <v>6373939</v>
      </c>
      <c r="BF47" s="141">
        <f>SUBTOTAL(109,Tableau1[juil-19])</f>
        <v>6488960</v>
      </c>
      <c r="BG47" s="141">
        <f>SUBTOTAL(109,Tableau1[août-19])</f>
        <v>6579650</v>
      </c>
      <c r="BH47" s="141">
        <f>SUBTOTAL(109,Tableau1[sept-19])</f>
        <v>6634247</v>
      </c>
      <c r="BI47" s="141">
        <f>SUBTOTAL(109,Tableau1[oct-19])</f>
        <v>6646472</v>
      </c>
      <c r="BJ47" s="141">
        <f>SUBTOTAL(109,Tableau1[nov-19])</f>
        <v>6575721</v>
      </c>
      <c r="BK47" s="141">
        <f>SUBTOTAL(109,Tableau1[dec-19])</f>
        <v>6569655</v>
      </c>
      <c r="BL47" s="141"/>
      <c r="BM47" s="141"/>
      <c r="BN47" s="140"/>
      <c r="BO47" s="141">
        <f>SUBTOTAL(109,Tableau1[sept-20])</f>
        <v>6821392</v>
      </c>
      <c r="BP47" s="141">
        <f>SUBTOTAL(109,Tableau1[nov-20])</f>
        <v>6962360</v>
      </c>
      <c r="BQ47" s="141">
        <f>SUBTOTAL(109,Tableau1[sept-21])</f>
        <v>7416045</v>
      </c>
      <c r="BR47" s="141">
        <f>SUBTOTAL(109,Tableau1[mars-22])</f>
        <v>7323276</v>
      </c>
      <c r="BS47" s="141">
        <f>SUBTOTAL(109,Tableau1[avr-22])</f>
        <v>7432780</v>
      </c>
      <c r="BT47" s="141">
        <f>SUM(Tableau1[sept-22])</f>
        <v>8035494</v>
      </c>
      <c r="BU47" s="141">
        <f>SUM(Tableau1[nov-22])</f>
        <v>8059515</v>
      </c>
      <c r="BV47" s="141">
        <f>SUM(Tableau1[oct-23])</f>
        <v>8083401</v>
      </c>
      <c r="BW47" s="141">
        <f>SUM(Tableau1[avr-24])</f>
        <v>8238400</v>
      </c>
      <c r="BX47" s="141">
        <f>SUM(Tableau1[juin-24])</f>
        <v>8566200</v>
      </c>
      <c r="BY47" s="501"/>
      <c r="BZ47" s="555">
        <f>(Tableau1[[#Totals],[juin-24]]-Tableau1[[#Totals],[avr-24]])/Tableau1[[#Totals],[avr-24]]</f>
        <v>3.9789279471742087E-2</v>
      </c>
      <c r="CA47" s="556">
        <f>Tableau1[[#Totals],[juin-24]]-Tableau1[[#Totals],[avr-24]]</f>
        <v>327800</v>
      </c>
    </row>
    <row r="48" spans="1:79" x14ac:dyDescent="0.3">
      <c r="AI48" s="10"/>
      <c r="AJ48" s="10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</row>
    <row r="49" spans="1:81" x14ac:dyDescent="0.3">
      <c r="T49" s="12"/>
      <c r="U49" s="12"/>
      <c r="V49" s="11"/>
      <c r="AI49" s="10"/>
      <c r="AJ49" s="10"/>
      <c r="AK49" s="13"/>
      <c r="AZ49" s="14"/>
      <c r="BA49" s="14"/>
      <c r="BB49" s="14"/>
      <c r="BC49" s="14"/>
      <c r="BD49" s="14"/>
      <c r="BE49" s="14"/>
    </row>
    <row r="50" spans="1:81" s="12" customFormat="1" x14ac:dyDescent="0.3">
      <c r="A50" s="64" t="s">
        <v>13</v>
      </c>
      <c r="B50" s="65" t="s">
        <v>15</v>
      </c>
      <c r="C50" s="65" t="s">
        <v>54</v>
      </c>
      <c r="D50" s="65" t="s">
        <v>48</v>
      </c>
      <c r="E50" s="66" t="s">
        <v>0</v>
      </c>
      <c r="F50" s="66" t="s">
        <v>1</v>
      </c>
      <c r="G50" s="66" t="s">
        <v>4</v>
      </c>
      <c r="H50" s="66" t="s">
        <v>5</v>
      </c>
      <c r="I50" s="66" t="s">
        <v>6</v>
      </c>
      <c r="J50" s="66" t="s">
        <v>7</v>
      </c>
      <c r="K50" s="66" t="s">
        <v>8</v>
      </c>
      <c r="L50" s="66" t="s">
        <v>9</v>
      </c>
      <c r="M50" s="66" t="s">
        <v>10</v>
      </c>
      <c r="N50" s="66" t="s">
        <v>11</v>
      </c>
      <c r="O50" s="66" t="s">
        <v>12</v>
      </c>
      <c r="P50" s="66" t="s">
        <v>3</v>
      </c>
      <c r="Q50" s="66" t="s">
        <v>2</v>
      </c>
      <c r="R50" s="66" t="s">
        <v>63</v>
      </c>
      <c r="S50" s="66" t="s">
        <v>64</v>
      </c>
      <c r="T50" s="66" t="s">
        <v>65</v>
      </c>
      <c r="U50" s="66" t="s">
        <v>66</v>
      </c>
      <c r="V50" s="66" t="s">
        <v>68</v>
      </c>
      <c r="W50" s="66" t="s">
        <v>69</v>
      </c>
      <c r="X50" s="66" t="s">
        <v>70</v>
      </c>
      <c r="Y50" s="66" t="s">
        <v>71</v>
      </c>
      <c r="Z50" s="66" t="s">
        <v>72</v>
      </c>
      <c r="AA50" s="66" t="s">
        <v>73</v>
      </c>
      <c r="AB50" s="66" t="s">
        <v>75</v>
      </c>
      <c r="AC50" s="66" t="s">
        <v>77</v>
      </c>
      <c r="AD50" s="66" t="s">
        <v>81</v>
      </c>
      <c r="AE50" s="66" t="s">
        <v>84</v>
      </c>
      <c r="AF50" s="66" t="s">
        <v>85</v>
      </c>
      <c r="AG50" s="66" t="s">
        <v>86</v>
      </c>
      <c r="AH50" s="66" t="s">
        <v>99</v>
      </c>
      <c r="AI50" s="66" t="s">
        <v>101</v>
      </c>
      <c r="AJ50" s="66" t="s">
        <v>102</v>
      </c>
      <c r="AK50" s="66" t="s">
        <v>105</v>
      </c>
      <c r="AL50" s="66" t="s">
        <v>106</v>
      </c>
      <c r="AM50" s="66" t="s">
        <v>108</v>
      </c>
      <c r="AN50" s="66" t="s">
        <v>109</v>
      </c>
      <c r="AO50" s="66" t="s">
        <v>110</v>
      </c>
      <c r="AP50" s="66" t="s">
        <v>117</v>
      </c>
      <c r="AQ50" s="66" t="s">
        <v>127</v>
      </c>
      <c r="AR50" s="66" t="s">
        <v>129</v>
      </c>
      <c r="AS50" s="66" t="s">
        <v>131</v>
      </c>
      <c r="AT50" s="66" t="s">
        <v>142</v>
      </c>
      <c r="AU50" s="66" t="s">
        <v>143</v>
      </c>
      <c r="AV50" s="66" t="s">
        <v>151</v>
      </c>
      <c r="AW50" s="66" t="s">
        <v>156</v>
      </c>
      <c r="AX50" s="66" t="s">
        <v>157</v>
      </c>
      <c r="AY50" s="66" t="s">
        <v>163</v>
      </c>
      <c r="AZ50" s="66" t="s">
        <v>164</v>
      </c>
      <c r="BA50" s="66" t="s">
        <v>177</v>
      </c>
      <c r="BB50" s="66" t="s">
        <v>179</v>
      </c>
      <c r="BC50" s="66" t="s">
        <v>183</v>
      </c>
      <c r="BD50" s="66" t="s">
        <v>184</v>
      </c>
      <c r="BE50" s="66" t="s">
        <v>186</v>
      </c>
      <c r="BF50" s="66" t="s">
        <v>188</v>
      </c>
      <c r="BG50" s="66" t="s">
        <v>200</v>
      </c>
      <c r="BH50" s="66" t="s">
        <v>201</v>
      </c>
      <c r="BI50" s="66" t="s">
        <v>203</v>
      </c>
      <c r="BJ50" s="66" t="s">
        <v>207</v>
      </c>
      <c r="BK50" s="66" t="s">
        <v>208</v>
      </c>
      <c r="BL50" s="193" t="s">
        <v>209</v>
      </c>
      <c r="BM50" s="66" t="s">
        <v>53</v>
      </c>
      <c r="BN50" s="192" t="s">
        <v>78</v>
      </c>
      <c r="BO50" s="231" t="s">
        <v>210</v>
      </c>
      <c r="BP50" s="241" t="s">
        <v>211</v>
      </c>
      <c r="BQ50" s="241" t="s">
        <v>214</v>
      </c>
      <c r="BR50" s="231" t="s">
        <v>213</v>
      </c>
      <c r="BS50" s="231" t="s">
        <v>272</v>
      </c>
      <c r="BT50" s="236" t="s">
        <v>330</v>
      </c>
      <c r="BU50" s="236" t="s">
        <v>331</v>
      </c>
      <c r="BV50" s="66" t="s">
        <v>333</v>
      </c>
      <c r="BW50" s="66" t="s">
        <v>389</v>
      </c>
      <c r="BX50" s="236" t="s">
        <v>405</v>
      </c>
      <c r="BY50" s="236"/>
      <c r="BZ50" s="549" t="s">
        <v>53</v>
      </c>
      <c r="CA50" s="549" t="s">
        <v>78</v>
      </c>
      <c r="CB50" s="13"/>
    </row>
    <row r="51" spans="1:81" x14ac:dyDescent="0.3">
      <c r="A51" s="67">
        <v>1</v>
      </c>
      <c r="B51" s="137" t="s">
        <v>28</v>
      </c>
      <c r="C51" s="136" t="s">
        <v>59</v>
      </c>
      <c r="D51" s="136" t="s">
        <v>51</v>
      </c>
      <c r="E51" s="138">
        <v>997391</v>
      </c>
      <c r="F51" s="138">
        <v>1054665</v>
      </c>
      <c r="G51" s="138">
        <v>1125242</v>
      </c>
      <c r="H51" s="138">
        <v>1176388</v>
      </c>
      <c r="I51" s="138">
        <v>1254240</v>
      </c>
      <c r="J51" s="138">
        <v>1340983</v>
      </c>
      <c r="K51" s="138">
        <v>1545460</v>
      </c>
      <c r="L51" s="138">
        <v>1653326</v>
      </c>
      <c r="M51" s="138">
        <v>1702792</v>
      </c>
      <c r="N51" s="138">
        <v>1809728</v>
      </c>
      <c r="O51" s="138">
        <v>1891527</v>
      </c>
      <c r="P51" s="138">
        <v>2024838</v>
      </c>
      <c r="Q51" s="138">
        <v>2131852</v>
      </c>
      <c r="R51" s="138">
        <v>2253568</v>
      </c>
      <c r="S51" s="138">
        <v>2362527</v>
      </c>
      <c r="T51" s="138">
        <v>2427324</v>
      </c>
      <c r="U51" s="138">
        <v>2462448</v>
      </c>
      <c r="V51" s="138">
        <v>2493144</v>
      </c>
      <c r="W51" s="138">
        <v>2600007</v>
      </c>
      <c r="X51" s="138">
        <v>2612924</v>
      </c>
      <c r="Y51" s="138">
        <v>2629771</v>
      </c>
      <c r="Z51" s="138">
        <v>2642880</v>
      </c>
      <c r="AA51" s="138">
        <v>2656510</v>
      </c>
      <c r="AB51" s="138">
        <v>2673220</v>
      </c>
      <c r="AC51" s="138">
        <v>2687235</v>
      </c>
      <c r="AD51" s="138">
        <v>2703341</v>
      </c>
      <c r="AE51" s="138">
        <v>2726450</v>
      </c>
      <c r="AF51" s="138">
        <v>2741026</v>
      </c>
      <c r="AG51" s="138">
        <v>2766681</v>
      </c>
      <c r="AH51" s="138">
        <v>2806864</v>
      </c>
      <c r="AI51" s="138">
        <v>2886188</v>
      </c>
      <c r="AJ51" s="138">
        <v>2901890</v>
      </c>
      <c r="AK51" s="138">
        <v>2910010</v>
      </c>
      <c r="AL51" s="138">
        <v>2919094</v>
      </c>
      <c r="AM51" s="138">
        <v>2926102</v>
      </c>
      <c r="AN51" s="138">
        <v>2936169</v>
      </c>
      <c r="AO51" s="138">
        <v>2941289</v>
      </c>
      <c r="AP51" s="138">
        <v>2946856</v>
      </c>
      <c r="AQ51" s="138">
        <v>2951102</v>
      </c>
      <c r="AR51" s="138">
        <v>2957387</v>
      </c>
      <c r="AS51" s="138">
        <v>2960907</v>
      </c>
      <c r="AT51" s="138">
        <v>2968596</v>
      </c>
      <c r="AU51" s="138">
        <v>3007819</v>
      </c>
      <c r="AV51" s="138">
        <v>3009670</v>
      </c>
      <c r="AW51" s="138">
        <v>3010775</v>
      </c>
      <c r="AX51" s="138">
        <v>3018947</v>
      </c>
      <c r="AY51" s="138">
        <v>3010864</v>
      </c>
      <c r="AZ51" s="138">
        <v>3010469</v>
      </c>
      <c r="BA51" s="138">
        <v>3009541</v>
      </c>
      <c r="BB51" s="138">
        <v>3008533</v>
      </c>
      <c r="BC51" s="138">
        <v>3009190</v>
      </c>
      <c r="BD51" s="138">
        <v>3010078</v>
      </c>
      <c r="BE51" s="138">
        <v>3013641</v>
      </c>
      <c r="BF51" s="138">
        <v>3017084</v>
      </c>
      <c r="BG51" s="138">
        <v>3089407</v>
      </c>
      <c r="BH51" s="138">
        <v>3088099</v>
      </c>
      <c r="BI51" s="138">
        <v>3085701</v>
      </c>
      <c r="BJ51" s="138">
        <v>3083711</v>
      </c>
      <c r="BK51" s="138">
        <v>3080406</v>
      </c>
      <c r="BL51" s="198">
        <v>3073039</v>
      </c>
      <c r="BM51" s="203"/>
      <c r="BN51" s="191"/>
      <c r="BO51" s="198">
        <v>3335864</v>
      </c>
      <c r="BP51" s="238">
        <v>3109586</v>
      </c>
      <c r="BQ51" s="238">
        <v>3123364</v>
      </c>
      <c r="BR51" s="190">
        <v>3117557</v>
      </c>
      <c r="BS51" s="190">
        <v>3327457</v>
      </c>
      <c r="BT51" s="238">
        <v>3453878</v>
      </c>
      <c r="BU51" s="238">
        <v>3436052</v>
      </c>
      <c r="BV51" s="190">
        <v>3100000</v>
      </c>
      <c r="BW51" s="190">
        <v>3100000</v>
      </c>
      <c r="BX51" s="238">
        <v>3175380</v>
      </c>
      <c r="BY51" s="238"/>
      <c r="BZ51" s="543">
        <f>(Tableau2[[#This Row],[juin-24]]-Tableau2[[#This Row],[avr-24]])/Tableau2[[#This Row],[avr-24]]</f>
        <v>2.4316129032258063E-2</v>
      </c>
      <c r="CA51" s="548">
        <f>Tableau2[[#This Row],[juin-24]]-Tableau2[[#This Row],[avr-24]]</f>
        <v>75380</v>
      </c>
      <c r="CB51" s="13"/>
    </row>
    <row r="52" spans="1:81" s="12" customFormat="1" x14ac:dyDescent="0.3">
      <c r="A52" s="68">
        <v>2</v>
      </c>
      <c r="B52" s="61" t="s">
        <v>125</v>
      </c>
      <c r="C52" s="56" t="s">
        <v>59</v>
      </c>
      <c r="D52" s="56" t="s">
        <v>51</v>
      </c>
      <c r="E52" s="69">
        <v>296459</v>
      </c>
      <c r="F52" s="69">
        <v>301212</v>
      </c>
      <c r="G52" s="69">
        <v>307094</v>
      </c>
      <c r="H52" s="69">
        <v>312593</v>
      </c>
      <c r="I52" s="69">
        <v>346161</v>
      </c>
      <c r="J52" s="69">
        <v>349327</v>
      </c>
      <c r="K52" s="69">
        <v>361681</v>
      </c>
      <c r="L52" s="69">
        <v>371273</v>
      </c>
      <c r="M52" s="69">
        <v>373278</v>
      </c>
      <c r="N52" s="69">
        <v>378859</v>
      </c>
      <c r="O52" s="69">
        <v>382682</v>
      </c>
      <c r="P52" s="69">
        <v>387866</v>
      </c>
      <c r="Q52" s="69">
        <v>394027</v>
      </c>
      <c r="R52" s="69">
        <v>399185</v>
      </c>
      <c r="S52" s="69">
        <v>403773</v>
      </c>
      <c r="T52" s="69">
        <v>410711</v>
      </c>
      <c r="U52" s="69">
        <v>448086</v>
      </c>
      <c r="V52" s="69">
        <v>451781</v>
      </c>
      <c r="W52" s="69">
        <v>459363</v>
      </c>
      <c r="X52" s="69">
        <v>461990</v>
      </c>
      <c r="Y52" s="69">
        <v>466019</v>
      </c>
      <c r="Z52" s="69">
        <v>469802</v>
      </c>
      <c r="AA52" s="69">
        <v>472457</v>
      </c>
      <c r="AB52" s="69">
        <v>477246</v>
      </c>
      <c r="AC52" s="69">
        <v>482098</v>
      </c>
      <c r="AD52" s="69">
        <v>488220</v>
      </c>
      <c r="AE52" s="69">
        <v>499674</v>
      </c>
      <c r="AF52" s="69">
        <v>507306</v>
      </c>
      <c r="AG52" s="69">
        <v>554515</v>
      </c>
      <c r="AH52" s="69">
        <v>561634</v>
      </c>
      <c r="AI52" s="69">
        <v>578050</v>
      </c>
      <c r="AJ52" s="69">
        <v>586144</v>
      </c>
      <c r="AK52" s="69">
        <v>597704</v>
      </c>
      <c r="AL52" s="69">
        <v>608608</v>
      </c>
      <c r="AM52" s="69">
        <v>612441</v>
      </c>
      <c r="AN52" s="69">
        <v>624371</v>
      </c>
      <c r="AO52" s="69">
        <v>628790</v>
      </c>
      <c r="AP52" s="69">
        <v>633527</v>
      </c>
      <c r="AQ52" s="69">
        <v>636272</v>
      </c>
      <c r="AR52" s="69">
        <v>641309</v>
      </c>
      <c r="AS52" s="69">
        <v>665896</v>
      </c>
      <c r="AT52" s="69">
        <v>665297</v>
      </c>
      <c r="AU52" s="69">
        <v>658943</v>
      </c>
      <c r="AV52" s="69">
        <v>660021</v>
      </c>
      <c r="AW52" s="69">
        <v>660915</v>
      </c>
      <c r="AX52" s="69">
        <v>664107</v>
      </c>
      <c r="AY52" s="69">
        <v>660652</v>
      </c>
      <c r="AZ52" s="69">
        <v>660570</v>
      </c>
      <c r="BA52" s="69">
        <v>660477</v>
      </c>
      <c r="BB52" s="69">
        <v>660430</v>
      </c>
      <c r="BC52" s="69">
        <v>661115</v>
      </c>
      <c r="BD52" s="69">
        <v>661905</v>
      </c>
      <c r="BE52" s="69">
        <v>692232</v>
      </c>
      <c r="BF52" s="69">
        <v>692620</v>
      </c>
      <c r="BG52" s="69">
        <v>696068</v>
      </c>
      <c r="BH52" s="69">
        <v>699018</v>
      </c>
      <c r="BI52" s="69">
        <v>699988</v>
      </c>
      <c r="BJ52" s="69">
        <v>700255</v>
      </c>
      <c r="BK52" s="69">
        <v>700054</v>
      </c>
      <c r="BL52" s="196">
        <v>700698</v>
      </c>
      <c r="BM52" s="203"/>
      <c r="BN52" s="53"/>
      <c r="BO52" s="196">
        <v>709496</v>
      </c>
      <c r="BP52" s="239">
        <v>730311</v>
      </c>
      <c r="BQ52" s="239">
        <v>759611</v>
      </c>
      <c r="BR52" s="286">
        <v>761073</v>
      </c>
      <c r="BS52" s="286">
        <v>762639</v>
      </c>
      <c r="BT52" s="239">
        <v>788200</v>
      </c>
      <c r="BU52" s="239">
        <v>785091</v>
      </c>
      <c r="BV52" s="286">
        <v>795323</v>
      </c>
      <c r="BW52" s="286">
        <v>787900</v>
      </c>
      <c r="BX52" s="239">
        <v>800873</v>
      </c>
      <c r="BY52" s="239"/>
      <c r="BZ52" s="544">
        <f>(Tableau2[[#This Row],[juin-24]]-Tableau2[[#This Row],[avr-24]])/Tableau2[[#This Row],[avr-24]]</f>
        <v>1.6465287473029572E-2</v>
      </c>
      <c r="CA52" s="548">
        <f>Tableau2[[#This Row],[juin-24]]-Tableau2[[#This Row],[avr-24]]</f>
        <v>12973</v>
      </c>
      <c r="CB52" s="13"/>
    </row>
    <row r="53" spans="1:81" x14ac:dyDescent="0.3">
      <c r="A53" s="67">
        <v>3</v>
      </c>
      <c r="B53" s="137" t="s">
        <v>126</v>
      </c>
      <c r="C53" s="136" t="s">
        <v>59</v>
      </c>
      <c r="D53" s="136" t="s">
        <v>51</v>
      </c>
      <c r="E53" s="138">
        <v>120548</v>
      </c>
      <c r="F53" s="138">
        <v>121698</v>
      </c>
      <c r="G53" s="138">
        <v>123489</v>
      </c>
      <c r="H53" s="138">
        <v>125034</v>
      </c>
      <c r="I53" s="138">
        <v>130260</v>
      </c>
      <c r="J53" s="138">
        <v>132487</v>
      </c>
      <c r="K53" s="138">
        <v>142007</v>
      </c>
      <c r="L53" s="138">
        <v>175324</v>
      </c>
      <c r="M53" s="138">
        <v>175224</v>
      </c>
      <c r="N53" s="138">
        <v>176477</v>
      </c>
      <c r="O53" s="138">
        <v>177359</v>
      </c>
      <c r="P53" s="138">
        <v>179057</v>
      </c>
      <c r="Q53" s="138">
        <v>181363</v>
      </c>
      <c r="R53" s="138">
        <v>182818</v>
      </c>
      <c r="S53" s="138">
        <v>184370</v>
      </c>
      <c r="T53" s="138">
        <v>186114</v>
      </c>
      <c r="U53" s="138">
        <v>191287</v>
      </c>
      <c r="V53" s="138">
        <v>192665</v>
      </c>
      <c r="W53" s="138">
        <v>199207</v>
      </c>
      <c r="X53" s="138">
        <v>222000</v>
      </c>
      <c r="Y53" s="138">
        <v>236502</v>
      </c>
      <c r="Z53" s="138">
        <v>238352</v>
      </c>
      <c r="AA53" s="138">
        <v>239978</v>
      </c>
      <c r="AB53" s="138">
        <v>241143</v>
      </c>
      <c r="AC53" s="138">
        <v>242782</v>
      </c>
      <c r="AD53" s="138">
        <v>243812</v>
      </c>
      <c r="AE53" s="138">
        <v>246052</v>
      </c>
      <c r="AF53" s="138">
        <v>247970</v>
      </c>
      <c r="AG53" s="138">
        <v>255900</v>
      </c>
      <c r="AH53" s="138">
        <v>259049</v>
      </c>
      <c r="AI53" s="138">
        <v>267927</v>
      </c>
      <c r="AJ53" s="138">
        <v>290812</v>
      </c>
      <c r="AK53" s="138">
        <v>299033</v>
      </c>
      <c r="AL53" s="138">
        <v>300345</v>
      </c>
      <c r="AM53" s="138">
        <v>301287</v>
      </c>
      <c r="AN53" s="138">
        <v>303125</v>
      </c>
      <c r="AO53" s="138">
        <v>305255</v>
      </c>
      <c r="AP53" s="138">
        <v>306584</v>
      </c>
      <c r="AQ53" s="138">
        <v>308213</v>
      </c>
      <c r="AR53" s="138">
        <v>310174</v>
      </c>
      <c r="AS53" s="138">
        <v>314161</v>
      </c>
      <c r="AT53" s="138">
        <v>314599</v>
      </c>
      <c r="AU53" s="138">
        <v>317407</v>
      </c>
      <c r="AV53" s="138">
        <v>333592</v>
      </c>
      <c r="AW53" s="138">
        <v>341098</v>
      </c>
      <c r="AX53" s="138">
        <v>341429</v>
      </c>
      <c r="AY53" s="138">
        <v>340633</v>
      </c>
      <c r="AZ53" s="138">
        <v>340939</v>
      </c>
      <c r="BA53" s="138">
        <v>341532</v>
      </c>
      <c r="BB53" s="138">
        <v>342139</v>
      </c>
      <c r="BC53" s="138">
        <v>342835</v>
      </c>
      <c r="BD53" s="138">
        <v>343262</v>
      </c>
      <c r="BE53" s="138">
        <v>346718</v>
      </c>
      <c r="BF53" s="138">
        <v>347487</v>
      </c>
      <c r="BG53" s="138">
        <v>351800</v>
      </c>
      <c r="BH53" s="138">
        <v>370744</v>
      </c>
      <c r="BI53" s="138">
        <v>375796</v>
      </c>
      <c r="BJ53" s="138">
        <v>375475</v>
      </c>
      <c r="BK53" s="138">
        <v>375194</v>
      </c>
      <c r="BL53" s="195">
        <v>375418</v>
      </c>
      <c r="BM53" s="203"/>
      <c r="BN53" s="53"/>
      <c r="BO53" s="195">
        <v>366145</v>
      </c>
      <c r="BP53" s="238">
        <v>409690</v>
      </c>
      <c r="BQ53" s="238">
        <v>438066</v>
      </c>
      <c r="BR53" s="190">
        <v>439117</v>
      </c>
      <c r="BS53" s="190">
        <v>477597</v>
      </c>
      <c r="BT53" s="238">
        <v>461600</v>
      </c>
      <c r="BU53" s="238">
        <v>459468</v>
      </c>
      <c r="BV53" s="190">
        <v>478738</v>
      </c>
      <c r="BW53" s="190">
        <v>475297</v>
      </c>
      <c r="BX53" s="238">
        <v>475645</v>
      </c>
      <c r="BY53" s="238"/>
      <c r="BZ53" s="543">
        <f>(Tableau2[[#This Row],[juin-24]]-Tableau2[[#This Row],[avr-24]])/Tableau2[[#This Row],[avr-24]]</f>
        <v>7.3217377765902162E-4</v>
      </c>
      <c r="CA53" s="548">
        <f>Tableau2[[#This Row],[juin-24]]-Tableau2[[#This Row],[avr-24]]</f>
        <v>348</v>
      </c>
      <c r="CB53" s="14"/>
    </row>
    <row r="54" spans="1:81" s="12" customFormat="1" x14ac:dyDescent="0.3">
      <c r="A54" s="70">
        <v>4</v>
      </c>
      <c r="B54" s="61" t="s">
        <v>74</v>
      </c>
      <c r="C54" s="71"/>
      <c r="D54" s="71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3"/>
      <c r="S54" s="73"/>
      <c r="T54" s="73"/>
      <c r="U54" s="73"/>
      <c r="V54" s="73"/>
      <c r="W54" s="73"/>
      <c r="X54" s="73"/>
      <c r="Y54" s="73"/>
      <c r="Z54" s="73"/>
      <c r="AA54" s="73">
        <v>194943</v>
      </c>
      <c r="AB54" s="73">
        <v>196181</v>
      </c>
      <c r="AC54" s="73">
        <v>198059</v>
      </c>
      <c r="AD54" s="73">
        <v>200284</v>
      </c>
      <c r="AE54" s="73">
        <v>202141</v>
      </c>
      <c r="AF54" s="73">
        <v>204880</v>
      </c>
      <c r="AG54" s="73">
        <v>207189</v>
      </c>
      <c r="AH54" s="73">
        <v>210317</v>
      </c>
      <c r="AI54" s="73">
        <v>214424</v>
      </c>
      <c r="AJ54" s="73">
        <v>215626</v>
      </c>
      <c r="AK54" s="73">
        <v>220371</v>
      </c>
      <c r="AL54" s="73">
        <v>222786</v>
      </c>
      <c r="AM54" s="73">
        <v>223849</v>
      </c>
      <c r="AN54" s="73">
        <v>224976</v>
      </c>
      <c r="AO54" s="73">
        <v>226173</v>
      </c>
      <c r="AP54" s="73">
        <v>227413</v>
      </c>
      <c r="AQ54" s="73">
        <v>229461</v>
      </c>
      <c r="AR54" s="73">
        <v>231173</v>
      </c>
      <c r="AS54" s="73">
        <v>232949</v>
      </c>
      <c r="AT54" s="73">
        <v>233867</v>
      </c>
      <c r="AU54" s="73">
        <v>234191</v>
      </c>
      <c r="AV54" s="73">
        <v>235668</v>
      </c>
      <c r="AW54" s="73">
        <v>240472</v>
      </c>
      <c r="AX54" s="73">
        <v>242515</v>
      </c>
      <c r="AY54" s="111">
        <v>242808</v>
      </c>
      <c r="AZ54" s="111">
        <v>243806</v>
      </c>
      <c r="BA54" s="111">
        <v>244802</v>
      </c>
      <c r="BB54" s="111">
        <v>246125</v>
      </c>
      <c r="BC54" s="111">
        <v>247650</v>
      </c>
      <c r="BD54" s="111">
        <v>249315</v>
      </c>
      <c r="BE54" s="111">
        <v>251653</v>
      </c>
      <c r="BF54" s="111">
        <v>253474</v>
      </c>
      <c r="BG54" s="111">
        <v>256500</v>
      </c>
      <c r="BH54" s="111">
        <v>258711</v>
      </c>
      <c r="BI54" s="111">
        <v>265150</v>
      </c>
      <c r="BJ54" s="111">
        <v>266451</v>
      </c>
      <c r="BK54" s="111">
        <v>267142</v>
      </c>
      <c r="BL54" s="196">
        <v>270384</v>
      </c>
      <c r="BM54" s="203"/>
      <c r="BN54" s="53"/>
      <c r="BO54" s="196">
        <v>288300</v>
      </c>
      <c r="BP54" s="239">
        <v>294550</v>
      </c>
      <c r="BQ54" s="239">
        <v>313198</v>
      </c>
      <c r="BR54" s="286">
        <v>326400</v>
      </c>
      <c r="BS54" s="286">
        <v>328869</v>
      </c>
      <c r="BT54" s="239">
        <v>341300</v>
      </c>
      <c r="BU54" s="239">
        <v>343600</v>
      </c>
      <c r="BV54" s="286">
        <v>357600</v>
      </c>
      <c r="BW54" s="286">
        <v>358001</v>
      </c>
      <c r="BX54" s="239">
        <v>358959</v>
      </c>
      <c r="BY54" s="239"/>
      <c r="BZ54" s="544">
        <f>(Tableau2[[#This Row],[juin-24]]-Tableau2[[#This Row],[avr-24]])/Tableau2[[#This Row],[avr-24]]</f>
        <v>2.6759701788542489E-3</v>
      </c>
      <c r="CA54" s="548">
        <f>Tableau2[[#This Row],[juin-24]]-Tableau2[[#This Row],[avr-24]]</f>
        <v>958</v>
      </c>
      <c r="CB54" s="13"/>
    </row>
    <row r="55" spans="1:81" x14ac:dyDescent="0.3">
      <c r="A55" s="67">
        <v>8</v>
      </c>
      <c r="B55" s="137" t="s">
        <v>58</v>
      </c>
      <c r="C55" s="136" t="s">
        <v>46</v>
      </c>
      <c r="D55" s="136" t="s">
        <v>49</v>
      </c>
      <c r="E55" s="138"/>
      <c r="F55" s="138"/>
      <c r="G55" s="138">
        <v>77154</v>
      </c>
      <c r="H55" s="138">
        <v>81529</v>
      </c>
      <c r="I55" s="138">
        <v>88402</v>
      </c>
      <c r="J55" s="138">
        <v>89656</v>
      </c>
      <c r="K55" s="138">
        <v>90773</v>
      </c>
      <c r="L55" s="138">
        <v>92044</v>
      </c>
      <c r="M55" s="138">
        <v>92532</v>
      </c>
      <c r="N55" s="138">
        <v>93516</v>
      </c>
      <c r="O55" s="138">
        <v>94459</v>
      </c>
      <c r="P55" s="138">
        <v>96378</v>
      </c>
      <c r="Q55" s="138">
        <v>97936</v>
      </c>
      <c r="R55" s="138">
        <v>99319</v>
      </c>
      <c r="S55" s="138">
        <v>100850</v>
      </c>
      <c r="T55" s="138">
        <v>107980</v>
      </c>
      <c r="U55" s="138">
        <v>109067</v>
      </c>
      <c r="V55" s="138">
        <v>110572</v>
      </c>
      <c r="W55" s="138">
        <v>113123</v>
      </c>
      <c r="X55" s="138">
        <v>114402</v>
      </c>
      <c r="Y55" s="138">
        <v>116332</v>
      </c>
      <c r="Z55" s="138">
        <v>117935</v>
      </c>
      <c r="AA55" s="138">
        <v>119619</v>
      </c>
      <c r="AB55" s="138">
        <v>121574</v>
      </c>
      <c r="AC55" s="138">
        <v>123302</v>
      </c>
      <c r="AD55" s="138">
        <v>124393</v>
      </c>
      <c r="AE55" s="138">
        <v>126879</v>
      </c>
      <c r="AF55" s="138">
        <v>133740</v>
      </c>
      <c r="AG55" s="138">
        <v>134187</v>
      </c>
      <c r="AH55" s="138">
        <v>135593</v>
      </c>
      <c r="AI55" s="138">
        <v>137011</v>
      </c>
      <c r="AJ55" s="138">
        <v>138111</v>
      </c>
      <c r="AK55" s="138">
        <v>138996</v>
      </c>
      <c r="AL55" s="138">
        <v>140934</v>
      </c>
      <c r="AM55" s="138">
        <v>141382</v>
      </c>
      <c r="AN55" s="138">
        <v>143175</v>
      </c>
      <c r="AO55" s="138">
        <v>143859</v>
      </c>
      <c r="AP55" s="138">
        <v>144669</v>
      </c>
      <c r="AQ55" s="138">
        <v>145513</v>
      </c>
      <c r="AR55" s="138">
        <v>147215</v>
      </c>
      <c r="AS55" s="138">
        <v>151482</v>
      </c>
      <c r="AT55" s="138">
        <v>151264</v>
      </c>
      <c r="AU55" s="138">
        <v>150493</v>
      </c>
      <c r="AV55" s="138">
        <v>150459</v>
      </c>
      <c r="AW55" s="138">
        <v>150441</v>
      </c>
      <c r="AX55" s="138">
        <v>150821</v>
      </c>
      <c r="AY55" s="145">
        <v>150580</v>
      </c>
      <c r="AZ55" s="145">
        <v>150812</v>
      </c>
      <c r="BA55" s="145">
        <v>150835</v>
      </c>
      <c r="BB55" s="145">
        <v>150950</v>
      </c>
      <c r="BC55" s="145">
        <v>151250</v>
      </c>
      <c r="BD55" s="145">
        <v>152005</v>
      </c>
      <c r="BE55" s="145">
        <v>155321</v>
      </c>
      <c r="BF55" s="145">
        <v>155300</v>
      </c>
      <c r="BG55" s="145">
        <v>155283</v>
      </c>
      <c r="BH55" s="145">
        <v>155162</v>
      </c>
      <c r="BI55" s="145">
        <v>155542</v>
      </c>
      <c r="BJ55" s="145">
        <v>155297</v>
      </c>
      <c r="BK55" s="145">
        <v>155093</v>
      </c>
      <c r="BL55" s="196">
        <v>154624</v>
      </c>
      <c r="BM55" s="203"/>
      <c r="BN55" s="53"/>
      <c r="BO55" s="196">
        <v>152800</v>
      </c>
      <c r="BP55" s="239">
        <v>152520</v>
      </c>
      <c r="BQ55" s="239">
        <v>149692</v>
      </c>
      <c r="BR55" s="286">
        <v>148482</v>
      </c>
      <c r="BS55" s="286">
        <v>148302</v>
      </c>
      <c r="BT55" s="239">
        <v>147000</v>
      </c>
      <c r="BU55" s="239">
        <v>147043</v>
      </c>
      <c r="BV55" s="286">
        <v>143567</v>
      </c>
      <c r="BW55" s="286">
        <v>141792</v>
      </c>
      <c r="BX55" s="239">
        <v>141351</v>
      </c>
      <c r="BY55" s="239"/>
      <c r="BZ55" s="543">
        <f>(Tableau2[[#This Row],[juin-24]]-Tableau2[[#This Row],[avr-24]])/Tableau2[[#This Row],[avr-24]]</f>
        <v>-3.1101895734597157E-3</v>
      </c>
      <c r="CA55" s="548">
        <f>Tableau2[[#This Row],[juin-24]]-Tableau2[[#This Row],[avr-24]]</f>
        <v>-441</v>
      </c>
      <c r="CB55" s="14"/>
      <c r="CC55" s="12"/>
    </row>
    <row r="56" spans="1:81" s="12" customFormat="1" x14ac:dyDescent="0.3">
      <c r="A56" s="74">
        <v>13</v>
      </c>
      <c r="B56" s="61" t="s">
        <v>216</v>
      </c>
      <c r="C56" s="56" t="s">
        <v>45</v>
      </c>
      <c r="D56" s="56" t="s">
        <v>49</v>
      </c>
      <c r="E56" s="69"/>
      <c r="F56" s="69"/>
      <c r="G56" s="69">
        <v>64039</v>
      </c>
      <c r="H56" s="69">
        <v>64826</v>
      </c>
      <c r="I56" s="69">
        <v>65603</v>
      </c>
      <c r="J56" s="69">
        <v>66538</v>
      </c>
      <c r="K56" s="69">
        <v>68023</v>
      </c>
      <c r="L56" s="69">
        <v>74186</v>
      </c>
      <c r="M56" s="69">
        <v>74015</v>
      </c>
      <c r="N56" s="69">
        <v>74387</v>
      </c>
      <c r="O56" s="69">
        <v>74691</v>
      </c>
      <c r="P56" s="69">
        <v>74944</v>
      </c>
      <c r="Q56" s="69">
        <v>75358</v>
      </c>
      <c r="R56" s="69">
        <v>76178</v>
      </c>
      <c r="S56" s="69">
        <v>77101</v>
      </c>
      <c r="T56" s="69">
        <v>77492</v>
      </c>
      <c r="U56" s="69">
        <v>77757</v>
      </c>
      <c r="V56" s="69">
        <v>77953</v>
      </c>
      <c r="W56" s="69">
        <v>78979</v>
      </c>
      <c r="X56" s="69">
        <v>80835</v>
      </c>
      <c r="Y56" s="69">
        <v>85402</v>
      </c>
      <c r="Z56" s="69">
        <v>85428</v>
      </c>
      <c r="AA56" s="69">
        <v>85427</v>
      </c>
      <c r="AB56" s="69">
        <v>85464</v>
      </c>
      <c r="AC56" s="69">
        <v>85560</v>
      </c>
      <c r="AD56" s="69">
        <v>85698</v>
      </c>
      <c r="AE56" s="69">
        <v>85829</v>
      </c>
      <c r="AF56" s="69">
        <v>86465</v>
      </c>
      <c r="AG56" s="69">
        <v>86861</v>
      </c>
      <c r="AH56" s="69">
        <v>87330</v>
      </c>
      <c r="AI56" s="69">
        <v>88518</v>
      </c>
      <c r="AJ56" s="69">
        <v>89478</v>
      </c>
      <c r="AK56" s="69">
        <v>92721</v>
      </c>
      <c r="AL56" s="69">
        <v>92795</v>
      </c>
      <c r="AM56" s="69">
        <v>92911</v>
      </c>
      <c r="AN56" s="69">
        <v>93058</v>
      </c>
      <c r="AO56" s="69">
        <v>93345</v>
      </c>
      <c r="AP56" s="69">
        <v>93516</v>
      </c>
      <c r="AQ56" s="69">
        <v>93827</v>
      </c>
      <c r="AR56" s="69">
        <v>94094</v>
      </c>
      <c r="AS56" s="69">
        <v>94397</v>
      </c>
      <c r="AT56" s="69">
        <v>94796</v>
      </c>
      <c r="AU56" s="69">
        <v>94568</v>
      </c>
      <c r="AV56" s="69">
        <v>96531</v>
      </c>
      <c r="AW56" s="69">
        <v>99261</v>
      </c>
      <c r="AX56" s="69">
        <v>99487</v>
      </c>
      <c r="AY56" s="144">
        <v>99265</v>
      </c>
      <c r="AZ56" s="144">
        <v>100806</v>
      </c>
      <c r="BA56" s="144">
        <v>100791</v>
      </c>
      <c r="BB56" s="144">
        <v>100870</v>
      </c>
      <c r="BC56" s="144">
        <v>100995</v>
      </c>
      <c r="BD56" s="144">
        <v>101108</v>
      </c>
      <c r="BE56" s="144">
        <v>101656</v>
      </c>
      <c r="BF56" s="144">
        <v>101919</v>
      </c>
      <c r="BG56" s="144">
        <v>102498</v>
      </c>
      <c r="BH56" s="144">
        <v>103157</v>
      </c>
      <c r="BI56" s="144">
        <v>105738</v>
      </c>
      <c r="BJ56" s="144">
        <v>105614</v>
      </c>
      <c r="BK56" s="144">
        <v>105518</v>
      </c>
      <c r="BL56" s="195">
        <v>105322</v>
      </c>
      <c r="BM56" s="203"/>
      <c r="BN56" s="53"/>
      <c r="BO56" s="195">
        <v>104700</v>
      </c>
      <c r="BP56" s="238">
        <v>104831</v>
      </c>
      <c r="BQ56" s="238">
        <v>109404</v>
      </c>
      <c r="BR56" s="190">
        <v>109427</v>
      </c>
      <c r="BS56" s="190">
        <v>109491</v>
      </c>
      <c r="BT56" s="238">
        <v>111900</v>
      </c>
      <c r="BU56" s="238">
        <v>110600</v>
      </c>
      <c r="BV56" s="190">
        <v>111600</v>
      </c>
      <c r="BW56" s="190">
        <v>110143</v>
      </c>
      <c r="BX56" s="238">
        <v>110094</v>
      </c>
      <c r="BY56" s="238"/>
      <c r="BZ56" s="544">
        <f>(Tableau2[[#This Row],[juin-24]]-Tableau2[[#This Row],[avr-24]])/Tableau2[[#This Row],[avr-24]]</f>
        <v>-4.4487620638624336E-4</v>
      </c>
      <c r="CA56" s="548">
        <f>Tableau2[[#This Row],[juin-24]]-Tableau2[[#This Row],[avr-24]]</f>
        <v>-49</v>
      </c>
      <c r="CB56" s="13"/>
      <c r="CC56" s="9"/>
    </row>
    <row r="57" spans="1:81" s="12" customFormat="1" x14ac:dyDescent="0.3">
      <c r="A57" s="67">
        <v>6</v>
      </c>
      <c r="B57" s="137" t="s">
        <v>22</v>
      </c>
      <c r="C57" s="136" t="s">
        <v>59</v>
      </c>
      <c r="D57" s="136" t="s">
        <v>50</v>
      </c>
      <c r="E57" s="138">
        <v>11028</v>
      </c>
      <c r="F57" s="138">
        <v>11622</v>
      </c>
      <c r="G57" s="138">
        <v>13957</v>
      </c>
      <c r="H57" s="138">
        <v>20883</v>
      </c>
      <c r="I57" s="138">
        <v>21166</v>
      </c>
      <c r="J57" s="138">
        <v>21473</v>
      </c>
      <c r="K57" s="138">
        <v>22180</v>
      </c>
      <c r="L57" s="138">
        <v>22555</v>
      </c>
      <c r="M57" s="138">
        <v>22675</v>
      </c>
      <c r="N57" s="138">
        <v>22938</v>
      </c>
      <c r="O57" s="138">
        <v>23173</v>
      </c>
      <c r="P57" s="138">
        <v>23748</v>
      </c>
      <c r="Q57" s="138">
        <v>24308</v>
      </c>
      <c r="R57" s="138">
        <v>25457</v>
      </c>
      <c r="S57" s="138">
        <v>27651</v>
      </c>
      <c r="T57" s="138">
        <v>34314</v>
      </c>
      <c r="U57" s="138">
        <v>34321</v>
      </c>
      <c r="V57" s="138">
        <v>34386</v>
      </c>
      <c r="W57" s="138">
        <v>34883</v>
      </c>
      <c r="X57" s="138">
        <v>34835</v>
      </c>
      <c r="Y57" s="138">
        <v>34740</v>
      </c>
      <c r="Z57" s="138">
        <v>34655</v>
      </c>
      <c r="AA57" s="138">
        <v>34799</v>
      </c>
      <c r="AB57" s="138">
        <v>35037</v>
      </c>
      <c r="AC57" s="138">
        <v>35378</v>
      </c>
      <c r="AD57" s="138">
        <v>36172</v>
      </c>
      <c r="AE57" s="138">
        <v>38382</v>
      </c>
      <c r="AF57" s="138">
        <v>42719</v>
      </c>
      <c r="AG57" s="138">
        <v>42872</v>
      </c>
      <c r="AH57" s="138">
        <v>43210</v>
      </c>
      <c r="AI57" s="138">
        <v>43552</v>
      </c>
      <c r="AJ57" s="138">
        <v>43508</v>
      </c>
      <c r="AK57" s="138">
        <v>43395</v>
      </c>
      <c r="AL57" s="138">
        <v>43274</v>
      </c>
      <c r="AM57" s="138">
        <v>43251</v>
      </c>
      <c r="AN57" s="138">
        <v>43523</v>
      </c>
      <c r="AO57" s="138">
        <v>43794</v>
      </c>
      <c r="AP57" s="138">
        <v>44388</v>
      </c>
      <c r="AQ57" s="138">
        <v>46433</v>
      </c>
      <c r="AR57" s="138">
        <v>52469</v>
      </c>
      <c r="AS57" s="138">
        <v>52479</v>
      </c>
      <c r="AT57" s="138">
        <v>52611</v>
      </c>
      <c r="AU57" s="138">
        <v>52931</v>
      </c>
      <c r="AV57" s="138">
        <v>52964</v>
      </c>
      <c r="AW57" s="138">
        <v>52962</v>
      </c>
      <c r="AX57" s="138">
        <v>53083</v>
      </c>
      <c r="AY57" s="138">
        <v>52986</v>
      </c>
      <c r="AZ57" s="138">
        <v>53070</v>
      </c>
      <c r="BA57" s="138">
        <v>53420</v>
      </c>
      <c r="BB57" s="138">
        <v>53762</v>
      </c>
      <c r="BC57" s="138">
        <v>54820</v>
      </c>
      <c r="BD57" s="138">
        <v>59896</v>
      </c>
      <c r="BE57" s="138">
        <v>60025</v>
      </c>
      <c r="BF57" s="138">
        <v>60276</v>
      </c>
      <c r="BG57" s="138">
        <v>60671</v>
      </c>
      <c r="BH57" s="138">
        <v>60878</v>
      </c>
      <c r="BI57" s="138">
        <v>60980</v>
      </c>
      <c r="BJ57" s="138">
        <v>60973</v>
      </c>
      <c r="BK57" s="138">
        <v>60927</v>
      </c>
      <c r="BL57" s="196">
        <v>61344</v>
      </c>
      <c r="BM57" s="203"/>
      <c r="BN57" s="53"/>
      <c r="BO57" s="196">
        <v>62900</v>
      </c>
      <c r="BP57" s="239">
        <v>64150</v>
      </c>
      <c r="BQ57" s="239">
        <v>66968</v>
      </c>
      <c r="BR57" s="286">
        <v>76620</v>
      </c>
      <c r="BS57" s="286">
        <v>81310</v>
      </c>
      <c r="BT57" s="239">
        <v>83100</v>
      </c>
      <c r="BU57" s="239">
        <v>82659</v>
      </c>
      <c r="BV57" s="286">
        <v>89287</v>
      </c>
      <c r="BW57" s="286">
        <v>92444</v>
      </c>
      <c r="BX57" s="239">
        <v>92291</v>
      </c>
      <c r="BY57" s="239"/>
      <c r="BZ57" s="543">
        <f>(Tableau2[[#This Row],[juin-24]]-Tableau2[[#This Row],[avr-24]])/Tableau2[[#This Row],[avr-24]]</f>
        <v>-1.6550560339232401E-3</v>
      </c>
      <c r="CA57" s="548">
        <f>Tableau2[[#This Row],[juin-24]]-Tableau2[[#This Row],[avr-24]]</f>
        <v>-153</v>
      </c>
      <c r="CB57" s="13"/>
    </row>
    <row r="58" spans="1:81" x14ac:dyDescent="0.3">
      <c r="A58" s="67">
        <v>14</v>
      </c>
      <c r="B58" s="137" t="s">
        <v>17</v>
      </c>
      <c r="C58" s="136" t="s">
        <v>59</v>
      </c>
      <c r="D58" s="136" t="s">
        <v>49</v>
      </c>
      <c r="E58" s="138">
        <v>10031</v>
      </c>
      <c r="F58" s="138">
        <v>10865</v>
      </c>
      <c r="G58" s="138">
        <v>15398</v>
      </c>
      <c r="H58" s="138">
        <v>16035</v>
      </c>
      <c r="I58" s="138">
        <v>16190</v>
      </c>
      <c r="J58" s="138">
        <v>16650</v>
      </c>
      <c r="K58" s="138">
        <v>17111</v>
      </c>
      <c r="L58" s="138">
        <v>17069</v>
      </c>
      <c r="M58" s="138">
        <v>17048</v>
      </c>
      <c r="N58" s="138">
        <v>16998</v>
      </c>
      <c r="O58" s="138">
        <v>17164</v>
      </c>
      <c r="P58" s="138">
        <v>17826</v>
      </c>
      <c r="Q58" s="138">
        <v>18393</v>
      </c>
      <c r="R58" s="138">
        <v>19301</v>
      </c>
      <c r="S58" s="138">
        <v>24862</v>
      </c>
      <c r="T58" s="138">
        <v>25458</v>
      </c>
      <c r="U58" s="138">
        <v>25603</v>
      </c>
      <c r="V58" s="138">
        <v>26159</v>
      </c>
      <c r="W58" s="138">
        <v>26665</v>
      </c>
      <c r="X58" s="138">
        <v>26735</v>
      </c>
      <c r="Y58" s="138">
        <v>26744</v>
      </c>
      <c r="Z58" s="138">
        <v>26652</v>
      </c>
      <c r="AA58" s="138">
        <v>26705</v>
      </c>
      <c r="AB58" s="138">
        <v>26783</v>
      </c>
      <c r="AC58" s="138">
        <v>27231</v>
      </c>
      <c r="AD58" s="138">
        <v>28034</v>
      </c>
      <c r="AE58" s="138">
        <v>33646</v>
      </c>
      <c r="AF58" s="138">
        <v>34060</v>
      </c>
      <c r="AG58" s="138">
        <v>34186</v>
      </c>
      <c r="AH58" s="138">
        <v>34583</v>
      </c>
      <c r="AI58" s="138">
        <v>34886</v>
      </c>
      <c r="AJ58" s="138">
        <v>34857</v>
      </c>
      <c r="AK58" s="138">
        <v>34739</v>
      </c>
      <c r="AL58" s="138">
        <v>34814</v>
      </c>
      <c r="AM58" s="138">
        <v>34904</v>
      </c>
      <c r="AN58" s="138">
        <v>35202</v>
      </c>
      <c r="AO58" s="138">
        <v>35467</v>
      </c>
      <c r="AP58" s="138">
        <v>36229</v>
      </c>
      <c r="AQ58" s="138">
        <v>40708</v>
      </c>
      <c r="AR58" s="138">
        <v>41378</v>
      </c>
      <c r="AS58" s="138">
        <v>41354</v>
      </c>
      <c r="AT58" s="138">
        <v>41699</v>
      </c>
      <c r="AU58" s="138">
        <v>41761</v>
      </c>
      <c r="AV58" s="138">
        <v>41997</v>
      </c>
      <c r="AW58" s="138">
        <v>42012</v>
      </c>
      <c r="AX58" s="138">
        <v>41972</v>
      </c>
      <c r="AY58" s="138">
        <v>41984</v>
      </c>
      <c r="AZ58" s="138">
        <v>42050</v>
      </c>
      <c r="BA58" s="138">
        <v>42327</v>
      </c>
      <c r="BB58" s="138">
        <v>42660</v>
      </c>
      <c r="BC58" s="138">
        <v>47480</v>
      </c>
      <c r="BD58" s="138">
        <v>47818</v>
      </c>
      <c r="BE58" s="138">
        <v>47790</v>
      </c>
      <c r="BF58" s="138">
        <v>48087</v>
      </c>
      <c r="BG58" s="138">
        <v>48359</v>
      </c>
      <c r="BH58" s="138">
        <v>48580</v>
      </c>
      <c r="BI58" s="138">
        <v>48573</v>
      </c>
      <c r="BJ58" s="138">
        <v>49479</v>
      </c>
      <c r="BK58" s="138">
        <v>48432</v>
      </c>
      <c r="BL58" s="196">
        <v>48940</v>
      </c>
      <c r="BM58" s="203"/>
      <c r="BN58" s="53"/>
      <c r="BO58" s="196">
        <v>52700</v>
      </c>
      <c r="BP58" s="239">
        <v>52894</v>
      </c>
      <c r="BQ58" s="239">
        <v>59281</v>
      </c>
      <c r="BR58" s="286">
        <v>62542</v>
      </c>
      <c r="BS58" s="286">
        <v>63105</v>
      </c>
      <c r="BT58" s="239">
        <v>63200</v>
      </c>
      <c r="BU58" s="239">
        <v>62863</v>
      </c>
      <c r="BV58" s="286">
        <v>66449</v>
      </c>
      <c r="BW58" s="286">
        <v>70216</v>
      </c>
      <c r="BX58" s="239">
        <v>70291</v>
      </c>
      <c r="BY58" s="239"/>
      <c r="BZ58" s="544">
        <f>(Tableau2[[#This Row],[juin-24]]-Tableau2[[#This Row],[avr-24]])/Tableau2[[#This Row],[avr-24]]</f>
        <v>1.0681326193460179E-3</v>
      </c>
      <c r="CA58" s="548">
        <f>Tableau2[[#This Row],[juin-24]]-Tableau2[[#This Row],[avr-24]]</f>
        <v>75</v>
      </c>
      <c r="CB58" s="14"/>
      <c r="CC58" s="12"/>
    </row>
    <row r="59" spans="1:81" s="12" customFormat="1" x14ac:dyDescent="0.3">
      <c r="A59" s="67">
        <v>10</v>
      </c>
      <c r="B59" s="137" t="s">
        <v>34</v>
      </c>
      <c r="C59" s="136" t="s">
        <v>59</v>
      </c>
      <c r="D59" s="136" t="s">
        <v>49</v>
      </c>
      <c r="E59" s="138">
        <v>8311</v>
      </c>
      <c r="F59" s="138">
        <v>8665</v>
      </c>
      <c r="G59" s="138">
        <v>9708</v>
      </c>
      <c r="H59" s="138">
        <v>10111</v>
      </c>
      <c r="I59" s="138">
        <v>10605</v>
      </c>
      <c r="J59" s="138">
        <v>14849</v>
      </c>
      <c r="K59" s="138">
        <v>15351</v>
      </c>
      <c r="L59" s="138">
        <v>15343</v>
      </c>
      <c r="M59" s="138">
        <v>15365</v>
      </c>
      <c r="N59" s="138">
        <v>15490</v>
      </c>
      <c r="O59" s="138">
        <v>15499</v>
      </c>
      <c r="P59" s="138">
        <v>15798</v>
      </c>
      <c r="Q59" s="138">
        <v>16179</v>
      </c>
      <c r="R59" s="138">
        <v>16738</v>
      </c>
      <c r="S59" s="138">
        <v>18014</v>
      </c>
      <c r="T59" s="138">
        <v>18532</v>
      </c>
      <c r="U59" s="138">
        <v>19375</v>
      </c>
      <c r="V59" s="138">
        <v>25376</v>
      </c>
      <c r="W59" s="138">
        <v>25666</v>
      </c>
      <c r="X59" s="138">
        <v>25592</v>
      </c>
      <c r="Y59" s="138">
        <v>25483</v>
      </c>
      <c r="Z59" s="138">
        <v>25522</v>
      </c>
      <c r="AA59" s="138">
        <v>25549</v>
      </c>
      <c r="AB59" s="138">
        <v>25539</v>
      </c>
      <c r="AC59" s="138">
        <v>25722</v>
      </c>
      <c r="AD59" s="138">
        <v>26055</v>
      </c>
      <c r="AE59" s="138">
        <v>27148</v>
      </c>
      <c r="AF59" s="138">
        <v>27487</v>
      </c>
      <c r="AG59" s="138">
        <v>28349</v>
      </c>
      <c r="AH59" s="138">
        <v>32219</v>
      </c>
      <c r="AI59" s="138">
        <v>32459</v>
      </c>
      <c r="AJ59" s="138">
        <v>32413</v>
      </c>
      <c r="AK59" s="138">
        <v>32275</v>
      </c>
      <c r="AL59" s="138">
        <v>32192</v>
      </c>
      <c r="AM59" s="138">
        <v>32175</v>
      </c>
      <c r="AN59" s="138">
        <v>32232</v>
      </c>
      <c r="AO59" s="138">
        <v>32336</v>
      </c>
      <c r="AP59" s="138">
        <v>32702</v>
      </c>
      <c r="AQ59" s="138">
        <v>33901</v>
      </c>
      <c r="AR59" s="138">
        <v>34439</v>
      </c>
      <c r="AS59" s="138">
        <v>34766</v>
      </c>
      <c r="AT59" s="138">
        <v>37336</v>
      </c>
      <c r="AU59" s="138">
        <v>37344</v>
      </c>
      <c r="AV59" s="138">
        <v>37445</v>
      </c>
      <c r="AW59" s="138">
        <v>37321</v>
      </c>
      <c r="AX59" s="138">
        <v>37254</v>
      </c>
      <c r="AY59" s="138">
        <v>37150</v>
      </c>
      <c r="AZ59" s="138">
        <v>37104</v>
      </c>
      <c r="BA59" s="138">
        <v>37243</v>
      </c>
      <c r="BB59" s="138">
        <v>37395</v>
      </c>
      <c r="BC59" s="138">
        <v>38155</v>
      </c>
      <c r="BD59" s="138">
        <v>38452</v>
      </c>
      <c r="BE59" s="138">
        <v>38611</v>
      </c>
      <c r="BF59" s="138">
        <v>42499</v>
      </c>
      <c r="BG59" s="138">
        <v>42662</v>
      </c>
      <c r="BH59" s="138">
        <v>42713</v>
      </c>
      <c r="BI59" s="138">
        <v>42656</v>
      </c>
      <c r="BJ59" s="138">
        <v>42595</v>
      </c>
      <c r="BK59" s="138">
        <v>42502</v>
      </c>
      <c r="BL59" s="196">
        <v>42607</v>
      </c>
      <c r="BM59" s="203"/>
      <c r="BN59" s="53"/>
      <c r="BO59" s="196">
        <v>49800</v>
      </c>
      <c r="BP59" s="239">
        <v>50005</v>
      </c>
      <c r="BQ59" s="239">
        <v>53695</v>
      </c>
      <c r="BR59" s="286">
        <v>53744</v>
      </c>
      <c r="BS59" s="286">
        <v>53904</v>
      </c>
      <c r="BT59" s="239">
        <v>57300</v>
      </c>
      <c r="BU59" s="239">
        <v>56854</v>
      </c>
      <c r="BV59" s="286">
        <v>60114</v>
      </c>
      <c r="BW59" s="286">
        <v>59627</v>
      </c>
      <c r="BX59" s="239">
        <v>62811</v>
      </c>
      <c r="BY59" s="239"/>
      <c r="BZ59" s="543">
        <f>(Tableau2[[#This Row],[juin-24]]-Tableau2[[#This Row],[avr-24]])/Tableau2[[#This Row],[avr-24]]</f>
        <v>5.3398628138259512E-2</v>
      </c>
      <c r="CA59" s="548">
        <f>Tableau2[[#This Row],[juin-24]]-Tableau2[[#This Row],[avr-24]]</f>
        <v>3184</v>
      </c>
      <c r="CB59" s="13"/>
    </row>
    <row r="60" spans="1:81" x14ac:dyDescent="0.3">
      <c r="A60" s="68">
        <v>7</v>
      </c>
      <c r="B60" s="61" t="s">
        <v>16</v>
      </c>
      <c r="C60" s="56" t="s">
        <v>59</v>
      </c>
      <c r="D60" s="56" t="s">
        <v>49</v>
      </c>
      <c r="E60" s="69">
        <v>39273</v>
      </c>
      <c r="F60" s="69">
        <v>39215</v>
      </c>
      <c r="G60" s="69">
        <v>39256</v>
      </c>
      <c r="H60" s="69">
        <v>39285</v>
      </c>
      <c r="I60" s="69">
        <v>39459</v>
      </c>
      <c r="J60" s="69">
        <v>39588</v>
      </c>
      <c r="K60" s="69">
        <v>39876</v>
      </c>
      <c r="L60" s="69">
        <v>40000</v>
      </c>
      <c r="M60" s="69">
        <v>40045</v>
      </c>
      <c r="N60" s="69">
        <v>40169</v>
      </c>
      <c r="O60" s="69">
        <v>40309</v>
      </c>
      <c r="P60" s="69">
        <v>40767</v>
      </c>
      <c r="Q60" s="69">
        <v>44786</v>
      </c>
      <c r="R60" s="69">
        <v>44882</v>
      </c>
      <c r="S60" s="69">
        <v>44936</v>
      </c>
      <c r="T60" s="69">
        <v>45097</v>
      </c>
      <c r="U60" s="69">
        <v>45231</v>
      </c>
      <c r="V60" s="69">
        <v>45199</v>
      </c>
      <c r="W60" s="69">
        <v>45222</v>
      </c>
      <c r="X60" s="69">
        <v>45192</v>
      </c>
      <c r="Y60" s="69">
        <v>45232</v>
      </c>
      <c r="Z60" s="69">
        <v>45374</v>
      </c>
      <c r="AA60" s="69">
        <v>45388</v>
      </c>
      <c r="AB60" s="69">
        <v>45665</v>
      </c>
      <c r="AC60" s="69">
        <v>49725</v>
      </c>
      <c r="AD60" s="69">
        <v>49826</v>
      </c>
      <c r="AE60" s="69">
        <v>49840</v>
      </c>
      <c r="AF60" s="69">
        <v>49863</v>
      </c>
      <c r="AG60" s="69">
        <v>49919</v>
      </c>
      <c r="AH60" s="69">
        <v>49848</v>
      </c>
      <c r="AI60" s="69">
        <v>49916</v>
      </c>
      <c r="AJ60" s="69">
        <v>49876</v>
      </c>
      <c r="AK60" s="69">
        <v>49858</v>
      </c>
      <c r="AL60" s="69">
        <v>49937</v>
      </c>
      <c r="AM60" s="69">
        <v>49945</v>
      </c>
      <c r="AN60" s="69">
        <v>50828</v>
      </c>
      <c r="AO60" s="69">
        <v>54989</v>
      </c>
      <c r="AP60" s="69">
        <v>54879</v>
      </c>
      <c r="AQ60" s="69">
        <v>54761</v>
      </c>
      <c r="AR60" s="69">
        <v>54769</v>
      </c>
      <c r="AS60" s="69">
        <v>54686</v>
      </c>
      <c r="AT60" s="69">
        <v>54656</v>
      </c>
      <c r="AU60" s="69">
        <v>53656</v>
      </c>
      <c r="AV60" s="69">
        <v>53638</v>
      </c>
      <c r="AW60" s="69">
        <v>53549</v>
      </c>
      <c r="AX60" s="69">
        <v>53712</v>
      </c>
      <c r="AY60" s="69">
        <v>53411</v>
      </c>
      <c r="AZ60" s="69">
        <v>53891</v>
      </c>
      <c r="BA60" s="69">
        <v>57420</v>
      </c>
      <c r="BB60" s="69">
        <v>57283</v>
      </c>
      <c r="BC60" s="69">
        <v>57265</v>
      </c>
      <c r="BD60" s="69">
        <v>57185</v>
      </c>
      <c r="BE60" s="69">
        <v>57006</v>
      </c>
      <c r="BF60" s="69">
        <v>56881</v>
      </c>
      <c r="BG60" s="69">
        <v>56871</v>
      </c>
      <c r="BH60" s="69">
        <v>56765</v>
      </c>
      <c r="BI60" s="69">
        <v>56647</v>
      </c>
      <c r="BJ60" s="69">
        <v>56570</v>
      </c>
      <c r="BK60" s="69">
        <v>56449</v>
      </c>
      <c r="BL60" s="195">
        <v>58779</v>
      </c>
      <c r="BM60" s="203"/>
      <c r="BN60" s="53"/>
      <c r="BO60" s="195">
        <v>57400</v>
      </c>
      <c r="BP60" s="238">
        <v>57403</v>
      </c>
      <c r="BQ60" s="238">
        <v>56061</v>
      </c>
      <c r="BR60" s="190">
        <v>55932</v>
      </c>
      <c r="BS60" s="190">
        <v>55862</v>
      </c>
      <c r="BT60" s="238">
        <v>55500</v>
      </c>
      <c r="BU60" s="238">
        <v>54900</v>
      </c>
      <c r="BV60" s="190">
        <v>55900</v>
      </c>
      <c r="BW60" s="190">
        <v>57475</v>
      </c>
      <c r="BX60" s="238">
        <v>57347</v>
      </c>
      <c r="BY60" s="238"/>
      <c r="BZ60" s="543">
        <f>(Tableau2[[#This Row],[juin-24]]-Tableau2[[#This Row],[avr-24]])/Tableau2[[#This Row],[avr-24]]</f>
        <v>-2.2270552414093083E-3</v>
      </c>
      <c r="CA60" s="548">
        <f>Tableau2[[#This Row],[juin-24]]-Tableau2[[#This Row],[avr-24]]</f>
        <v>-128</v>
      </c>
      <c r="CB60" s="13"/>
    </row>
    <row r="61" spans="1:81" s="12" customFormat="1" x14ac:dyDescent="0.3">
      <c r="A61" s="68">
        <v>15</v>
      </c>
      <c r="B61" s="61" t="s">
        <v>18</v>
      </c>
      <c r="C61" s="56" t="s">
        <v>59</v>
      </c>
      <c r="D61" s="56" t="s">
        <v>49</v>
      </c>
      <c r="E61" s="69">
        <v>15387</v>
      </c>
      <c r="F61" s="69">
        <v>16036</v>
      </c>
      <c r="G61" s="69">
        <v>21117</v>
      </c>
      <c r="H61" s="69">
        <v>21506</v>
      </c>
      <c r="I61" s="69">
        <v>21630</v>
      </c>
      <c r="J61" s="69">
        <v>21528</v>
      </c>
      <c r="K61" s="69">
        <v>21527</v>
      </c>
      <c r="L61" s="69">
        <v>21628</v>
      </c>
      <c r="M61" s="69">
        <v>21674</v>
      </c>
      <c r="N61" s="69">
        <v>21798</v>
      </c>
      <c r="O61" s="69">
        <v>21904</v>
      </c>
      <c r="P61" s="69">
        <v>22199</v>
      </c>
      <c r="Q61" s="69">
        <v>22711</v>
      </c>
      <c r="R61" s="69">
        <v>23315</v>
      </c>
      <c r="S61" s="69">
        <v>26652</v>
      </c>
      <c r="T61" s="69">
        <v>27043</v>
      </c>
      <c r="U61" s="69">
        <v>27017</v>
      </c>
      <c r="V61" s="69">
        <v>26995</v>
      </c>
      <c r="W61" s="69">
        <v>27155</v>
      </c>
      <c r="X61" s="69">
        <v>27177</v>
      </c>
      <c r="Y61" s="69">
        <v>27320</v>
      </c>
      <c r="Z61" s="69">
        <v>27301</v>
      </c>
      <c r="AA61" s="69">
        <v>27219</v>
      </c>
      <c r="AB61" s="69">
        <v>27266</v>
      </c>
      <c r="AC61" s="69">
        <v>27468</v>
      </c>
      <c r="AD61" s="69">
        <v>27957</v>
      </c>
      <c r="AE61" s="69">
        <v>31537</v>
      </c>
      <c r="AF61" s="69">
        <v>31830</v>
      </c>
      <c r="AG61" s="69">
        <v>31847</v>
      </c>
      <c r="AH61" s="69">
        <v>31763</v>
      </c>
      <c r="AI61" s="69">
        <v>31689</v>
      </c>
      <c r="AJ61" s="69">
        <v>31593</v>
      </c>
      <c r="AK61" s="69">
        <v>31544</v>
      </c>
      <c r="AL61" s="69">
        <v>31588</v>
      </c>
      <c r="AM61" s="69">
        <v>31568</v>
      </c>
      <c r="AN61" s="69">
        <v>31595</v>
      </c>
      <c r="AO61" s="69">
        <v>31732</v>
      </c>
      <c r="AP61" s="69">
        <v>32171</v>
      </c>
      <c r="AQ61" s="69">
        <v>35755</v>
      </c>
      <c r="AR61" s="69">
        <v>36195</v>
      </c>
      <c r="AS61" s="69">
        <v>36071</v>
      </c>
      <c r="AT61" s="69">
        <v>35983</v>
      </c>
      <c r="AU61" s="69">
        <v>35751</v>
      </c>
      <c r="AV61" s="69">
        <v>35804</v>
      </c>
      <c r="AW61" s="69">
        <v>35817</v>
      </c>
      <c r="AX61" s="69">
        <v>35945</v>
      </c>
      <c r="AY61" s="69">
        <v>35842</v>
      </c>
      <c r="AZ61" s="69">
        <v>35848</v>
      </c>
      <c r="BA61" s="69">
        <v>35930</v>
      </c>
      <c r="BB61" s="69">
        <v>36135</v>
      </c>
      <c r="BC61" s="69">
        <v>38580</v>
      </c>
      <c r="BD61" s="69">
        <v>38762</v>
      </c>
      <c r="BE61" s="69">
        <v>38763</v>
      </c>
      <c r="BF61" s="69">
        <v>38832</v>
      </c>
      <c r="BG61" s="69">
        <v>38909</v>
      </c>
      <c r="BH61" s="69">
        <v>39010</v>
      </c>
      <c r="BI61" s="69">
        <v>38991</v>
      </c>
      <c r="BJ61" s="69">
        <v>38983</v>
      </c>
      <c r="BK61" s="69">
        <v>38908</v>
      </c>
      <c r="BL61" s="196">
        <v>38976</v>
      </c>
      <c r="BM61" s="203"/>
      <c r="BN61" s="53"/>
      <c r="BO61" s="196">
        <v>42000</v>
      </c>
      <c r="BP61" s="239">
        <v>42150</v>
      </c>
      <c r="BQ61" s="239">
        <v>47980</v>
      </c>
      <c r="BR61" s="286">
        <v>49821</v>
      </c>
      <c r="BS61" s="286">
        <v>50041</v>
      </c>
      <c r="BT61" s="239">
        <v>50100</v>
      </c>
      <c r="BU61" s="239">
        <v>49839</v>
      </c>
      <c r="BV61" s="286">
        <v>51675</v>
      </c>
      <c r="BW61" s="286">
        <v>52790</v>
      </c>
      <c r="BX61" s="239">
        <v>52751</v>
      </c>
      <c r="BY61" s="239"/>
      <c r="BZ61" s="544">
        <f>(Tableau2[[#This Row],[juin-24]]-Tableau2[[#This Row],[avr-24]])/Tableau2[[#This Row],[avr-24]]</f>
        <v>-7.3877628338700507E-4</v>
      </c>
      <c r="CA61" s="548">
        <f>Tableau2[[#This Row],[juin-24]]-Tableau2[[#This Row],[avr-24]]</f>
        <v>-39</v>
      </c>
      <c r="CB61" s="13"/>
    </row>
    <row r="62" spans="1:81" s="12" customFormat="1" x14ac:dyDescent="0.3">
      <c r="A62" s="68">
        <v>24</v>
      </c>
      <c r="B62" s="61" t="s">
        <v>21</v>
      </c>
      <c r="C62" s="56" t="s">
        <v>59</v>
      </c>
      <c r="D62" s="56" t="s">
        <v>50</v>
      </c>
      <c r="E62" s="69">
        <v>10672</v>
      </c>
      <c r="F62" s="69">
        <v>11177</v>
      </c>
      <c r="G62" s="69">
        <v>12617</v>
      </c>
      <c r="H62" s="69">
        <v>15667</v>
      </c>
      <c r="I62" s="69">
        <v>15733</v>
      </c>
      <c r="J62" s="69">
        <v>15791</v>
      </c>
      <c r="K62" s="69">
        <v>15950</v>
      </c>
      <c r="L62" s="69">
        <v>16167</v>
      </c>
      <c r="M62" s="69">
        <v>16224</v>
      </c>
      <c r="N62" s="69">
        <v>16374</v>
      </c>
      <c r="O62" s="69">
        <v>16545</v>
      </c>
      <c r="P62" s="69">
        <v>16719</v>
      </c>
      <c r="Q62" s="69">
        <v>17057</v>
      </c>
      <c r="R62" s="69">
        <v>17888</v>
      </c>
      <c r="S62" s="69">
        <v>19732</v>
      </c>
      <c r="T62" s="69">
        <v>22223</v>
      </c>
      <c r="U62" s="69">
        <v>22276</v>
      </c>
      <c r="V62" s="69">
        <v>22428</v>
      </c>
      <c r="W62" s="69">
        <v>22585</v>
      </c>
      <c r="X62" s="69">
        <v>22627</v>
      </c>
      <c r="Y62" s="69">
        <v>22686</v>
      </c>
      <c r="Z62" s="69">
        <v>22647</v>
      </c>
      <c r="AA62" s="69">
        <v>22746</v>
      </c>
      <c r="AB62" s="69">
        <v>22843</v>
      </c>
      <c r="AC62" s="69">
        <v>23054</v>
      </c>
      <c r="AD62" s="69">
        <v>23547</v>
      </c>
      <c r="AE62" s="69">
        <v>26683</v>
      </c>
      <c r="AF62" s="69">
        <v>27103</v>
      </c>
      <c r="AG62" s="69">
        <v>27119</v>
      </c>
      <c r="AH62" s="69">
        <v>27238</v>
      </c>
      <c r="AI62" s="69">
        <v>27348</v>
      </c>
      <c r="AJ62" s="69">
        <v>27417</v>
      </c>
      <c r="AK62" s="69">
        <v>27418</v>
      </c>
      <c r="AL62" s="69">
        <v>27460</v>
      </c>
      <c r="AM62" s="69">
        <v>27465</v>
      </c>
      <c r="AN62" s="69">
        <v>27534</v>
      </c>
      <c r="AO62" s="69">
        <v>27724</v>
      </c>
      <c r="AP62" s="69">
        <v>28194</v>
      </c>
      <c r="AQ62" s="69">
        <v>29656</v>
      </c>
      <c r="AR62" s="69">
        <v>32552</v>
      </c>
      <c r="AS62" s="69">
        <v>32489</v>
      </c>
      <c r="AT62" s="69">
        <v>32502</v>
      </c>
      <c r="AU62" s="69">
        <v>32415</v>
      </c>
      <c r="AV62" s="69">
        <v>32442</v>
      </c>
      <c r="AW62" s="69">
        <v>32438</v>
      </c>
      <c r="AX62" s="69">
        <v>32562</v>
      </c>
      <c r="AY62" s="69">
        <v>32531</v>
      </c>
      <c r="AZ62" s="69">
        <v>32564</v>
      </c>
      <c r="BA62" s="69">
        <v>32711</v>
      </c>
      <c r="BB62" s="69">
        <v>32970</v>
      </c>
      <c r="BC62" s="69">
        <v>33575</v>
      </c>
      <c r="BD62" s="69">
        <v>36804</v>
      </c>
      <c r="BE62" s="69">
        <v>36851</v>
      </c>
      <c r="BF62" s="69">
        <v>36879</v>
      </c>
      <c r="BG62" s="69">
        <v>36957</v>
      </c>
      <c r="BH62" s="69">
        <v>37022</v>
      </c>
      <c r="BI62" s="69">
        <v>37030</v>
      </c>
      <c r="BJ62" s="69">
        <v>37062</v>
      </c>
      <c r="BK62" s="69">
        <v>37054</v>
      </c>
      <c r="BL62" s="196">
        <v>37314</v>
      </c>
      <c r="BM62" s="203"/>
      <c r="BN62" s="53"/>
      <c r="BO62" s="196">
        <v>39000</v>
      </c>
      <c r="BP62" s="239">
        <v>40967</v>
      </c>
      <c r="BQ62" s="239">
        <v>45081</v>
      </c>
      <c r="BR62" s="286">
        <v>46752</v>
      </c>
      <c r="BS62" s="286">
        <v>49673</v>
      </c>
      <c r="BT62" s="239">
        <v>50100</v>
      </c>
      <c r="BU62" s="239">
        <v>49900</v>
      </c>
      <c r="BV62" s="286">
        <v>52800</v>
      </c>
      <c r="BW62" s="286">
        <v>53609</v>
      </c>
      <c r="BX62" s="239">
        <v>53480</v>
      </c>
      <c r="BY62" s="239"/>
      <c r="BZ62" s="543">
        <f>(Tableau2[[#This Row],[juin-24]]-Tableau2[[#This Row],[avr-24]])/Tableau2[[#This Row],[avr-24]]</f>
        <v>-2.4063123729224571E-3</v>
      </c>
      <c r="CA62" s="548">
        <f>Tableau2[[#This Row],[juin-24]]-Tableau2[[#This Row],[avr-24]]</f>
        <v>-129</v>
      </c>
      <c r="CB62" s="14"/>
      <c r="CC62" s="9"/>
    </row>
    <row r="63" spans="1:81" x14ac:dyDescent="0.3">
      <c r="A63" s="68">
        <v>19</v>
      </c>
      <c r="B63" s="61" t="s">
        <v>19</v>
      </c>
      <c r="C63" s="56" t="s">
        <v>59</v>
      </c>
      <c r="D63" s="56" t="s">
        <v>50</v>
      </c>
      <c r="E63" s="69">
        <v>13529</v>
      </c>
      <c r="F63" s="69">
        <v>14086</v>
      </c>
      <c r="G63" s="69">
        <v>16906</v>
      </c>
      <c r="H63" s="69">
        <v>17510</v>
      </c>
      <c r="I63" s="69">
        <v>17640</v>
      </c>
      <c r="J63" s="69">
        <v>17558</v>
      </c>
      <c r="K63" s="69">
        <v>17515</v>
      </c>
      <c r="L63" s="69">
        <v>17410</v>
      </c>
      <c r="M63" s="69">
        <v>17375</v>
      </c>
      <c r="N63" s="69">
        <v>17435</v>
      </c>
      <c r="O63" s="69">
        <v>17538</v>
      </c>
      <c r="P63" s="69">
        <v>17719</v>
      </c>
      <c r="Q63" s="69">
        <v>18165</v>
      </c>
      <c r="R63" s="69">
        <v>18849</v>
      </c>
      <c r="S63" s="69">
        <v>22071</v>
      </c>
      <c r="T63" s="69">
        <v>22591</v>
      </c>
      <c r="U63" s="69">
        <v>22617</v>
      </c>
      <c r="V63" s="69">
        <v>22525</v>
      </c>
      <c r="W63" s="69">
        <v>22703</v>
      </c>
      <c r="X63" s="69">
        <v>22763</v>
      </c>
      <c r="Y63" s="69">
        <v>22698</v>
      </c>
      <c r="Z63" s="69">
        <v>22630</v>
      </c>
      <c r="AA63" s="69">
        <v>22592</v>
      </c>
      <c r="AB63" s="69">
        <v>22600</v>
      </c>
      <c r="AC63" s="69">
        <v>22839</v>
      </c>
      <c r="AD63" s="69">
        <v>23407</v>
      </c>
      <c r="AE63" s="69">
        <v>26618</v>
      </c>
      <c r="AF63" s="69">
        <v>27052</v>
      </c>
      <c r="AG63" s="69">
        <v>27034</v>
      </c>
      <c r="AH63" s="69">
        <v>26937</v>
      </c>
      <c r="AI63" s="69">
        <v>26883</v>
      </c>
      <c r="AJ63" s="69">
        <v>26795</v>
      </c>
      <c r="AK63" s="69">
        <v>26743</v>
      </c>
      <c r="AL63" s="69">
        <v>26849</v>
      </c>
      <c r="AM63" s="69">
        <v>26845</v>
      </c>
      <c r="AN63" s="69">
        <v>26908</v>
      </c>
      <c r="AO63" s="69">
        <v>27068</v>
      </c>
      <c r="AP63" s="69">
        <v>27611</v>
      </c>
      <c r="AQ63" s="69">
        <v>30839</v>
      </c>
      <c r="AR63" s="69">
        <v>31473</v>
      </c>
      <c r="AS63" s="69">
        <v>31343</v>
      </c>
      <c r="AT63" s="69">
        <v>31280</v>
      </c>
      <c r="AU63" s="69">
        <v>31140</v>
      </c>
      <c r="AV63" s="69">
        <v>31211</v>
      </c>
      <c r="AW63" s="69">
        <v>31235</v>
      </c>
      <c r="AX63" s="69">
        <v>31362</v>
      </c>
      <c r="AY63" s="69">
        <v>31297</v>
      </c>
      <c r="AZ63" s="69">
        <v>31345</v>
      </c>
      <c r="BA63" s="69">
        <v>31500</v>
      </c>
      <c r="BB63" s="69">
        <v>32020</v>
      </c>
      <c r="BC63" s="69">
        <v>34215</v>
      </c>
      <c r="BD63" s="69">
        <v>34583</v>
      </c>
      <c r="BE63" s="69">
        <v>34634</v>
      </c>
      <c r="BF63" s="69">
        <v>34727</v>
      </c>
      <c r="BG63" s="69">
        <v>34818</v>
      </c>
      <c r="BH63" s="69">
        <v>34917</v>
      </c>
      <c r="BI63" s="69">
        <v>34902</v>
      </c>
      <c r="BJ63" s="69">
        <v>34952</v>
      </c>
      <c r="BK63" s="69">
        <v>34909</v>
      </c>
      <c r="BL63" s="195">
        <v>35080</v>
      </c>
      <c r="BM63" s="203"/>
      <c r="BN63" s="53"/>
      <c r="BO63" s="195">
        <v>37800</v>
      </c>
      <c r="BP63" s="238">
        <v>37842</v>
      </c>
      <c r="BQ63" s="238">
        <v>42039</v>
      </c>
      <c r="BR63" s="190">
        <v>43913</v>
      </c>
      <c r="BS63" s="190">
        <v>44353</v>
      </c>
      <c r="BT63" s="238">
        <v>44200</v>
      </c>
      <c r="BU63" s="238">
        <v>44051</v>
      </c>
      <c r="BV63" s="190">
        <v>46100</v>
      </c>
      <c r="BW63" s="190">
        <v>47574</v>
      </c>
      <c r="BX63" s="238">
        <v>47491</v>
      </c>
      <c r="BY63" s="238"/>
      <c r="BZ63" s="544">
        <f>(Tableau2[[#This Row],[juin-24]]-Tableau2[[#This Row],[avr-24]])/Tableau2[[#This Row],[avr-24]]</f>
        <v>-1.7446504393155925E-3</v>
      </c>
      <c r="CA63" s="548">
        <f>Tableau2[[#This Row],[juin-24]]-Tableau2[[#This Row],[avr-24]]</f>
        <v>-83</v>
      </c>
      <c r="CB63" s="13"/>
      <c r="CC63" s="12"/>
    </row>
    <row r="64" spans="1:81" s="12" customFormat="1" x14ac:dyDescent="0.3">
      <c r="A64" s="67">
        <v>31</v>
      </c>
      <c r="B64" s="137" t="s">
        <v>112</v>
      </c>
      <c r="C64" s="136" t="s">
        <v>59</v>
      </c>
      <c r="D64" s="136" t="s">
        <v>49</v>
      </c>
      <c r="E64" s="138">
        <v>10386</v>
      </c>
      <c r="F64" s="138">
        <v>10617</v>
      </c>
      <c r="G64" s="138">
        <v>13161</v>
      </c>
      <c r="H64" s="138">
        <v>13223</v>
      </c>
      <c r="I64" s="138">
        <f>13228+1005</f>
        <v>14233</v>
      </c>
      <c r="J64" s="138">
        <f>13311+1012</f>
        <v>14323</v>
      </c>
      <c r="K64" s="138">
        <f>13373+1014</f>
        <v>14387</v>
      </c>
      <c r="L64" s="138">
        <f>13493+1008</f>
        <v>14501</v>
      </c>
      <c r="M64" s="138">
        <f>13481+1011</f>
        <v>14492</v>
      </c>
      <c r="N64" s="138">
        <f>13525+1011</f>
        <v>14536</v>
      </c>
      <c r="O64" s="138">
        <f>13558+1007</f>
        <v>14565</v>
      </c>
      <c r="P64" s="138">
        <f>13614+1007</f>
        <v>14621</v>
      </c>
      <c r="Q64" s="138">
        <v>13886</v>
      </c>
      <c r="R64" s="138">
        <f>14163+1022</f>
        <v>15185</v>
      </c>
      <c r="S64" s="138">
        <f>18402+1103</f>
        <v>19505</v>
      </c>
      <c r="T64" s="138">
        <f>18494+1106</f>
        <v>19600</v>
      </c>
      <c r="U64" s="138">
        <f>18526+1105</f>
        <v>19631</v>
      </c>
      <c r="V64" s="138">
        <f>18598+1105</f>
        <v>19703</v>
      </c>
      <c r="W64" s="138">
        <f>18712+1107</f>
        <v>19819</v>
      </c>
      <c r="X64" s="138">
        <f>18764+1107</f>
        <v>19871</v>
      </c>
      <c r="Y64" s="138">
        <f>18872+1102</f>
        <v>19974</v>
      </c>
      <c r="Z64" s="138">
        <f>18882+1100</f>
        <v>19982</v>
      </c>
      <c r="AA64" s="138">
        <f>18902+1094</f>
        <v>19996</v>
      </c>
      <c r="AB64" s="138">
        <f>18958+1097</f>
        <v>20055</v>
      </c>
      <c r="AC64" s="138">
        <f>19063+1099</f>
        <v>20162</v>
      </c>
      <c r="AD64" s="138">
        <f>19195+1100</f>
        <v>20295</v>
      </c>
      <c r="AE64" s="138">
        <f>22654+1207</f>
        <v>23861</v>
      </c>
      <c r="AF64" s="138">
        <f>22680+1201</f>
        <v>23881</v>
      </c>
      <c r="AG64" s="138">
        <f>22708+1201</f>
        <v>23909</v>
      </c>
      <c r="AH64" s="138">
        <f>22729+1199</f>
        <v>23928</v>
      </c>
      <c r="AI64" s="138">
        <f>22822+1197</f>
        <v>24019</v>
      </c>
      <c r="AJ64" s="138">
        <f>22843+1197</f>
        <v>24040</v>
      </c>
      <c r="AK64" s="138">
        <f>22883+1193</f>
        <v>24076</v>
      </c>
      <c r="AL64" s="138">
        <v>24114</v>
      </c>
      <c r="AM64" s="138">
        <f>22922+1197</f>
        <v>24119</v>
      </c>
      <c r="AN64" s="138">
        <f>22989</f>
        <v>22989</v>
      </c>
      <c r="AO64" s="138">
        <v>23082</v>
      </c>
      <c r="AP64" s="138">
        <v>23386</v>
      </c>
      <c r="AQ64" s="138">
        <v>26611</v>
      </c>
      <c r="AR64" s="138">
        <v>26855</v>
      </c>
      <c r="AS64" s="138">
        <v>26806</v>
      </c>
      <c r="AT64" s="138">
        <v>26771</v>
      </c>
      <c r="AU64" s="138">
        <v>26601</v>
      </c>
      <c r="AV64" s="138">
        <v>26605</v>
      </c>
      <c r="AW64" s="138">
        <v>26622</v>
      </c>
      <c r="AX64" s="138">
        <v>26650</v>
      </c>
      <c r="AY64" s="138">
        <v>26587</v>
      </c>
      <c r="AZ64" s="138">
        <v>26564</v>
      </c>
      <c r="BA64" s="138">
        <v>26691</v>
      </c>
      <c r="BB64" s="138">
        <v>26795</v>
      </c>
      <c r="BC64" s="138">
        <v>31110</v>
      </c>
      <c r="BD64" s="138">
        <v>31339</v>
      </c>
      <c r="BE64" s="138">
        <v>31378</v>
      </c>
      <c r="BF64" s="138">
        <v>31361</v>
      </c>
      <c r="BG64" s="138">
        <v>31351</v>
      </c>
      <c r="BH64" s="138">
        <v>31401</v>
      </c>
      <c r="BI64" s="138">
        <v>31366</v>
      </c>
      <c r="BJ64" s="138">
        <v>31370</v>
      </c>
      <c r="BK64" s="138">
        <v>31335</v>
      </c>
      <c r="BL64" s="196">
        <v>31475</v>
      </c>
      <c r="BM64" s="203"/>
      <c r="BN64" s="53"/>
      <c r="BO64" s="196">
        <v>31500</v>
      </c>
      <c r="BP64" s="239">
        <v>31552</v>
      </c>
      <c r="BQ64" s="239">
        <v>37523</v>
      </c>
      <c r="BR64" s="286">
        <v>38855</v>
      </c>
      <c r="BS64" s="286">
        <v>40048</v>
      </c>
      <c r="BT64" s="239">
        <v>39000</v>
      </c>
      <c r="BU64" s="239">
        <v>39777</v>
      </c>
      <c r="BV64" s="286">
        <v>42300</v>
      </c>
      <c r="BW64" s="286">
        <v>44112</v>
      </c>
      <c r="BX64" s="239">
        <v>44102</v>
      </c>
      <c r="BY64" s="239"/>
      <c r="BZ64" s="543">
        <f>(Tableau2[[#This Row],[juin-24]]-Tableau2[[#This Row],[avr-24]])/Tableau2[[#This Row],[avr-24]]</f>
        <v>-2.2669568371418207E-4</v>
      </c>
      <c r="CA64" s="548">
        <f>Tableau2[[#This Row],[juin-24]]-Tableau2[[#This Row],[avr-24]]</f>
        <v>-10</v>
      </c>
      <c r="CB64" s="13"/>
    </row>
    <row r="65" spans="1:81" x14ac:dyDescent="0.3">
      <c r="A65" s="74">
        <v>18</v>
      </c>
      <c r="B65" s="61" t="s">
        <v>35</v>
      </c>
      <c r="C65" s="56" t="s">
        <v>59</v>
      </c>
      <c r="D65" s="56" t="s">
        <v>50</v>
      </c>
      <c r="E65" s="69">
        <v>7723</v>
      </c>
      <c r="F65" s="69">
        <v>8162</v>
      </c>
      <c r="G65" s="69">
        <v>10251</v>
      </c>
      <c r="H65" s="69">
        <v>10477</v>
      </c>
      <c r="I65" s="69">
        <v>10522</v>
      </c>
      <c r="J65" s="69">
        <v>10475</v>
      </c>
      <c r="K65" s="69">
        <v>10435</v>
      </c>
      <c r="L65" s="69">
        <v>10512</v>
      </c>
      <c r="M65" s="69">
        <v>10540</v>
      </c>
      <c r="N65" s="69">
        <v>10639</v>
      </c>
      <c r="O65" s="69">
        <v>10814</v>
      </c>
      <c r="P65" s="69">
        <v>10953</v>
      </c>
      <c r="Q65" s="69">
        <v>11254</v>
      </c>
      <c r="R65" s="69">
        <v>11905</v>
      </c>
      <c r="S65" s="69">
        <v>14321</v>
      </c>
      <c r="T65" s="69">
        <v>14621</v>
      </c>
      <c r="U65" s="69">
        <v>14614</v>
      </c>
      <c r="V65" s="69">
        <v>14574</v>
      </c>
      <c r="W65" s="69">
        <v>14609</v>
      </c>
      <c r="X65" s="69">
        <v>14648</v>
      </c>
      <c r="Y65" s="69">
        <v>14728</v>
      </c>
      <c r="Z65" s="69">
        <v>14701</v>
      </c>
      <c r="AA65" s="69">
        <v>14762</v>
      </c>
      <c r="AB65" s="69">
        <v>14863</v>
      </c>
      <c r="AC65" s="69">
        <v>15055</v>
      </c>
      <c r="AD65" s="69">
        <v>15820</v>
      </c>
      <c r="AE65" s="69">
        <v>18523</v>
      </c>
      <c r="AF65" s="69">
        <v>18750</v>
      </c>
      <c r="AG65" s="69">
        <v>18746</v>
      </c>
      <c r="AH65" s="69">
        <v>18694</v>
      </c>
      <c r="AI65" s="69">
        <v>18647</v>
      </c>
      <c r="AJ65" s="69">
        <v>18573</v>
      </c>
      <c r="AK65" s="69">
        <v>18550</v>
      </c>
      <c r="AL65" s="69">
        <v>18635</v>
      </c>
      <c r="AM65" s="69">
        <v>18656</v>
      </c>
      <c r="AN65" s="69">
        <v>18707</v>
      </c>
      <c r="AO65" s="69">
        <v>18863</v>
      </c>
      <c r="AP65" s="69">
        <v>19720</v>
      </c>
      <c r="AQ65" s="69">
        <v>23156</v>
      </c>
      <c r="AR65" s="69">
        <v>23578</v>
      </c>
      <c r="AS65" s="69">
        <v>23454</v>
      </c>
      <c r="AT65" s="69">
        <v>23412</v>
      </c>
      <c r="AU65" s="69">
        <v>23365</v>
      </c>
      <c r="AV65" s="69">
        <v>23417</v>
      </c>
      <c r="AW65" s="69">
        <v>23468</v>
      </c>
      <c r="AX65" s="69">
        <v>23570</v>
      </c>
      <c r="AY65" s="69">
        <v>23639</v>
      </c>
      <c r="AZ65" s="69">
        <v>23686</v>
      </c>
      <c r="BA65" s="69">
        <v>23820</v>
      </c>
      <c r="BB65" s="69">
        <v>24210</v>
      </c>
      <c r="BC65" s="69">
        <v>26360</v>
      </c>
      <c r="BD65" s="69">
        <v>26582</v>
      </c>
      <c r="BE65" s="69">
        <v>26605</v>
      </c>
      <c r="BF65" s="69">
        <v>26641</v>
      </c>
      <c r="BG65" s="69">
        <v>26692</v>
      </c>
      <c r="BH65" s="69">
        <v>26768</v>
      </c>
      <c r="BI65" s="69">
        <v>26781</v>
      </c>
      <c r="BJ65" s="69">
        <v>26790</v>
      </c>
      <c r="BK65" s="69">
        <v>26755</v>
      </c>
      <c r="BL65" s="195">
        <v>27013</v>
      </c>
      <c r="BM65" s="203"/>
      <c r="BN65" s="53"/>
      <c r="BO65" s="195">
        <v>30900</v>
      </c>
      <c r="BP65" s="238">
        <v>30877</v>
      </c>
      <c r="BQ65" s="238">
        <v>35521</v>
      </c>
      <c r="BR65" s="190">
        <v>38207</v>
      </c>
      <c r="BS65" s="190">
        <v>38572</v>
      </c>
      <c r="BT65" s="238">
        <v>38500</v>
      </c>
      <c r="BU65" s="238">
        <v>38088</v>
      </c>
      <c r="BV65" s="190">
        <v>41190</v>
      </c>
      <c r="BW65" s="190">
        <v>43088</v>
      </c>
      <c r="BX65" s="238">
        <v>42980</v>
      </c>
      <c r="BY65" s="238"/>
      <c r="BZ65" s="544">
        <f>(Tableau2[[#This Row],[juin-24]]-Tableau2[[#This Row],[avr-24]])/Tableau2[[#This Row],[avr-24]]</f>
        <v>-2.5064983290011139E-3</v>
      </c>
      <c r="CA65" s="548">
        <f>Tableau2[[#This Row],[juin-24]]-Tableau2[[#This Row],[avr-24]]</f>
        <v>-108</v>
      </c>
      <c r="CB65" s="15"/>
    </row>
    <row r="66" spans="1:81" s="12" customFormat="1" x14ac:dyDescent="0.3">
      <c r="A66" s="74">
        <v>23</v>
      </c>
      <c r="B66" s="61" t="s">
        <v>41</v>
      </c>
      <c r="C66" s="56" t="s">
        <v>59</v>
      </c>
      <c r="D66" s="56" t="s">
        <v>50</v>
      </c>
      <c r="E66" s="69">
        <v>16410</v>
      </c>
      <c r="F66" s="69">
        <v>16855</v>
      </c>
      <c r="G66" s="69">
        <v>17098</v>
      </c>
      <c r="H66" s="69">
        <v>17267</v>
      </c>
      <c r="I66" s="69">
        <v>17539</v>
      </c>
      <c r="J66" s="69">
        <v>17797</v>
      </c>
      <c r="K66" s="69">
        <v>20700</v>
      </c>
      <c r="L66" s="69">
        <v>21475</v>
      </c>
      <c r="M66" s="69">
        <v>21562</v>
      </c>
      <c r="N66" s="69">
        <v>21630</v>
      </c>
      <c r="O66" s="69">
        <v>21749</v>
      </c>
      <c r="P66" s="69">
        <v>21918</v>
      </c>
      <c r="Q66" s="69">
        <v>22126</v>
      </c>
      <c r="R66" s="69">
        <v>22522</v>
      </c>
      <c r="S66" s="69">
        <v>22758</v>
      </c>
      <c r="T66" s="69">
        <v>22941</v>
      </c>
      <c r="U66" s="69">
        <v>23260</v>
      </c>
      <c r="V66" s="69">
        <v>23587</v>
      </c>
      <c r="W66" s="69">
        <v>28013</v>
      </c>
      <c r="X66" s="69">
        <v>28117</v>
      </c>
      <c r="Y66" s="69">
        <v>28122</v>
      </c>
      <c r="Z66" s="69">
        <v>28173</v>
      </c>
      <c r="AA66" s="69">
        <v>28179</v>
      </c>
      <c r="AB66" s="69">
        <v>28165</v>
      </c>
      <c r="AC66" s="69">
        <v>28234</v>
      </c>
      <c r="AD66" s="69">
        <v>28409</v>
      </c>
      <c r="AE66" s="69">
        <v>28471</v>
      </c>
      <c r="AF66" s="69">
        <v>28523</v>
      </c>
      <c r="AG66" s="69">
        <v>28620</v>
      </c>
      <c r="AH66" s="69">
        <v>28781</v>
      </c>
      <c r="AI66" s="69">
        <v>31237</v>
      </c>
      <c r="AJ66" s="69">
        <v>31466</v>
      </c>
      <c r="AK66" s="69">
        <v>31509</v>
      </c>
      <c r="AL66" s="69">
        <v>31871</v>
      </c>
      <c r="AM66" s="69">
        <v>32204</v>
      </c>
      <c r="AN66" s="69">
        <v>32444</v>
      </c>
      <c r="AO66" s="69">
        <v>32630</v>
      </c>
      <c r="AP66" s="69">
        <v>33113</v>
      </c>
      <c r="AQ66" s="69">
        <v>33281</v>
      </c>
      <c r="AR66" s="69">
        <v>33336</v>
      </c>
      <c r="AS66" s="69">
        <v>33473</v>
      </c>
      <c r="AT66" s="69">
        <v>33584</v>
      </c>
      <c r="AU66" s="69">
        <v>35262</v>
      </c>
      <c r="AV66" s="69">
        <v>35646</v>
      </c>
      <c r="AW66" s="69">
        <v>35646</v>
      </c>
      <c r="AX66" s="69">
        <v>35686</v>
      </c>
      <c r="AY66" s="69">
        <v>35625</v>
      </c>
      <c r="AZ66" s="69">
        <v>35671</v>
      </c>
      <c r="BA66" s="69">
        <v>35683</v>
      </c>
      <c r="BB66" s="69">
        <v>35885</v>
      </c>
      <c r="BC66" s="69">
        <v>36000</v>
      </c>
      <c r="BD66" s="69">
        <v>36055</v>
      </c>
      <c r="BE66" s="69">
        <v>36215</v>
      </c>
      <c r="BF66" s="69">
        <v>36249</v>
      </c>
      <c r="BG66" s="69">
        <v>36567</v>
      </c>
      <c r="BH66" s="69">
        <v>37907</v>
      </c>
      <c r="BI66" s="69">
        <v>37831</v>
      </c>
      <c r="BJ66" s="69">
        <v>37746</v>
      </c>
      <c r="BK66" s="69">
        <v>37648</v>
      </c>
      <c r="BL66" s="195">
        <v>37697</v>
      </c>
      <c r="BM66" s="203"/>
      <c r="BN66" s="53"/>
      <c r="BO66" s="195">
        <v>37300</v>
      </c>
      <c r="BP66" s="238">
        <v>37197</v>
      </c>
      <c r="BQ66" s="238">
        <v>36343</v>
      </c>
      <c r="BR66" s="190">
        <v>37267</v>
      </c>
      <c r="BS66" s="190">
        <v>37311</v>
      </c>
      <c r="BT66" s="238">
        <v>38600</v>
      </c>
      <c r="BU66" s="238">
        <v>38400</v>
      </c>
      <c r="BV66" s="190">
        <v>38300</v>
      </c>
      <c r="BW66" s="190">
        <v>37949</v>
      </c>
      <c r="BX66" s="238">
        <v>38282</v>
      </c>
      <c r="BY66" s="238"/>
      <c r="BZ66" s="543">
        <f>(Tableau2[[#This Row],[juin-24]]-Tableau2[[#This Row],[avr-24]])/Tableau2[[#This Row],[avr-24]]</f>
        <v>8.7749347808901423E-3</v>
      </c>
      <c r="CA66" s="548">
        <f>Tableau2[[#This Row],[juin-24]]-Tableau2[[#This Row],[avr-24]]</f>
        <v>333</v>
      </c>
      <c r="CB66" s="13"/>
    </row>
    <row r="67" spans="1:81" s="12" customFormat="1" x14ac:dyDescent="0.3">
      <c r="A67" s="67">
        <v>22</v>
      </c>
      <c r="B67" s="137" t="s">
        <v>25</v>
      </c>
      <c r="C67" s="136" t="s">
        <v>59</v>
      </c>
      <c r="D67" s="136" t="s">
        <v>50</v>
      </c>
      <c r="E67" s="138">
        <v>5111</v>
      </c>
      <c r="F67" s="138">
        <v>5516</v>
      </c>
      <c r="G67" s="138">
        <v>6506</v>
      </c>
      <c r="H67" s="138">
        <v>9226</v>
      </c>
      <c r="I67" s="138">
        <v>9435</v>
      </c>
      <c r="J67" s="138">
        <v>9813</v>
      </c>
      <c r="K67" s="138">
        <v>10177</v>
      </c>
      <c r="L67" s="138">
        <v>10251</v>
      </c>
      <c r="M67" s="138">
        <v>10239</v>
      </c>
      <c r="N67" s="138">
        <v>10216</v>
      </c>
      <c r="O67" s="138">
        <v>10313</v>
      </c>
      <c r="P67" s="138">
        <v>10571</v>
      </c>
      <c r="Q67" s="138">
        <v>10983</v>
      </c>
      <c r="R67" s="138">
        <v>11831</v>
      </c>
      <c r="S67" s="138">
        <v>13330</v>
      </c>
      <c r="T67" s="138">
        <v>16065</v>
      </c>
      <c r="U67" s="138">
        <v>16119</v>
      </c>
      <c r="V67" s="138">
        <v>16076</v>
      </c>
      <c r="W67" s="138">
        <v>16083</v>
      </c>
      <c r="X67" s="138">
        <v>16039</v>
      </c>
      <c r="Y67" s="138">
        <v>16004</v>
      </c>
      <c r="Z67" s="138">
        <v>15984</v>
      </c>
      <c r="AA67" s="138">
        <v>16026</v>
      </c>
      <c r="AB67" s="138">
        <v>16184</v>
      </c>
      <c r="AC67" s="138">
        <v>16493</v>
      </c>
      <c r="AD67" s="138">
        <v>17121</v>
      </c>
      <c r="AE67" s="138">
        <v>18372</v>
      </c>
      <c r="AF67" s="138">
        <v>20354</v>
      </c>
      <c r="AG67" s="138">
        <v>20457</v>
      </c>
      <c r="AH67" s="138">
        <v>20795</v>
      </c>
      <c r="AI67" s="138">
        <v>21028</v>
      </c>
      <c r="AJ67" s="138">
        <v>21047</v>
      </c>
      <c r="AK67" s="138">
        <v>20989</v>
      </c>
      <c r="AL67" s="138">
        <v>20950</v>
      </c>
      <c r="AM67" s="138">
        <v>20916</v>
      </c>
      <c r="AN67" s="138">
        <v>20998</v>
      </c>
      <c r="AO67" s="138">
        <v>21259</v>
      </c>
      <c r="AP67" s="138">
        <v>21775</v>
      </c>
      <c r="AQ67" s="138">
        <v>23073</v>
      </c>
      <c r="AR67" s="138">
        <v>25098</v>
      </c>
      <c r="AS67" s="138">
        <v>25104</v>
      </c>
      <c r="AT67" s="138">
        <v>25289</v>
      </c>
      <c r="AU67" s="138">
        <v>25406</v>
      </c>
      <c r="AV67" s="138">
        <v>25433</v>
      </c>
      <c r="AW67" s="138">
        <v>25439</v>
      </c>
      <c r="AX67" s="138">
        <v>25530</v>
      </c>
      <c r="AY67" s="138">
        <v>25508</v>
      </c>
      <c r="AZ67" s="138">
        <v>25490</v>
      </c>
      <c r="BA67" s="138">
        <v>25660</v>
      </c>
      <c r="BB67" s="138">
        <v>25823</v>
      </c>
      <c r="BC67" s="138">
        <v>26205</v>
      </c>
      <c r="BD67" s="138">
        <v>27802</v>
      </c>
      <c r="BE67" s="138">
        <v>27820</v>
      </c>
      <c r="BF67" s="138">
        <v>27925</v>
      </c>
      <c r="BG67" s="138">
        <v>28039</v>
      </c>
      <c r="BH67" s="138">
        <v>28061</v>
      </c>
      <c r="BI67" s="138">
        <v>28056</v>
      </c>
      <c r="BJ67" s="138">
        <v>28065</v>
      </c>
      <c r="BK67" s="138">
        <v>28044</v>
      </c>
      <c r="BL67" s="196">
        <v>28170</v>
      </c>
      <c r="BM67" s="203"/>
      <c r="BN67" s="53"/>
      <c r="BO67" s="196">
        <v>29000</v>
      </c>
      <c r="BP67" s="239">
        <v>30936</v>
      </c>
      <c r="BQ67" s="239">
        <v>33919</v>
      </c>
      <c r="BR67" s="286">
        <v>35039</v>
      </c>
      <c r="BS67" s="286">
        <v>36412</v>
      </c>
      <c r="BT67" s="239">
        <v>36800</v>
      </c>
      <c r="BU67" s="239">
        <v>36940</v>
      </c>
      <c r="BV67" s="286">
        <v>39478</v>
      </c>
      <c r="BW67" s="286">
        <v>41272</v>
      </c>
      <c r="BX67" s="239">
        <v>41355</v>
      </c>
      <c r="BY67" s="239"/>
      <c r="BZ67" s="544">
        <f>(Tableau2[[#This Row],[juin-24]]-Tableau2[[#This Row],[avr-24]])/Tableau2[[#This Row],[avr-24]]</f>
        <v>2.0110486528396978E-3</v>
      </c>
      <c r="CA67" s="548">
        <f>Tableau2[[#This Row],[juin-24]]-Tableau2[[#This Row],[avr-24]]</f>
        <v>83</v>
      </c>
      <c r="CB67" s="13"/>
    </row>
    <row r="68" spans="1:81" x14ac:dyDescent="0.3">
      <c r="A68" s="74">
        <v>35</v>
      </c>
      <c r="B68" s="61" t="s">
        <v>180</v>
      </c>
      <c r="C68" s="56"/>
      <c r="D68" s="56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>
        <v>23365</v>
      </c>
      <c r="BC68" s="69">
        <v>23630</v>
      </c>
      <c r="BD68" s="69">
        <v>23782</v>
      </c>
      <c r="BE68" s="69">
        <v>24083</v>
      </c>
      <c r="BF68" s="69">
        <v>24261</v>
      </c>
      <c r="BG68" s="69">
        <v>25577</v>
      </c>
      <c r="BH68" s="69">
        <v>26349</v>
      </c>
      <c r="BI68" s="69">
        <v>26760</v>
      </c>
      <c r="BJ68" s="69">
        <v>27075</v>
      </c>
      <c r="BK68" s="69">
        <v>27240</v>
      </c>
      <c r="BL68" s="195">
        <v>35173</v>
      </c>
      <c r="BM68" s="203"/>
      <c r="BN68" s="53"/>
      <c r="BO68" s="195">
        <v>35500</v>
      </c>
      <c r="BP68" s="238">
        <v>35632</v>
      </c>
      <c r="BQ68" s="238">
        <v>35446</v>
      </c>
      <c r="BR68" s="190">
        <v>35167</v>
      </c>
      <c r="BS68" s="190">
        <v>35122</v>
      </c>
      <c r="BT68" s="238">
        <v>35000</v>
      </c>
      <c r="BU68" s="238">
        <v>34900</v>
      </c>
      <c r="BV68" s="190">
        <v>34200</v>
      </c>
      <c r="BW68" s="190">
        <v>35351</v>
      </c>
      <c r="BX68" s="238">
        <v>35252</v>
      </c>
      <c r="BY68" s="238"/>
      <c r="BZ68" s="543">
        <f>(Tableau2[[#This Row],[juin-24]]-Tableau2[[#This Row],[avr-24]])/Tableau2[[#This Row],[avr-24]]</f>
        <v>-2.8004865491782411E-3</v>
      </c>
      <c r="CA68" s="548">
        <f>Tableau2[[#This Row],[juin-24]]-Tableau2[[#This Row],[avr-24]]</f>
        <v>-99</v>
      </c>
      <c r="CB68" s="14"/>
    </row>
    <row r="69" spans="1:81" x14ac:dyDescent="0.3">
      <c r="A69" s="68">
        <v>25</v>
      </c>
      <c r="B69" s="61" t="s">
        <v>27</v>
      </c>
      <c r="C69" s="56" t="s">
        <v>59</v>
      </c>
      <c r="D69" s="56" t="s">
        <v>49</v>
      </c>
      <c r="E69" s="69">
        <v>1061</v>
      </c>
      <c r="F69" s="69">
        <v>1138</v>
      </c>
      <c r="G69" s="69">
        <v>1257</v>
      </c>
      <c r="H69" s="69">
        <v>1317</v>
      </c>
      <c r="I69" s="69">
        <v>1436</v>
      </c>
      <c r="J69" s="69">
        <v>4876</v>
      </c>
      <c r="K69" s="69">
        <v>5077</v>
      </c>
      <c r="L69" s="69">
        <v>5148</v>
      </c>
      <c r="M69" s="69">
        <v>5176</v>
      </c>
      <c r="N69" s="69">
        <v>5252</v>
      </c>
      <c r="O69" s="69">
        <v>5345</v>
      </c>
      <c r="P69" s="69">
        <v>5419</v>
      </c>
      <c r="Q69" s="69">
        <v>5538</v>
      </c>
      <c r="R69" s="69">
        <v>5742</v>
      </c>
      <c r="S69" s="69">
        <v>5997</v>
      </c>
      <c r="T69" s="69">
        <v>6197</v>
      </c>
      <c r="U69" s="69">
        <v>6671</v>
      </c>
      <c r="V69" s="69">
        <v>10137</v>
      </c>
      <c r="W69" s="69">
        <v>10631</v>
      </c>
      <c r="X69" s="69">
        <v>10745</v>
      </c>
      <c r="Y69" s="69">
        <v>10795</v>
      </c>
      <c r="Z69" s="69">
        <v>10910</v>
      </c>
      <c r="AA69" s="69">
        <v>10999</v>
      </c>
      <c r="AB69" s="69">
        <v>11401</v>
      </c>
      <c r="AC69" s="69">
        <v>11625</v>
      </c>
      <c r="AD69" s="69">
        <v>11980</v>
      </c>
      <c r="AE69" s="69">
        <v>12551</v>
      </c>
      <c r="AF69" s="69">
        <v>12827</v>
      </c>
      <c r="AG69" s="69">
        <v>13062</v>
      </c>
      <c r="AH69" s="69">
        <v>15048</v>
      </c>
      <c r="AI69" s="69">
        <v>15257</v>
      </c>
      <c r="AJ69" s="69">
        <v>15356</v>
      </c>
      <c r="AK69" s="69">
        <v>15360</v>
      </c>
      <c r="AL69" s="69">
        <v>15364</v>
      </c>
      <c r="AM69" s="69">
        <v>15350</v>
      </c>
      <c r="AN69" s="69">
        <v>15377</v>
      </c>
      <c r="AO69" s="69">
        <v>15452</v>
      </c>
      <c r="AP69" s="69">
        <v>15725</v>
      </c>
      <c r="AQ69" s="69">
        <v>16007</v>
      </c>
      <c r="AR69" s="69">
        <v>16394</v>
      </c>
      <c r="AS69" s="69">
        <v>16635</v>
      </c>
      <c r="AT69" s="69">
        <v>19018</v>
      </c>
      <c r="AU69" s="69">
        <v>19119</v>
      </c>
      <c r="AV69" s="69">
        <v>19118</v>
      </c>
      <c r="AW69" s="69">
        <v>19110</v>
      </c>
      <c r="AX69" s="69">
        <v>19100</v>
      </c>
      <c r="AY69" s="69">
        <v>19091</v>
      </c>
      <c r="AZ69" s="69">
        <v>19126</v>
      </c>
      <c r="BA69" s="69">
        <v>19194</v>
      </c>
      <c r="BB69" s="69">
        <v>19275</v>
      </c>
      <c r="BC69" s="69">
        <v>19375</v>
      </c>
      <c r="BD69" s="69">
        <v>19550</v>
      </c>
      <c r="BE69" s="69">
        <v>19820</v>
      </c>
      <c r="BF69" s="69">
        <v>22369</v>
      </c>
      <c r="BG69" s="69">
        <v>22441</v>
      </c>
      <c r="BH69" s="69">
        <v>22585</v>
      </c>
      <c r="BI69" s="69">
        <v>22583</v>
      </c>
      <c r="BJ69" s="69">
        <v>22594</v>
      </c>
      <c r="BK69" s="69">
        <v>22572</v>
      </c>
      <c r="BL69" s="195">
        <v>26699</v>
      </c>
      <c r="BM69" s="203"/>
      <c r="BN69" s="53"/>
      <c r="BO69" s="195">
        <v>23500</v>
      </c>
      <c r="BP69" s="238">
        <v>23587</v>
      </c>
      <c r="BQ69" s="238">
        <v>27800</v>
      </c>
      <c r="BR69" s="190">
        <v>27817</v>
      </c>
      <c r="BS69" s="190">
        <v>27954</v>
      </c>
      <c r="BT69" s="238">
        <v>29600</v>
      </c>
      <c r="BU69" s="238">
        <v>29318</v>
      </c>
      <c r="BV69" s="190">
        <v>32100</v>
      </c>
      <c r="BW69" s="190">
        <v>32065</v>
      </c>
      <c r="BX69" s="238">
        <v>33174</v>
      </c>
      <c r="BY69" s="238"/>
      <c r="BZ69" s="543">
        <f>(Tableau2[[#This Row],[juin-24]]-Tableau2[[#This Row],[avr-24]])/Tableau2[[#This Row],[avr-24]]</f>
        <v>3.4585997193201309E-2</v>
      </c>
      <c r="CA69" s="548">
        <f>Tableau2[[#This Row],[juin-24]]-Tableau2[[#This Row],[avr-24]]</f>
        <v>1109</v>
      </c>
      <c r="CB69" s="14"/>
    </row>
    <row r="70" spans="1:81" x14ac:dyDescent="0.3">
      <c r="A70" s="67">
        <v>29</v>
      </c>
      <c r="B70" s="137" t="s">
        <v>24</v>
      </c>
      <c r="C70" s="136" t="s">
        <v>59</v>
      </c>
      <c r="D70" s="136" t="s">
        <v>50</v>
      </c>
      <c r="E70" s="138">
        <v>3542</v>
      </c>
      <c r="F70" s="138">
        <v>3873</v>
      </c>
      <c r="G70" s="138">
        <v>4642</v>
      </c>
      <c r="H70" s="138">
        <v>6820</v>
      </c>
      <c r="I70" s="138">
        <v>7007</v>
      </c>
      <c r="J70" s="138">
        <v>7281</v>
      </c>
      <c r="K70" s="138">
        <v>7609</v>
      </c>
      <c r="L70" s="138">
        <v>7775</v>
      </c>
      <c r="M70" s="138">
        <v>7771</v>
      </c>
      <c r="N70" s="138">
        <v>7755</v>
      </c>
      <c r="O70" s="138">
        <v>7904</v>
      </c>
      <c r="P70" s="138">
        <v>8095</v>
      </c>
      <c r="Q70" s="138">
        <v>8449</v>
      </c>
      <c r="R70" s="138">
        <v>9187</v>
      </c>
      <c r="S70" s="138">
        <v>10474</v>
      </c>
      <c r="T70" s="138">
        <v>12304</v>
      </c>
      <c r="U70" s="138">
        <v>12438</v>
      </c>
      <c r="V70" s="138">
        <v>12761</v>
      </c>
      <c r="W70" s="138">
        <v>12850</v>
      </c>
      <c r="X70" s="138">
        <v>12805</v>
      </c>
      <c r="Y70" s="138">
        <v>12765</v>
      </c>
      <c r="Z70" s="138">
        <v>12732</v>
      </c>
      <c r="AA70" s="138">
        <v>12754</v>
      </c>
      <c r="AB70" s="138">
        <v>12880</v>
      </c>
      <c r="AC70" s="138">
        <v>13114</v>
      </c>
      <c r="AD70" s="138">
        <v>13658</v>
      </c>
      <c r="AE70" s="138">
        <v>14638</v>
      </c>
      <c r="AF70" s="138">
        <v>15992</v>
      </c>
      <c r="AG70" s="138">
        <v>16076</v>
      </c>
      <c r="AH70" s="138">
        <v>16381</v>
      </c>
      <c r="AI70" s="138">
        <v>16586</v>
      </c>
      <c r="AJ70" s="138">
        <v>16612</v>
      </c>
      <c r="AK70" s="138">
        <v>16557</v>
      </c>
      <c r="AL70" s="138">
        <v>16514</v>
      </c>
      <c r="AM70" s="138">
        <v>16466</v>
      </c>
      <c r="AN70" s="138">
        <v>16647</v>
      </c>
      <c r="AO70" s="138">
        <v>16818</v>
      </c>
      <c r="AP70" s="138">
        <v>17220</v>
      </c>
      <c r="AQ70" s="138">
        <v>18304</v>
      </c>
      <c r="AR70" s="138">
        <v>19883</v>
      </c>
      <c r="AS70" s="138">
        <v>19853</v>
      </c>
      <c r="AT70" s="138">
        <v>19995</v>
      </c>
      <c r="AU70" s="138">
        <v>20057</v>
      </c>
      <c r="AV70" s="138">
        <v>19916</v>
      </c>
      <c r="AW70" s="138">
        <v>19936</v>
      </c>
      <c r="AX70" s="138">
        <v>20015</v>
      </c>
      <c r="AY70" s="138">
        <v>19996</v>
      </c>
      <c r="AZ70" s="138">
        <v>19982</v>
      </c>
      <c r="BA70" s="138">
        <v>20122</v>
      </c>
      <c r="BB70" s="138">
        <v>20309</v>
      </c>
      <c r="BC70" s="138">
        <v>20670</v>
      </c>
      <c r="BD70" s="138">
        <v>21982</v>
      </c>
      <c r="BE70" s="138">
        <v>22017</v>
      </c>
      <c r="BF70" s="138">
        <v>22136</v>
      </c>
      <c r="BG70" s="138">
        <v>22218</v>
      </c>
      <c r="BH70" s="138">
        <v>22336</v>
      </c>
      <c r="BI70" s="138">
        <v>22337</v>
      </c>
      <c r="BJ70" s="138">
        <v>22327</v>
      </c>
      <c r="BK70" s="138">
        <v>22296</v>
      </c>
      <c r="BL70" s="196">
        <v>22402</v>
      </c>
      <c r="BM70" s="203"/>
      <c r="BN70" s="53"/>
      <c r="BO70" s="196">
        <v>23300</v>
      </c>
      <c r="BP70" s="239">
        <v>24557</v>
      </c>
      <c r="BQ70" s="239">
        <v>26958</v>
      </c>
      <c r="BR70" s="286">
        <v>27603</v>
      </c>
      <c r="BS70" s="286">
        <v>28526</v>
      </c>
      <c r="BT70" s="239">
        <v>28700</v>
      </c>
      <c r="BU70" s="239">
        <v>28504</v>
      </c>
      <c r="BV70" s="286">
        <v>29762</v>
      </c>
      <c r="BW70" s="286">
        <v>30390</v>
      </c>
      <c r="BX70" s="239">
        <v>30383</v>
      </c>
      <c r="BY70" s="239"/>
      <c r="BZ70" s="544">
        <f>(Tableau2[[#This Row],[juin-24]]-Tableau2[[#This Row],[avr-24]])/Tableau2[[#This Row],[avr-24]]</f>
        <v>-2.303389272787101E-4</v>
      </c>
      <c r="CA70" s="548">
        <f>Tableau2[[#This Row],[juin-24]]-Tableau2[[#This Row],[avr-24]]</f>
        <v>-7</v>
      </c>
      <c r="CB70" s="14"/>
    </row>
    <row r="71" spans="1:81" s="12" customFormat="1" x14ac:dyDescent="0.3">
      <c r="A71" s="68">
        <v>37</v>
      </c>
      <c r="B71" s="61" t="s">
        <v>62</v>
      </c>
      <c r="C71" s="56" t="s">
        <v>59</v>
      </c>
      <c r="D71" s="56" t="s">
        <v>50</v>
      </c>
      <c r="E71" s="69">
        <v>4524</v>
      </c>
      <c r="F71" s="69">
        <v>4978</v>
      </c>
      <c r="G71" s="69">
        <v>6948</v>
      </c>
      <c r="H71" s="69">
        <v>7608</v>
      </c>
      <c r="I71" s="69">
        <v>7641</v>
      </c>
      <c r="J71" s="69">
        <v>7692</v>
      </c>
      <c r="K71" s="69">
        <v>7744</v>
      </c>
      <c r="L71" s="69">
        <v>7836</v>
      </c>
      <c r="M71" s="69">
        <v>7856</v>
      </c>
      <c r="N71" s="69">
        <v>7940</v>
      </c>
      <c r="O71" s="69">
        <v>8017</v>
      </c>
      <c r="P71" s="69">
        <v>8134</v>
      </c>
      <c r="Q71" s="69">
        <v>8350</v>
      </c>
      <c r="R71" s="69">
        <v>8994</v>
      </c>
      <c r="S71" s="69">
        <v>10942</v>
      </c>
      <c r="T71" s="69">
        <v>11407</v>
      </c>
      <c r="U71" s="69">
        <v>11481</v>
      </c>
      <c r="V71" s="69">
        <v>11668</v>
      </c>
      <c r="W71" s="69">
        <v>11757</v>
      </c>
      <c r="X71" s="69">
        <v>11786</v>
      </c>
      <c r="Y71" s="69">
        <v>11856</v>
      </c>
      <c r="Z71" s="69">
        <v>11866</v>
      </c>
      <c r="AA71" s="69">
        <v>11950</v>
      </c>
      <c r="AB71" s="69">
        <v>12029</v>
      </c>
      <c r="AC71" s="69">
        <v>12231</v>
      </c>
      <c r="AD71" s="69">
        <v>12764</v>
      </c>
      <c r="AE71" s="69">
        <v>14211</v>
      </c>
      <c r="AF71" s="69">
        <v>14499</v>
      </c>
      <c r="AG71" s="69">
        <v>14552</v>
      </c>
      <c r="AH71" s="69">
        <v>14651</v>
      </c>
      <c r="AI71" s="69">
        <v>14731</v>
      </c>
      <c r="AJ71" s="69">
        <v>14797</v>
      </c>
      <c r="AK71" s="69">
        <v>14846</v>
      </c>
      <c r="AL71" s="69">
        <v>14894</v>
      </c>
      <c r="AM71" s="69">
        <v>14931</v>
      </c>
      <c r="AN71" s="69">
        <v>15016</v>
      </c>
      <c r="AO71" s="69">
        <v>15164</v>
      </c>
      <c r="AP71" s="69">
        <v>15621</v>
      </c>
      <c r="AQ71" s="69">
        <v>17085</v>
      </c>
      <c r="AR71" s="69">
        <v>17649</v>
      </c>
      <c r="AS71" s="69">
        <v>17658</v>
      </c>
      <c r="AT71" s="69">
        <v>17719</v>
      </c>
      <c r="AU71" s="69">
        <v>17776</v>
      </c>
      <c r="AV71" s="69">
        <v>17787</v>
      </c>
      <c r="AW71" s="69">
        <v>17817</v>
      </c>
      <c r="AX71" s="69">
        <v>17882</v>
      </c>
      <c r="AY71" s="69">
        <v>17895</v>
      </c>
      <c r="AZ71" s="69">
        <v>17966</v>
      </c>
      <c r="BA71" s="69">
        <v>18097</v>
      </c>
      <c r="BB71" s="69">
        <v>18385</v>
      </c>
      <c r="BC71" s="69">
        <v>19555</v>
      </c>
      <c r="BD71" s="69">
        <v>20245</v>
      </c>
      <c r="BE71" s="69">
        <v>20265</v>
      </c>
      <c r="BF71" s="69">
        <v>20318</v>
      </c>
      <c r="BG71" s="69">
        <v>20378</v>
      </c>
      <c r="BH71" s="69">
        <v>20444</v>
      </c>
      <c r="BI71" s="69">
        <v>20458</v>
      </c>
      <c r="BJ71" s="69">
        <v>20476</v>
      </c>
      <c r="BK71" s="69">
        <v>20499</v>
      </c>
      <c r="BL71" s="195">
        <v>20690</v>
      </c>
      <c r="BM71" s="203"/>
      <c r="BN71" s="53"/>
      <c r="BO71" s="195">
        <v>21200</v>
      </c>
      <c r="BP71" s="238">
        <v>22152</v>
      </c>
      <c r="BQ71" s="238">
        <v>23701</v>
      </c>
      <c r="BR71" s="190">
        <v>24229</v>
      </c>
      <c r="BS71" s="190">
        <v>25102</v>
      </c>
      <c r="BT71" s="238">
        <v>25200</v>
      </c>
      <c r="BU71" s="238">
        <v>25021</v>
      </c>
      <c r="BV71" s="190">
        <v>25800</v>
      </c>
      <c r="BW71" s="190">
        <v>26257</v>
      </c>
      <c r="BX71" s="238">
        <v>26226</v>
      </c>
      <c r="BY71" s="238"/>
      <c r="BZ71" s="543">
        <f>(Tableau2[[#This Row],[juin-24]]-Tableau2[[#This Row],[avr-24]])/Tableau2[[#This Row],[avr-24]]</f>
        <v>-1.1806375442739079E-3</v>
      </c>
      <c r="CA71" s="548">
        <f>Tableau2[[#This Row],[juin-24]]-Tableau2[[#This Row],[avr-24]]</f>
        <v>-31</v>
      </c>
      <c r="CB71" s="13"/>
    </row>
    <row r="72" spans="1:81" x14ac:dyDescent="0.3">
      <c r="A72" s="68">
        <v>12</v>
      </c>
      <c r="B72" s="61" t="s">
        <v>111</v>
      </c>
      <c r="C72" s="56" t="s">
        <v>59</v>
      </c>
      <c r="D72" s="56" t="s">
        <v>49</v>
      </c>
      <c r="E72" s="69">
        <v>7979</v>
      </c>
      <c r="F72" s="69">
        <v>8112</v>
      </c>
      <c r="G72" s="69">
        <v>8267</v>
      </c>
      <c r="H72" s="69">
        <v>8362</v>
      </c>
      <c r="I72" s="69">
        <v>8489</v>
      </c>
      <c r="J72" s="69">
        <v>8603</v>
      </c>
      <c r="K72" s="69">
        <v>9744</v>
      </c>
      <c r="L72" s="69">
        <v>10533</v>
      </c>
      <c r="M72" s="69">
        <v>10533</v>
      </c>
      <c r="N72" s="69">
        <v>10530</v>
      </c>
      <c r="O72" s="69">
        <v>10526</v>
      </c>
      <c r="P72" s="69">
        <v>10552</v>
      </c>
      <c r="Q72" s="69">
        <v>10653</v>
      </c>
      <c r="R72" s="69">
        <v>10772</v>
      </c>
      <c r="S72" s="69">
        <v>10909</v>
      </c>
      <c r="T72" s="69">
        <v>11084</v>
      </c>
      <c r="U72" s="69">
        <v>11180</v>
      </c>
      <c r="V72" s="69">
        <v>11376</v>
      </c>
      <c r="W72" s="69">
        <v>12760</v>
      </c>
      <c r="X72" s="69">
        <v>12893</v>
      </c>
      <c r="Y72" s="69">
        <v>13055</v>
      </c>
      <c r="Z72" s="69">
        <v>13109</v>
      </c>
      <c r="AA72" s="69">
        <v>13161</v>
      </c>
      <c r="AB72" s="69">
        <v>13200</v>
      </c>
      <c r="AC72" s="69">
        <v>13284</v>
      </c>
      <c r="AD72" s="69">
        <v>13404</v>
      </c>
      <c r="AE72" s="69">
        <v>13584</v>
      </c>
      <c r="AF72" s="69">
        <v>13682</v>
      </c>
      <c r="AG72" s="69">
        <v>13725</v>
      </c>
      <c r="AH72" s="69">
        <v>13814</v>
      </c>
      <c r="AI72" s="69">
        <v>15873</v>
      </c>
      <c r="AJ72" s="69">
        <v>16437</v>
      </c>
      <c r="AK72" s="69">
        <v>16440</v>
      </c>
      <c r="AL72" s="69">
        <v>16393</v>
      </c>
      <c r="AM72" s="69">
        <v>16351</v>
      </c>
      <c r="AN72" s="69">
        <v>16324</v>
      </c>
      <c r="AO72" s="69">
        <v>16342</v>
      </c>
      <c r="AP72" s="69">
        <v>16446</v>
      </c>
      <c r="AQ72" s="69">
        <v>16600</v>
      </c>
      <c r="AR72" s="69">
        <v>16717</v>
      </c>
      <c r="AS72" s="69">
        <v>16736</v>
      </c>
      <c r="AT72" s="69">
        <v>16799</v>
      </c>
      <c r="AU72" s="69">
        <v>16912</v>
      </c>
      <c r="AV72" s="69">
        <v>18363</v>
      </c>
      <c r="AW72" s="69">
        <v>18345</v>
      </c>
      <c r="AX72" s="69">
        <v>18361</v>
      </c>
      <c r="AY72" s="69">
        <v>18269</v>
      </c>
      <c r="AZ72" s="69">
        <v>18252</v>
      </c>
      <c r="BA72" s="69">
        <v>18245</v>
      </c>
      <c r="BB72" s="69">
        <v>18273</v>
      </c>
      <c r="BC72" s="69">
        <v>18265</v>
      </c>
      <c r="BD72" s="69">
        <v>18308</v>
      </c>
      <c r="BE72" s="69">
        <v>18308</v>
      </c>
      <c r="BF72" s="69">
        <v>18318</v>
      </c>
      <c r="BG72" s="69">
        <v>18416</v>
      </c>
      <c r="BH72" s="69">
        <v>20489</v>
      </c>
      <c r="BI72" s="69">
        <v>20457</v>
      </c>
      <c r="BJ72" s="69">
        <v>20452</v>
      </c>
      <c r="BK72" s="69">
        <v>20417</v>
      </c>
      <c r="BL72" s="195">
        <v>20326</v>
      </c>
      <c r="BM72" s="203"/>
      <c r="BN72" s="53"/>
      <c r="BO72" s="195">
        <v>23500</v>
      </c>
      <c r="BP72" s="238">
        <v>23515</v>
      </c>
      <c r="BQ72" s="238">
        <v>24272</v>
      </c>
      <c r="BR72" s="190">
        <v>24139</v>
      </c>
      <c r="BS72" s="190">
        <v>24139</v>
      </c>
      <c r="BT72" s="238">
        <v>25300</v>
      </c>
      <c r="BU72" s="238">
        <v>25100</v>
      </c>
      <c r="BV72" s="190">
        <v>26300</v>
      </c>
      <c r="BW72" s="190">
        <v>26112</v>
      </c>
      <c r="BX72" s="238">
        <v>26094</v>
      </c>
      <c r="BY72" s="238"/>
      <c r="BZ72" s="544">
        <f>(Tableau2[[#This Row],[juin-24]]-Tableau2[[#This Row],[avr-24]])/Tableau2[[#This Row],[avr-24]]</f>
        <v>-6.8933823529411769E-4</v>
      </c>
      <c r="CA72" s="548">
        <f>Tableau2[[#This Row],[juin-24]]-Tableau2[[#This Row],[avr-24]]</f>
        <v>-18</v>
      </c>
      <c r="CB72" s="14"/>
    </row>
    <row r="73" spans="1:81" s="12" customFormat="1" x14ac:dyDescent="0.3">
      <c r="A73" s="68">
        <v>38</v>
      </c>
      <c r="B73" s="61" t="s">
        <v>26</v>
      </c>
      <c r="C73" s="56" t="s">
        <v>59</v>
      </c>
      <c r="D73" s="56" t="s">
        <v>49</v>
      </c>
      <c r="E73" s="69">
        <v>6152</v>
      </c>
      <c r="F73" s="69">
        <v>6358</v>
      </c>
      <c r="G73" s="69">
        <v>6600</v>
      </c>
      <c r="H73" s="69">
        <v>8034</v>
      </c>
      <c r="I73" s="69">
        <v>8400</v>
      </c>
      <c r="J73" s="69">
        <v>8692</v>
      </c>
      <c r="K73" s="69">
        <v>8833</v>
      </c>
      <c r="L73" s="69">
        <v>8973</v>
      </c>
      <c r="M73" s="69">
        <v>8985</v>
      </c>
      <c r="N73" s="69">
        <v>9030</v>
      </c>
      <c r="O73" s="69">
        <v>9079</v>
      </c>
      <c r="P73" s="69">
        <v>9174</v>
      </c>
      <c r="Q73" s="69">
        <v>9385</v>
      </c>
      <c r="R73" s="69">
        <v>9695</v>
      </c>
      <c r="S73" s="69">
        <v>10375</v>
      </c>
      <c r="T73" s="69">
        <v>12723</v>
      </c>
      <c r="U73" s="69">
        <v>12777</v>
      </c>
      <c r="V73" s="69">
        <v>13069</v>
      </c>
      <c r="W73" s="69">
        <v>13224</v>
      </c>
      <c r="X73" s="69">
        <v>13259</v>
      </c>
      <c r="Y73" s="69">
        <v>13453</v>
      </c>
      <c r="Z73" s="69">
        <v>13513</v>
      </c>
      <c r="AA73" s="69">
        <v>13542</v>
      </c>
      <c r="AB73" s="69">
        <v>13590</v>
      </c>
      <c r="AC73" s="69">
        <v>13721</v>
      </c>
      <c r="AD73" s="69">
        <v>13725</v>
      </c>
      <c r="AE73" s="69">
        <v>14361</v>
      </c>
      <c r="AF73" s="69">
        <v>15988</v>
      </c>
      <c r="AG73" s="69">
        <v>16055</v>
      </c>
      <c r="AH73" s="69">
        <v>16292</v>
      </c>
      <c r="AI73" s="69">
        <v>16275</v>
      </c>
      <c r="AJ73" s="69">
        <v>16219</v>
      </c>
      <c r="AK73" s="69">
        <v>16163</v>
      </c>
      <c r="AL73" s="69">
        <v>16121</v>
      </c>
      <c r="AM73" s="69">
        <v>16084</v>
      </c>
      <c r="AN73" s="69">
        <v>16029</v>
      </c>
      <c r="AO73" s="69">
        <v>16000</v>
      </c>
      <c r="AP73" s="69">
        <v>15974</v>
      </c>
      <c r="AQ73" s="69">
        <v>16068</v>
      </c>
      <c r="AR73" s="69">
        <v>17929</v>
      </c>
      <c r="AS73" s="69">
        <v>17850</v>
      </c>
      <c r="AT73" s="69">
        <v>18000</v>
      </c>
      <c r="AU73" s="69">
        <v>17976</v>
      </c>
      <c r="AV73" s="69">
        <v>18215</v>
      </c>
      <c r="AW73" s="69">
        <v>18271</v>
      </c>
      <c r="AX73" s="69">
        <v>18326</v>
      </c>
      <c r="AY73" s="69">
        <v>18275</v>
      </c>
      <c r="AZ73" s="69">
        <v>18280</v>
      </c>
      <c r="BA73" s="69">
        <v>18327</v>
      </c>
      <c r="BB73" s="69">
        <v>18352</v>
      </c>
      <c r="BC73" s="69">
        <v>18755</v>
      </c>
      <c r="BD73" s="69">
        <v>19158</v>
      </c>
      <c r="BE73" s="69">
        <v>19886</v>
      </c>
      <c r="BF73" s="69">
        <v>19997</v>
      </c>
      <c r="BG73" s="69">
        <v>19967</v>
      </c>
      <c r="BH73" s="69">
        <v>19927</v>
      </c>
      <c r="BI73" s="69">
        <v>19917</v>
      </c>
      <c r="BJ73" s="69">
        <v>19919</v>
      </c>
      <c r="BK73" s="69">
        <v>19891</v>
      </c>
      <c r="BL73" s="195">
        <v>19952</v>
      </c>
      <c r="BM73" s="203"/>
      <c r="BN73" s="53"/>
      <c r="BO73" s="195">
        <v>20200</v>
      </c>
      <c r="BP73" s="238">
        <v>20289</v>
      </c>
      <c r="BQ73" s="238">
        <v>22349</v>
      </c>
      <c r="BR73" s="190">
        <v>22490</v>
      </c>
      <c r="BS73" s="190">
        <v>23416</v>
      </c>
      <c r="BT73" s="238">
        <v>23500</v>
      </c>
      <c r="BU73" s="238">
        <v>23526</v>
      </c>
      <c r="BV73" s="190">
        <v>24200</v>
      </c>
      <c r="BW73" s="190">
        <v>24094</v>
      </c>
      <c r="BX73" s="238">
        <v>24498</v>
      </c>
      <c r="BY73" s="238"/>
      <c r="BZ73" s="543">
        <f>(Tableau2[[#This Row],[juin-24]]-Tableau2[[#This Row],[avr-24]])/Tableau2[[#This Row],[avr-24]]</f>
        <v>1.6767659998339835E-2</v>
      </c>
      <c r="CA73" s="548">
        <f>Tableau2[[#This Row],[juin-24]]-Tableau2[[#This Row],[avr-24]]</f>
        <v>404</v>
      </c>
      <c r="CB73" s="13"/>
      <c r="CC73" s="9"/>
    </row>
    <row r="74" spans="1:81" s="12" customFormat="1" x14ac:dyDescent="0.3">
      <c r="A74" s="74">
        <v>36</v>
      </c>
      <c r="B74" s="61" t="s">
        <v>43</v>
      </c>
      <c r="C74" s="56" t="s">
        <v>45</v>
      </c>
      <c r="D74" s="56" t="s">
        <v>49</v>
      </c>
      <c r="E74" s="69">
        <v>26714</v>
      </c>
      <c r="F74" s="69">
        <v>26849</v>
      </c>
      <c r="G74" s="69">
        <v>26981</v>
      </c>
      <c r="H74" s="69">
        <v>27209</v>
      </c>
      <c r="I74" s="69">
        <v>27522</v>
      </c>
      <c r="J74" s="69">
        <v>27745</v>
      </c>
      <c r="K74" s="69">
        <v>28162</v>
      </c>
      <c r="L74" s="69">
        <v>29756</v>
      </c>
      <c r="M74" s="69">
        <v>29815</v>
      </c>
      <c r="N74" s="69">
        <v>29857</v>
      </c>
      <c r="O74" s="69">
        <v>29830</v>
      </c>
      <c r="P74" s="69">
        <v>29745</v>
      </c>
      <c r="Q74" s="69">
        <v>29683</v>
      </c>
      <c r="R74" s="69">
        <v>29577</v>
      </c>
      <c r="S74" s="69">
        <v>29490</v>
      </c>
      <c r="T74" s="69">
        <v>29397</v>
      </c>
      <c r="U74" s="69">
        <v>29334</v>
      </c>
      <c r="V74" s="69">
        <v>29269</v>
      </c>
      <c r="W74" s="69">
        <v>29137</v>
      </c>
      <c r="X74" s="69">
        <v>29045</v>
      </c>
      <c r="Y74" s="69">
        <v>28947</v>
      </c>
      <c r="Z74" s="69">
        <v>28842</v>
      </c>
      <c r="AA74" s="69">
        <v>28713</v>
      </c>
      <c r="AB74" s="69">
        <v>28590</v>
      </c>
      <c r="AC74" s="69">
        <v>28406</v>
      </c>
      <c r="AD74" s="69">
        <v>28309</v>
      </c>
      <c r="AE74" s="69">
        <v>28211</v>
      </c>
      <c r="AF74" s="69">
        <v>28144</v>
      </c>
      <c r="AG74" s="69">
        <v>28085</v>
      </c>
      <c r="AH74" s="69">
        <v>28039</v>
      </c>
      <c r="AI74" s="69">
        <v>28092</v>
      </c>
      <c r="AJ74" s="69">
        <v>28115</v>
      </c>
      <c r="AK74" s="69">
        <v>28018</v>
      </c>
      <c r="AL74" s="69">
        <v>27913</v>
      </c>
      <c r="AM74" s="69">
        <v>27842</v>
      </c>
      <c r="AN74" s="69">
        <v>27736</v>
      </c>
      <c r="AO74" s="69">
        <v>27658</v>
      </c>
      <c r="AP74" s="69">
        <v>27568</v>
      </c>
      <c r="AQ74" s="69">
        <v>27473</v>
      </c>
      <c r="AR74" s="69">
        <v>27394</v>
      </c>
      <c r="AS74" s="69">
        <v>27296</v>
      </c>
      <c r="AT74" s="69">
        <v>27239</v>
      </c>
      <c r="AU74" s="69">
        <v>26601</v>
      </c>
      <c r="AV74" s="69">
        <v>26503</v>
      </c>
      <c r="AW74" s="69">
        <v>26430</v>
      </c>
      <c r="AX74" s="69">
        <v>26488</v>
      </c>
      <c r="AY74" s="69">
        <v>26283</v>
      </c>
      <c r="AZ74" s="69">
        <v>26233</v>
      </c>
      <c r="BA74" s="69">
        <v>26117</v>
      </c>
      <c r="BB74" s="69">
        <v>26045</v>
      </c>
      <c r="BC74" s="69">
        <v>26000</v>
      </c>
      <c r="BD74" s="69">
        <v>25952</v>
      </c>
      <c r="BE74" s="69">
        <v>25838</v>
      </c>
      <c r="BF74" s="69">
        <v>25767</v>
      </c>
      <c r="BG74" s="69">
        <v>25701</v>
      </c>
      <c r="BH74" s="69">
        <v>25635</v>
      </c>
      <c r="BI74" s="69">
        <v>25577</v>
      </c>
      <c r="BJ74" s="69">
        <v>25524</v>
      </c>
      <c r="BK74" s="69">
        <v>25464</v>
      </c>
      <c r="BL74" s="195">
        <v>25259</v>
      </c>
      <c r="BM74" s="203"/>
      <c r="BN74" s="53"/>
      <c r="BO74" s="195">
        <v>24500</v>
      </c>
      <c r="BP74" s="238">
        <v>24472</v>
      </c>
      <c r="BQ74" s="238">
        <v>23393</v>
      </c>
      <c r="BR74" s="190"/>
      <c r="BS74" s="190">
        <v>23092</v>
      </c>
      <c r="BT74" s="238">
        <v>22900</v>
      </c>
      <c r="BU74" s="238">
        <v>22401</v>
      </c>
      <c r="BV74" s="190">
        <v>21600</v>
      </c>
      <c r="BW74" s="190">
        <v>21354</v>
      </c>
      <c r="BX74" s="238">
        <v>21288</v>
      </c>
      <c r="BY74" s="238"/>
      <c r="BZ74" s="544">
        <f>(Tableau2[[#This Row],[juin-24]]-Tableau2[[#This Row],[avr-24]])/Tableau2[[#This Row],[avr-24]]</f>
        <v>-3.0907558302894073E-3</v>
      </c>
      <c r="CA74" s="548">
        <f>Tableau2[[#This Row],[juin-24]]-Tableau2[[#This Row],[avr-24]]</f>
        <v>-66</v>
      </c>
      <c r="CB74" s="14"/>
    </row>
    <row r="75" spans="1:81" s="12" customFormat="1" x14ac:dyDescent="0.3">
      <c r="A75" s="68"/>
      <c r="B75" s="61" t="s">
        <v>31</v>
      </c>
      <c r="C75" s="56" t="s">
        <v>59</v>
      </c>
      <c r="D75" s="56" t="s">
        <v>49</v>
      </c>
      <c r="E75" s="69">
        <v>2550</v>
      </c>
      <c r="F75" s="69">
        <v>2591</v>
      </c>
      <c r="G75" s="69">
        <v>2801</v>
      </c>
      <c r="H75" s="69">
        <v>3908</v>
      </c>
      <c r="I75" s="69">
        <v>3890</v>
      </c>
      <c r="J75" s="69">
        <v>3886</v>
      </c>
      <c r="K75" s="69">
        <v>3872</v>
      </c>
      <c r="L75" s="69">
        <v>3863</v>
      </c>
      <c r="M75" s="69">
        <v>3855</v>
      </c>
      <c r="N75" s="69">
        <v>3838</v>
      </c>
      <c r="O75" s="69">
        <v>3857</v>
      </c>
      <c r="P75" s="69">
        <v>3865</v>
      </c>
      <c r="Q75" s="69">
        <v>3870</v>
      </c>
      <c r="R75" s="69">
        <v>3879</v>
      </c>
      <c r="S75" s="69">
        <v>4166</v>
      </c>
      <c r="T75" s="69">
        <v>5528</v>
      </c>
      <c r="U75" s="69">
        <v>5494</v>
      </c>
      <c r="V75" s="69">
        <v>5473</v>
      </c>
      <c r="W75" s="69">
        <v>5459</v>
      </c>
      <c r="X75" s="69">
        <v>5440</v>
      </c>
      <c r="Y75" s="69">
        <v>5419</v>
      </c>
      <c r="Z75" s="69">
        <v>5420</v>
      </c>
      <c r="AA75" s="69">
        <v>5420</v>
      </c>
      <c r="AB75" s="69">
        <v>5424</v>
      </c>
      <c r="AC75" s="69">
        <v>5414</v>
      </c>
      <c r="AD75" s="69">
        <v>5429</v>
      </c>
      <c r="AE75" s="69">
        <v>6041</v>
      </c>
      <c r="AF75" s="69">
        <v>6987</v>
      </c>
      <c r="AG75" s="69">
        <v>6981</v>
      </c>
      <c r="AH75" s="69">
        <v>6947</v>
      </c>
      <c r="AI75" s="69">
        <v>6939</v>
      </c>
      <c r="AJ75" s="69">
        <v>6915</v>
      </c>
      <c r="AK75" s="69">
        <v>6889</v>
      </c>
      <c r="AL75" s="69">
        <v>6882</v>
      </c>
      <c r="AM75" s="69">
        <v>6867</v>
      </c>
      <c r="AN75" s="69">
        <v>6857</v>
      </c>
      <c r="AO75" s="69">
        <v>6840</v>
      </c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194"/>
      <c r="BM75" s="190"/>
      <c r="BN75" s="53"/>
      <c r="BO75" s="194"/>
      <c r="BP75" s="240"/>
      <c r="BQ75" s="240"/>
      <c r="BR75" s="190">
        <v>18682</v>
      </c>
      <c r="BS75" s="190">
        <v>21813</v>
      </c>
      <c r="BT75" s="238">
        <v>22100</v>
      </c>
      <c r="BU75" s="238">
        <v>22042</v>
      </c>
      <c r="BV75" s="190">
        <v>24800</v>
      </c>
      <c r="BW75" s="190">
        <v>28285</v>
      </c>
      <c r="BX75" s="238">
        <v>28219</v>
      </c>
      <c r="BY75" s="238"/>
      <c r="BZ75" s="543">
        <f>(Tableau2[[#This Row],[juin-24]]-Tableau2[[#This Row],[avr-24]])/Tableau2[[#This Row],[avr-24]]</f>
        <v>-2.333392257380237E-3</v>
      </c>
      <c r="CA75" s="548">
        <f>Tableau2[[#This Row],[juin-24]]-Tableau2[[#This Row],[avr-24]]</f>
        <v>-66</v>
      </c>
      <c r="CB75" s="14"/>
    </row>
    <row r="76" spans="1:81" s="12" customFormat="1" x14ac:dyDescent="0.3">
      <c r="A76" s="68"/>
      <c r="B76" s="61" t="s">
        <v>241</v>
      </c>
      <c r="C76" s="56" t="s">
        <v>59</v>
      </c>
      <c r="D76" s="56" t="s">
        <v>50</v>
      </c>
      <c r="E76" s="69">
        <v>7444</v>
      </c>
      <c r="F76" s="69">
        <v>7718</v>
      </c>
      <c r="G76" s="69">
        <v>8381</v>
      </c>
      <c r="H76" s="69">
        <v>8661</v>
      </c>
      <c r="I76" s="69">
        <v>8751</v>
      </c>
      <c r="J76" s="69">
        <v>8724</v>
      </c>
      <c r="K76" s="69">
        <v>8699</v>
      </c>
      <c r="L76" s="69">
        <v>8768</v>
      </c>
      <c r="M76" s="69">
        <v>9039</v>
      </c>
      <c r="N76" s="69">
        <v>9896</v>
      </c>
      <c r="O76" s="69">
        <v>9954</v>
      </c>
      <c r="P76" s="69">
        <v>9986</v>
      </c>
      <c r="Q76" s="69">
        <v>9983</v>
      </c>
      <c r="R76" s="69">
        <v>9985</v>
      </c>
      <c r="S76" s="69">
        <v>10001</v>
      </c>
      <c r="T76" s="69">
        <v>9996</v>
      </c>
      <c r="U76" s="69">
        <v>10000</v>
      </c>
      <c r="V76" s="69">
        <v>9996</v>
      </c>
      <c r="W76" s="69">
        <v>10048</v>
      </c>
      <c r="X76" s="69">
        <v>10153</v>
      </c>
      <c r="Y76" s="69">
        <v>11497</v>
      </c>
      <c r="Z76" s="69">
        <v>11553</v>
      </c>
      <c r="AA76" s="69">
        <v>11606</v>
      </c>
      <c r="AB76" s="69">
        <v>11617</v>
      </c>
      <c r="AC76" s="69">
        <v>11759</v>
      </c>
      <c r="AD76" s="69">
        <v>11894</v>
      </c>
      <c r="AE76" s="69">
        <v>12446</v>
      </c>
      <c r="AF76" s="69">
        <v>12668</v>
      </c>
      <c r="AG76" s="69">
        <v>12669</v>
      </c>
      <c r="AH76" s="69">
        <v>12645</v>
      </c>
      <c r="AI76" s="69">
        <v>12751</v>
      </c>
      <c r="AJ76" s="69">
        <v>12903</v>
      </c>
      <c r="AK76" s="69">
        <v>13132</v>
      </c>
      <c r="AL76" s="69">
        <v>13954</v>
      </c>
      <c r="AM76" s="69">
        <v>13960</v>
      </c>
      <c r="AN76" s="69">
        <v>13993</v>
      </c>
      <c r="AO76" s="69">
        <v>14054</v>
      </c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194"/>
      <c r="BM76" s="190"/>
      <c r="BN76" s="53"/>
      <c r="BO76" s="194"/>
      <c r="BP76" s="240"/>
      <c r="BQ76" s="240"/>
      <c r="BR76" s="286">
        <v>21531</v>
      </c>
      <c r="BS76" s="286">
        <v>21750</v>
      </c>
      <c r="BT76" s="239">
        <v>22100</v>
      </c>
      <c r="BU76" s="239">
        <v>22850</v>
      </c>
      <c r="BV76" s="286">
        <v>24407</v>
      </c>
      <c r="BW76" s="286">
        <v>25221</v>
      </c>
      <c r="BX76" s="239">
        <v>24145</v>
      </c>
      <c r="BY76" s="239"/>
      <c r="BZ76" s="544">
        <f>(Tableau2[[#This Row],[juin-24]]-Tableau2[[#This Row],[avr-24]])/Tableau2[[#This Row],[avr-24]]</f>
        <v>-4.2662860314817017E-2</v>
      </c>
      <c r="CA76" s="548">
        <f>Tableau2[[#This Row],[juin-24]]-Tableau2[[#This Row],[avr-24]]</f>
        <v>-1076</v>
      </c>
      <c r="CB76" s="13"/>
    </row>
    <row r="77" spans="1:81" s="12" customFormat="1" x14ac:dyDescent="0.3">
      <c r="A77" s="76"/>
      <c r="B77" s="61" t="s">
        <v>82</v>
      </c>
      <c r="C77" s="77" t="s">
        <v>59</v>
      </c>
      <c r="D77" s="77" t="s">
        <v>50</v>
      </c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>
        <v>10995</v>
      </c>
      <c r="AE77" s="78">
        <v>11399</v>
      </c>
      <c r="AF77" s="78">
        <v>11554</v>
      </c>
      <c r="AG77" s="78">
        <v>11573</v>
      </c>
      <c r="AH77" s="78">
        <v>11612</v>
      </c>
      <c r="AI77" s="78">
        <v>11677</v>
      </c>
      <c r="AJ77" s="78">
        <v>11729</v>
      </c>
      <c r="AK77" s="78">
        <v>11759</v>
      </c>
      <c r="AL77" s="78">
        <v>11797</v>
      </c>
      <c r="AM77" s="78">
        <v>11823</v>
      </c>
      <c r="AN77" s="78">
        <v>11913</v>
      </c>
      <c r="AO77" s="78">
        <v>12085</v>
      </c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194"/>
      <c r="BM77" s="190"/>
      <c r="BN77" s="53"/>
      <c r="BO77" s="194"/>
      <c r="BP77" s="240"/>
      <c r="BQ77" s="240"/>
      <c r="BR77" s="190">
        <v>20728</v>
      </c>
      <c r="BS77" s="190">
        <v>20925</v>
      </c>
      <c r="BT77" s="238">
        <v>20900</v>
      </c>
      <c r="BU77" s="238">
        <v>20809</v>
      </c>
      <c r="BV77" s="190">
        <v>21500</v>
      </c>
      <c r="BW77" s="190">
        <v>22039</v>
      </c>
      <c r="BX77" s="238">
        <v>21975</v>
      </c>
      <c r="BY77" s="238"/>
      <c r="BZ77" s="543">
        <f>(Tableau2[[#This Row],[juin-24]]-Tableau2[[#This Row],[avr-24]])/Tableau2[[#This Row],[avr-24]]</f>
        <v>-2.9039430101184265E-3</v>
      </c>
      <c r="CA77" s="548">
        <f>Tableau2[[#This Row],[juin-24]]-Tableau2[[#This Row],[avr-24]]</f>
        <v>-64</v>
      </c>
      <c r="CB77" s="17"/>
    </row>
    <row r="78" spans="1:81" s="12" customFormat="1" x14ac:dyDescent="0.3">
      <c r="A78" s="68">
        <v>28</v>
      </c>
      <c r="B78" s="61" t="s">
        <v>410</v>
      </c>
      <c r="C78" s="56" t="s">
        <v>59</v>
      </c>
      <c r="D78" s="56" t="s">
        <v>49</v>
      </c>
      <c r="E78" s="69">
        <v>11713</v>
      </c>
      <c r="F78" s="69">
        <v>11836</v>
      </c>
      <c r="G78" s="69">
        <v>11959</v>
      </c>
      <c r="H78" s="69">
        <v>12047</v>
      </c>
      <c r="I78" s="69">
        <v>12063</v>
      </c>
      <c r="J78" s="69">
        <v>12169</v>
      </c>
      <c r="K78" s="69">
        <v>12397</v>
      </c>
      <c r="L78" s="69">
        <v>14059</v>
      </c>
      <c r="M78" s="69">
        <v>14041</v>
      </c>
      <c r="N78" s="69">
        <v>14019</v>
      </c>
      <c r="O78" s="69">
        <v>14003</v>
      </c>
      <c r="P78" s="69">
        <v>14009</v>
      </c>
      <c r="Q78" s="69">
        <v>14117</v>
      </c>
      <c r="R78" s="69">
        <v>14528</v>
      </c>
      <c r="S78" s="69">
        <v>14414</v>
      </c>
      <c r="T78" s="69">
        <v>14497</v>
      </c>
      <c r="U78" s="69">
        <v>14554</v>
      </c>
      <c r="V78" s="69">
        <v>14634</v>
      </c>
      <c r="W78" s="69">
        <v>14730</v>
      </c>
      <c r="X78" s="69">
        <v>14805</v>
      </c>
      <c r="Y78" s="69">
        <v>16662</v>
      </c>
      <c r="Z78" s="69">
        <v>16670</v>
      </c>
      <c r="AA78" s="69">
        <v>16651</v>
      </c>
      <c r="AB78" s="69">
        <v>16659</v>
      </c>
      <c r="AC78" s="69">
        <v>16624</v>
      </c>
      <c r="AD78" s="69">
        <v>16565</v>
      </c>
      <c r="AE78" s="69">
        <v>16537</v>
      </c>
      <c r="AF78" s="69"/>
      <c r="AG78" s="69">
        <v>16517</v>
      </c>
      <c r="AH78" s="69">
        <v>16519</v>
      </c>
      <c r="AI78" s="69">
        <v>16662</v>
      </c>
      <c r="AJ78" s="69">
        <v>18744</v>
      </c>
      <c r="AK78" s="69">
        <v>18726</v>
      </c>
      <c r="AL78" s="69">
        <v>18661</v>
      </c>
      <c r="AM78" s="69">
        <v>18626</v>
      </c>
      <c r="AN78" s="69">
        <v>18549</v>
      </c>
      <c r="AO78" s="69">
        <v>18527</v>
      </c>
      <c r="AP78" s="69">
        <v>15887</v>
      </c>
      <c r="AQ78" s="69">
        <v>18603</v>
      </c>
      <c r="AR78" s="69">
        <v>18636</v>
      </c>
      <c r="AS78" s="69">
        <v>18529</v>
      </c>
      <c r="AT78" s="69">
        <v>18497</v>
      </c>
      <c r="AU78" s="69">
        <v>18380</v>
      </c>
      <c r="AV78" s="69">
        <v>19340</v>
      </c>
      <c r="AW78" s="69">
        <v>19316</v>
      </c>
      <c r="AX78" s="69">
        <v>19318</v>
      </c>
      <c r="AY78" s="69">
        <v>19222</v>
      </c>
      <c r="AZ78" s="69">
        <v>19170</v>
      </c>
      <c r="BA78" s="69">
        <v>19119</v>
      </c>
      <c r="BB78" s="69">
        <v>19100</v>
      </c>
      <c r="BC78" s="69">
        <v>19140</v>
      </c>
      <c r="BD78" s="69">
        <v>19168</v>
      </c>
      <c r="BE78" s="69">
        <v>19169</v>
      </c>
      <c r="BF78" s="69">
        <v>19142</v>
      </c>
      <c r="BG78" s="69">
        <v>19133</v>
      </c>
      <c r="BH78" s="69">
        <v>20278</v>
      </c>
      <c r="BI78" s="69">
        <v>20230</v>
      </c>
      <c r="BJ78" s="69">
        <v>20191</v>
      </c>
      <c r="BK78" s="69">
        <v>20135</v>
      </c>
      <c r="BL78" s="195">
        <v>19964</v>
      </c>
      <c r="BM78" s="203"/>
      <c r="BN78" s="53"/>
      <c r="BO78" s="195">
        <v>19700</v>
      </c>
      <c r="BP78" s="238">
        <v>20669</v>
      </c>
      <c r="BQ78" s="238">
        <v>21015</v>
      </c>
      <c r="BR78" s="190">
        <v>20832</v>
      </c>
      <c r="BS78" s="190">
        <v>20787</v>
      </c>
      <c r="BT78" s="238">
        <v>20600</v>
      </c>
      <c r="BU78" s="238">
        <v>20429</v>
      </c>
      <c r="BV78" s="190"/>
      <c r="BW78" s="190"/>
      <c r="BX78" s="238">
        <v>19758</v>
      </c>
      <c r="BY78" s="238"/>
      <c r="BZ78" s="550" t="e">
        <f>(Tableau2[[#This Row],[juin-24]]-Tableau2[[#This Row],[avr-24]])/Tableau2[[#This Row],[avr-24]]</f>
        <v>#DIV/0!</v>
      </c>
      <c r="CA78" s="548">
        <f>Tableau2[[#This Row],[juin-24]]-Tableau2[[#This Row],[avr-24]]</f>
        <v>19758</v>
      </c>
      <c r="CB78" s="13"/>
    </row>
    <row r="79" spans="1:81" x14ac:dyDescent="0.3">
      <c r="A79" s="74">
        <v>39</v>
      </c>
      <c r="B79" s="61" t="s">
        <v>57</v>
      </c>
      <c r="C79" s="56" t="s">
        <v>45</v>
      </c>
      <c r="D79" s="56" t="s">
        <v>49</v>
      </c>
      <c r="E79" s="139">
        <v>5869</v>
      </c>
      <c r="F79" s="139">
        <v>7406</v>
      </c>
      <c r="G79" s="139">
        <v>7458</v>
      </c>
      <c r="H79" s="139">
        <v>7513</v>
      </c>
      <c r="I79" s="139">
        <v>7519</v>
      </c>
      <c r="J79" s="139">
        <v>7546</v>
      </c>
      <c r="K79" s="139">
        <v>7637</v>
      </c>
      <c r="L79" s="139">
        <v>7742</v>
      </c>
      <c r="M79" s="139">
        <v>7749</v>
      </c>
      <c r="N79" s="139">
        <v>7775</v>
      </c>
      <c r="O79" s="139">
        <v>7814</v>
      </c>
      <c r="P79" s="139">
        <v>7913</v>
      </c>
      <c r="Q79" s="139">
        <v>8167</v>
      </c>
      <c r="R79" s="139">
        <v>9693</v>
      </c>
      <c r="S79" s="139">
        <v>9836</v>
      </c>
      <c r="T79" s="139">
        <v>9928</v>
      </c>
      <c r="U79" s="139">
        <v>9955</v>
      </c>
      <c r="V79" s="139">
        <v>10017</v>
      </c>
      <c r="W79" s="139">
        <v>10128</v>
      </c>
      <c r="X79" s="139">
        <v>10195</v>
      </c>
      <c r="Y79" s="139">
        <v>10283</v>
      </c>
      <c r="Z79" s="139">
        <v>10349</v>
      </c>
      <c r="AA79" s="139">
        <v>10400</v>
      </c>
      <c r="AB79" s="139">
        <v>10488</v>
      </c>
      <c r="AC79" s="139">
        <v>10816</v>
      </c>
      <c r="AD79" s="139">
        <v>12525</v>
      </c>
      <c r="AE79" s="139">
        <v>12661</v>
      </c>
      <c r="AF79" s="139">
        <v>12701</v>
      </c>
      <c r="AG79" s="139">
        <v>12721</v>
      </c>
      <c r="AH79" s="139">
        <v>12739</v>
      </c>
      <c r="AI79" s="139">
        <v>12776</v>
      </c>
      <c r="AJ79" s="139">
        <v>12840</v>
      </c>
      <c r="AK79" s="139">
        <v>12845</v>
      </c>
      <c r="AL79" s="139">
        <v>12860</v>
      </c>
      <c r="AM79" s="139">
        <v>12875</v>
      </c>
      <c r="AN79" s="139">
        <v>12948</v>
      </c>
      <c r="AO79" s="139">
        <v>13160</v>
      </c>
      <c r="AP79" s="139">
        <v>14596</v>
      </c>
      <c r="AQ79" s="139">
        <v>14714</v>
      </c>
      <c r="AR79" s="139">
        <v>14866</v>
      </c>
      <c r="AS79" s="139">
        <v>14837</v>
      </c>
      <c r="AT79" s="139">
        <v>14840</v>
      </c>
      <c r="AU79" s="139">
        <v>14747</v>
      </c>
      <c r="AV79" s="139">
        <v>14771</v>
      </c>
      <c r="AW79" s="139">
        <v>14766</v>
      </c>
      <c r="AX79" s="139">
        <v>14778</v>
      </c>
      <c r="AY79" s="139">
        <v>14732</v>
      </c>
      <c r="AZ79" s="139">
        <v>14762</v>
      </c>
      <c r="BA79" s="139">
        <v>14813</v>
      </c>
      <c r="BB79" s="139">
        <v>15622</v>
      </c>
      <c r="BC79" s="139">
        <v>15625</v>
      </c>
      <c r="BD79" s="139">
        <v>15661</v>
      </c>
      <c r="BE79" s="139">
        <v>15621</v>
      </c>
      <c r="BF79" s="139">
        <v>15599</v>
      </c>
      <c r="BG79" s="139">
        <v>15593</v>
      </c>
      <c r="BH79" s="139">
        <v>15582</v>
      </c>
      <c r="BI79" s="139">
        <v>15550</v>
      </c>
      <c r="BJ79" s="139">
        <v>15513</v>
      </c>
      <c r="BK79" s="139">
        <v>15502</v>
      </c>
      <c r="BL79" s="195">
        <v>16604</v>
      </c>
      <c r="BM79" s="203"/>
      <c r="BN79" s="53"/>
      <c r="BO79" s="195">
        <v>16600</v>
      </c>
      <c r="BP79" s="238">
        <v>16691</v>
      </c>
      <c r="BQ79" s="238">
        <v>17722</v>
      </c>
      <c r="BR79" s="190">
        <v>18842</v>
      </c>
      <c r="BS79" s="190">
        <v>18907</v>
      </c>
      <c r="BT79" s="238">
        <v>18900</v>
      </c>
      <c r="BU79" s="238">
        <v>18864</v>
      </c>
      <c r="BV79" s="190">
        <v>19600</v>
      </c>
      <c r="BW79" s="190">
        <v>20019</v>
      </c>
      <c r="BX79" s="238">
        <v>19942</v>
      </c>
      <c r="BY79" s="238"/>
      <c r="BZ79" s="544">
        <f>(Tableau2[[#This Row],[juin-24]]-Tableau2[[#This Row],[avr-24]])/Tableau2[[#This Row],[avr-24]]</f>
        <v>-3.8463459713272393E-3</v>
      </c>
      <c r="CA79" s="548">
        <f>Tableau2[[#This Row],[juin-24]]-Tableau2[[#This Row],[avr-24]]</f>
        <v>-77</v>
      </c>
      <c r="CB79" s="14"/>
      <c r="CC79" s="12"/>
    </row>
    <row r="80" spans="1:81" x14ac:dyDescent="0.3">
      <c r="A80" s="74">
        <v>16</v>
      </c>
      <c r="B80" s="61" t="s">
        <v>44</v>
      </c>
      <c r="C80" s="56" t="s">
        <v>45</v>
      </c>
      <c r="D80" s="56" t="s">
        <v>49</v>
      </c>
      <c r="E80" s="69">
        <v>13326</v>
      </c>
      <c r="F80" s="69">
        <v>13419</v>
      </c>
      <c r="G80" s="69">
        <v>13523</v>
      </c>
      <c r="H80" s="69">
        <v>13646</v>
      </c>
      <c r="I80" s="69">
        <v>13803</v>
      </c>
      <c r="J80" s="69">
        <v>13905</v>
      </c>
      <c r="K80" s="69">
        <v>14470</v>
      </c>
      <c r="L80" s="69">
        <v>15506</v>
      </c>
      <c r="M80" s="69">
        <v>15565</v>
      </c>
      <c r="N80" s="69">
        <v>15551</v>
      </c>
      <c r="O80" s="69">
        <v>15562</v>
      </c>
      <c r="P80" s="69">
        <v>15592</v>
      </c>
      <c r="Q80" s="69">
        <v>15610</v>
      </c>
      <c r="R80" s="69">
        <v>15632</v>
      </c>
      <c r="S80" s="69">
        <v>15669</v>
      </c>
      <c r="T80" s="69">
        <v>15700</v>
      </c>
      <c r="U80" s="69">
        <v>15774</v>
      </c>
      <c r="V80" s="69">
        <v>15793</v>
      </c>
      <c r="W80" s="69">
        <v>17257</v>
      </c>
      <c r="X80" s="69">
        <v>17176</v>
      </c>
      <c r="Y80" s="69">
        <v>17205</v>
      </c>
      <c r="Z80" s="69">
        <v>17180</v>
      </c>
      <c r="AA80" s="69">
        <v>17140</v>
      </c>
      <c r="AB80" s="69">
        <v>17115</v>
      </c>
      <c r="AC80" s="69">
        <v>17109</v>
      </c>
      <c r="AD80" s="69">
        <v>17131</v>
      </c>
      <c r="AE80" s="69">
        <v>17155</v>
      </c>
      <c r="AF80" s="69">
        <v>17236</v>
      </c>
      <c r="AG80" s="69">
        <v>17313</v>
      </c>
      <c r="AH80" s="69">
        <v>17348</v>
      </c>
      <c r="AI80" s="69">
        <v>17953</v>
      </c>
      <c r="AJ80" s="69">
        <v>18524</v>
      </c>
      <c r="AK80" s="69">
        <v>18485</v>
      </c>
      <c r="AL80" s="69">
        <v>18452</v>
      </c>
      <c r="AM80" s="69">
        <v>18441</v>
      </c>
      <c r="AN80" s="69">
        <v>18429</v>
      </c>
      <c r="AO80" s="69">
        <v>18476</v>
      </c>
      <c r="AP80" s="69">
        <v>18484</v>
      </c>
      <c r="AQ80" s="69">
        <v>18480</v>
      </c>
      <c r="AR80" s="69">
        <v>18480</v>
      </c>
      <c r="AS80" s="69">
        <v>18502</v>
      </c>
      <c r="AT80" s="69">
        <v>18531</v>
      </c>
      <c r="AU80" s="69">
        <v>18298</v>
      </c>
      <c r="AV80" s="69">
        <v>19335</v>
      </c>
      <c r="AW80" s="69">
        <v>19309</v>
      </c>
      <c r="AX80" s="69">
        <v>19351</v>
      </c>
      <c r="AY80" s="69">
        <v>19255</v>
      </c>
      <c r="AZ80" s="69">
        <v>19229</v>
      </c>
      <c r="BA80" s="69">
        <v>19214</v>
      </c>
      <c r="BB80" s="69">
        <v>19201</v>
      </c>
      <c r="BC80" s="69">
        <v>19210</v>
      </c>
      <c r="BD80" s="69">
        <v>19244</v>
      </c>
      <c r="BE80" s="69">
        <v>19246</v>
      </c>
      <c r="BF80" s="69">
        <v>19221</v>
      </c>
      <c r="BG80" s="69">
        <v>19224</v>
      </c>
      <c r="BH80" s="69">
        <v>20001</v>
      </c>
      <c r="BI80" s="69">
        <v>19966</v>
      </c>
      <c r="BJ80" s="69">
        <v>19955</v>
      </c>
      <c r="BK80" s="69">
        <v>19921</v>
      </c>
      <c r="BL80" s="195">
        <v>19846</v>
      </c>
      <c r="BM80" s="203"/>
      <c r="BN80" s="53"/>
      <c r="BO80" s="195">
        <v>19400</v>
      </c>
      <c r="BP80" s="238">
        <v>19352</v>
      </c>
      <c r="BQ80" s="238">
        <v>18617</v>
      </c>
      <c r="BR80" s="190"/>
      <c r="BS80" s="190">
        <v>18421</v>
      </c>
      <c r="BT80" s="238">
        <v>18200</v>
      </c>
      <c r="BU80" s="238">
        <v>17917</v>
      </c>
      <c r="BV80" s="190">
        <v>17337</v>
      </c>
      <c r="BW80" s="190">
        <v>17108</v>
      </c>
      <c r="BX80" s="238">
        <v>17041</v>
      </c>
      <c r="BY80" s="238"/>
      <c r="BZ80" s="543">
        <f>(Tableau2[[#This Row],[juin-24]]-Tableau2[[#This Row],[avr-24]])/Tableau2[[#This Row],[avr-24]]</f>
        <v>-3.9162964694879586E-3</v>
      </c>
      <c r="CA80" s="548">
        <f>Tableau2[[#This Row],[juin-24]]-Tableau2[[#This Row],[avr-24]]</f>
        <v>-67</v>
      </c>
      <c r="CB80" s="14"/>
    </row>
    <row r="81" spans="1:80" x14ac:dyDescent="0.3">
      <c r="A81" s="68"/>
      <c r="B81" s="61" t="s">
        <v>20</v>
      </c>
      <c r="C81" s="56" t="s">
        <v>59</v>
      </c>
      <c r="D81" s="56" t="s">
        <v>50</v>
      </c>
      <c r="E81" s="69">
        <v>4121</v>
      </c>
      <c r="F81" s="69">
        <v>4745</v>
      </c>
      <c r="G81" s="69">
        <v>5828</v>
      </c>
      <c r="H81" s="69">
        <v>6270</v>
      </c>
      <c r="I81" s="69">
        <v>6349</v>
      </c>
      <c r="J81" s="69">
        <v>6419</v>
      </c>
      <c r="K81" s="69">
        <v>6508</v>
      </c>
      <c r="L81" s="69">
        <v>6615</v>
      </c>
      <c r="M81" s="69">
        <v>6636</v>
      </c>
      <c r="N81" s="69">
        <v>6733</v>
      </c>
      <c r="O81" s="69">
        <v>6810</v>
      </c>
      <c r="P81" s="69">
        <v>6950</v>
      </c>
      <c r="Q81" s="69">
        <v>7150</v>
      </c>
      <c r="R81" s="69">
        <v>7832</v>
      </c>
      <c r="S81" s="69">
        <v>9131</v>
      </c>
      <c r="T81" s="69">
        <v>9555</v>
      </c>
      <c r="U81" s="69">
        <v>9620</v>
      </c>
      <c r="V81" s="69">
        <v>9789</v>
      </c>
      <c r="W81" s="69">
        <v>9773</v>
      </c>
      <c r="X81" s="69">
        <v>9743</v>
      </c>
      <c r="Y81" s="69">
        <v>9707</v>
      </c>
      <c r="Z81" s="69">
        <v>9702</v>
      </c>
      <c r="AA81" s="69">
        <v>9774</v>
      </c>
      <c r="AB81" s="69">
        <v>9857</v>
      </c>
      <c r="AC81" s="69">
        <v>10044</v>
      </c>
      <c r="AD81" s="69">
        <v>10586</v>
      </c>
      <c r="AE81" s="69">
        <v>11647</v>
      </c>
      <c r="AF81" s="69">
        <v>11882</v>
      </c>
      <c r="AG81" s="69">
        <v>11941</v>
      </c>
      <c r="AH81" s="69">
        <v>12024</v>
      </c>
      <c r="AI81" s="69">
        <v>12034</v>
      </c>
      <c r="AJ81" s="69">
        <v>11993</v>
      </c>
      <c r="AK81" s="69">
        <v>11958</v>
      </c>
      <c r="AL81" s="69">
        <v>11973</v>
      </c>
      <c r="AM81" s="69">
        <v>12004</v>
      </c>
      <c r="AN81" s="69">
        <v>12071</v>
      </c>
      <c r="AO81" s="69">
        <v>12201</v>
      </c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194"/>
      <c r="BM81" s="190"/>
      <c r="BN81" s="53"/>
      <c r="BO81" s="194"/>
      <c r="BP81" s="240"/>
      <c r="BQ81" s="240"/>
      <c r="BR81" s="190">
        <v>17307</v>
      </c>
      <c r="BS81" s="190">
        <v>17559</v>
      </c>
      <c r="BT81" s="238">
        <v>17500</v>
      </c>
      <c r="BU81" s="238">
        <v>17378</v>
      </c>
      <c r="BV81" s="190">
        <v>18000</v>
      </c>
      <c r="BW81" s="190">
        <v>18543</v>
      </c>
      <c r="BX81" s="238">
        <v>18539</v>
      </c>
      <c r="BY81" s="238"/>
      <c r="BZ81" s="544">
        <f>(Tableau2[[#This Row],[juin-24]]-Tableau2[[#This Row],[avr-24]])/Tableau2[[#This Row],[avr-24]]</f>
        <v>-2.1571482500134823E-4</v>
      </c>
      <c r="CA81" s="548">
        <f>Tableau2[[#This Row],[juin-24]]-Tableau2[[#This Row],[avr-24]]</f>
        <v>-4</v>
      </c>
      <c r="CB81" s="14"/>
    </row>
    <row r="82" spans="1:80" x14ac:dyDescent="0.3">
      <c r="A82" s="68"/>
      <c r="B82" s="61" t="s">
        <v>76</v>
      </c>
      <c r="C82" s="56" t="s">
        <v>45</v>
      </c>
      <c r="D82" s="56" t="s">
        <v>50</v>
      </c>
      <c r="E82" s="69"/>
      <c r="F82" s="69"/>
      <c r="G82" s="69"/>
      <c r="H82" s="69">
        <v>7512</v>
      </c>
      <c r="I82" s="69">
        <v>7573</v>
      </c>
      <c r="J82" s="69">
        <v>7612</v>
      </c>
      <c r="K82" s="69">
        <v>7631</v>
      </c>
      <c r="L82" s="69">
        <v>7609</v>
      </c>
      <c r="M82" s="69">
        <v>7607</v>
      </c>
      <c r="N82" s="69">
        <v>7630</v>
      </c>
      <c r="O82" s="69">
        <v>7639</v>
      </c>
      <c r="P82" s="69">
        <v>7664</v>
      </c>
      <c r="Q82" s="69">
        <v>7760</v>
      </c>
      <c r="R82" s="69">
        <v>7942</v>
      </c>
      <c r="S82" s="69">
        <v>8261</v>
      </c>
      <c r="T82" s="69">
        <v>8919</v>
      </c>
      <c r="U82" s="69">
        <v>8967</v>
      </c>
      <c r="V82" s="69">
        <v>9030</v>
      </c>
      <c r="W82" s="69">
        <v>9081</v>
      </c>
      <c r="X82" s="69">
        <v>9089</v>
      </c>
      <c r="Y82" s="69">
        <v>9137</v>
      </c>
      <c r="Z82" s="69">
        <v>9178</v>
      </c>
      <c r="AA82" s="69">
        <v>9205</v>
      </c>
      <c r="AB82" s="69">
        <v>9223</v>
      </c>
      <c r="AC82" s="69">
        <v>9257</v>
      </c>
      <c r="AD82" s="69">
        <v>9325</v>
      </c>
      <c r="AE82" s="69">
        <v>9399</v>
      </c>
      <c r="AF82" s="69">
        <v>10519</v>
      </c>
      <c r="AG82" s="69">
        <v>10537</v>
      </c>
      <c r="AH82" s="69">
        <v>10574</v>
      </c>
      <c r="AI82" s="69">
        <v>10589</v>
      </c>
      <c r="AJ82" s="69">
        <v>10553</v>
      </c>
      <c r="AK82" s="69">
        <v>10543</v>
      </c>
      <c r="AL82" s="69">
        <v>10573</v>
      </c>
      <c r="AM82" s="69">
        <v>10585</v>
      </c>
      <c r="AN82" s="69">
        <v>10593</v>
      </c>
      <c r="AO82" s="69">
        <v>10635</v>
      </c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194"/>
      <c r="BM82" s="190"/>
      <c r="BN82" s="53"/>
      <c r="BO82" s="194"/>
      <c r="BP82" s="240"/>
      <c r="BQ82" s="240">
        <v>15593</v>
      </c>
      <c r="BR82" s="190">
        <v>15812</v>
      </c>
      <c r="BS82" s="190">
        <v>17060</v>
      </c>
      <c r="BT82" s="238">
        <v>17100</v>
      </c>
      <c r="BU82" s="238">
        <v>17069</v>
      </c>
      <c r="BV82" s="190">
        <v>17600</v>
      </c>
      <c r="BW82" s="190">
        <v>18004</v>
      </c>
      <c r="BX82" s="238">
        <v>17957</v>
      </c>
      <c r="BY82" s="238"/>
      <c r="BZ82" s="543">
        <f>(Tableau2[[#This Row],[juin-24]]-Tableau2[[#This Row],[avr-24]])/Tableau2[[#This Row],[avr-24]]</f>
        <v>-2.6105309931126418E-3</v>
      </c>
      <c r="CA82" s="548">
        <f>Tableau2[[#This Row],[juin-24]]-Tableau2[[#This Row],[avr-24]]</f>
        <v>-47</v>
      </c>
      <c r="CB82" s="13"/>
    </row>
    <row r="83" spans="1:80" x14ac:dyDescent="0.3">
      <c r="A83" s="76"/>
      <c r="B83" s="61" t="s">
        <v>79</v>
      </c>
      <c r="C83" s="77" t="s">
        <v>59</v>
      </c>
      <c r="D83" s="77" t="s">
        <v>50</v>
      </c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>
        <v>7830</v>
      </c>
      <c r="AE83" s="78">
        <v>8745</v>
      </c>
      <c r="AF83" s="78">
        <v>8920</v>
      </c>
      <c r="AG83" s="78">
        <v>8937</v>
      </c>
      <c r="AH83" s="78">
        <v>9009</v>
      </c>
      <c r="AI83" s="78">
        <v>9067</v>
      </c>
      <c r="AJ83" s="78">
        <v>9115</v>
      </c>
      <c r="AK83" s="78">
        <v>9145</v>
      </c>
      <c r="AL83" s="78">
        <v>9170</v>
      </c>
      <c r="AM83" s="78">
        <v>9199</v>
      </c>
      <c r="AN83" s="78">
        <v>9254</v>
      </c>
      <c r="AO83" s="78">
        <v>9364</v>
      </c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194"/>
      <c r="BM83" s="190"/>
      <c r="BN83" s="53"/>
      <c r="BO83" s="194"/>
      <c r="BP83" s="240"/>
      <c r="BQ83" s="240"/>
      <c r="BR83" s="190">
        <v>15943</v>
      </c>
      <c r="BS83" s="190">
        <v>16487</v>
      </c>
      <c r="BT83" s="238">
        <v>16500</v>
      </c>
      <c r="BU83" s="238">
        <v>16508</v>
      </c>
      <c r="BV83" s="190">
        <v>17100</v>
      </c>
      <c r="BW83" s="190">
        <v>17357</v>
      </c>
      <c r="BX83" s="238">
        <v>17308</v>
      </c>
      <c r="BY83" s="238"/>
      <c r="BZ83" s="544">
        <f>(Tableau2[[#This Row],[juin-24]]-Tableau2[[#This Row],[avr-24]])/Tableau2[[#This Row],[avr-24]]</f>
        <v>-2.8230685026214208E-3</v>
      </c>
      <c r="CA83" s="548">
        <f>Tableau2[[#This Row],[juin-24]]-Tableau2[[#This Row],[avr-24]]</f>
        <v>-49</v>
      </c>
      <c r="CB83" s="13"/>
    </row>
    <row r="84" spans="1:80" x14ac:dyDescent="0.3">
      <c r="A84" s="75">
        <v>30</v>
      </c>
      <c r="B84" s="137" t="s">
        <v>37</v>
      </c>
      <c r="C84" s="136" t="s">
        <v>46</v>
      </c>
      <c r="D84" s="136" t="s">
        <v>49</v>
      </c>
      <c r="E84" s="138">
        <v>6980</v>
      </c>
      <c r="F84" s="138">
        <v>9679</v>
      </c>
      <c r="G84" s="138">
        <v>9786</v>
      </c>
      <c r="H84" s="138">
        <v>9861</v>
      </c>
      <c r="I84" s="138">
        <v>9846</v>
      </c>
      <c r="J84" s="138">
        <v>9807</v>
      </c>
      <c r="K84" s="138">
        <v>9796</v>
      </c>
      <c r="L84" s="138">
        <v>9756</v>
      </c>
      <c r="M84" s="138">
        <v>9740</v>
      </c>
      <c r="N84" s="138">
        <v>9744</v>
      </c>
      <c r="O84" s="138">
        <v>9743</v>
      </c>
      <c r="P84" s="138">
        <v>9818</v>
      </c>
      <c r="Q84" s="138">
        <v>9957</v>
      </c>
      <c r="R84" s="138">
        <v>12181</v>
      </c>
      <c r="S84" s="138">
        <v>12273</v>
      </c>
      <c r="T84" s="138">
        <v>12297</v>
      </c>
      <c r="U84" s="138">
        <v>12270</v>
      </c>
      <c r="V84" s="138">
        <v>12251</v>
      </c>
      <c r="W84" s="138">
        <v>12227</v>
      </c>
      <c r="X84" s="138">
        <v>12194</v>
      </c>
      <c r="Y84" s="138">
        <v>12160</v>
      </c>
      <c r="Z84" s="138">
        <v>12131</v>
      </c>
      <c r="AA84" s="138">
        <v>12105</v>
      </c>
      <c r="AB84" s="138">
        <v>12158</v>
      </c>
      <c r="AC84" s="138">
        <v>12341</v>
      </c>
      <c r="AD84" s="138">
        <v>13747</v>
      </c>
      <c r="AE84" s="138">
        <v>13854</v>
      </c>
      <c r="AF84" s="138">
        <v>13839</v>
      </c>
      <c r="AG84" s="138">
        <v>13845</v>
      </c>
      <c r="AH84" s="138">
        <v>13838</v>
      </c>
      <c r="AI84" s="138">
        <v>13842</v>
      </c>
      <c r="AJ84" s="138">
        <v>13793</v>
      </c>
      <c r="AK84" s="138">
        <v>13770</v>
      </c>
      <c r="AL84" s="138">
        <v>13727</v>
      </c>
      <c r="AM84" s="138">
        <v>13705</v>
      </c>
      <c r="AN84" s="138">
        <v>13683</v>
      </c>
      <c r="AO84" s="138">
        <v>13773</v>
      </c>
      <c r="AP84" s="138">
        <v>15200</v>
      </c>
      <c r="AQ84" s="138">
        <v>15267</v>
      </c>
      <c r="AR84" s="138">
        <v>15292</v>
      </c>
      <c r="AS84" s="138">
        <v>15219</v>
      </c>
      <c r="AT84" s="138">
        <v>15164</v>
      </c>
      <c r="AU84" s="138">
        <v>14984</v>
      </c>
      <c r="AV84" s="138">
        <v>14945</v>
      </c>
      <c r="AW84" s="138">
        <v>14910</v>
      </c>
      <c r="AX84" s="138">
        <v>14932</v>
      </c>
      <c r="AY84" s="138">
        <v>14855</v>
      </c>
      <c r="AZ84" s="138">
        <v>14856</v>
      </c>
      <c r="BA84" s="138">
        <v>14942</v>
      </c>
      <c r="BB84" s="138">
        <v>15825</v>
      </c>
      <c r="BC84" s="138">
        <v>15845</v>
      </c>
      <c r="BD84" s="138">
        <v>15838</v>
      </c>
      <c r="BE84" s="138">
        <v>15803</v>
      </c>
      <c r="BF84" s="138">
        <v>15779</v>
      </c>
      <c r="BG84" s="138">
        <v>15792</v>
      </c>
      <c r="BH84" s="138">
        <v>15787</v>
      </c>
      <c r="BI84" s="138">
        <v>15776</v>
      </c>
      <c r="BJ84" s="138">
        <v>15762</v>
      </c>
      <c r="BK84" s="138">
        <v>15736</v>
      </c>
      <c r="BL84" s="196">
        <v>15751</v>
      </c>
      <c r="BM84" s="203"/>
      <c r="BN84" s="53"/>
      <c r="BO84" s="196">
        <v>15600</v>
      </c>
      <c r="BP84" s="239"/>
      <c r="BQ84" s="239">
        <v>15257</v>
      </c>
      <c r="BR84" s="286">
        <v>16398</v>
      </c>
      <c r="BS84" s="286">
        <v>16421</v>
      </c>
      <c r="BT84" s="239">
        <v>16300</v>
      </c>
      <c r="BU84" s="239">
        <v>16331</v>
      </c>
      <c r="BV84" s="286">
        <v>16700</v>
      </c>
      <c r="BW84" s="286">
        <v>19978</v>
      </c>
      <c r="BX84" s="239">
        <v>16952</v>
      </c>
      <c r="BY84" s="239"/>
      <c r="BZ84" s="543">
        <f>(Tableau2[[#This Row],[juin-24]]-Tableau2[[#This Row],[avr-24]])/Tableau2[[#This Row],[avr-24]]</f>
        <v>-0.15146661327460206</v>
      </c>
      <c r="CA84" s="548">
        <f>Tableau2[[#This Row],[juin-24]]-Tableau2[[#This Row],[avr-24]]</f>
        <v>-3026</v>
      </c>
      <c r="CB84" s="13"/>
    </row>
    <row r="85" spans="1:80" x14ac:dyDescent="0.3">
      <c r="A85" s="401">
        <v>26</v>
      </c>
      <c r="B85" s="333" t="s">
        <v>23</v>
      </c>
      <c r="C85" s="9" t="s">
        <v>59</v>
      </c>
      <c r="D85" s="9" t="s">
        <v>50</v>
      </c>
      <c r="E85" s="402"/>
      <c r="F85" s="402"/>
      <c r="G85" s="402"/>
      <c r="H85" s="402"/>
      <c r="I85" s="402"/>
      <c r="J85" s="402"/>
      <c r="K85" s="402"/>
      <c r="L85" s="402"/>
      <c r="M85" s="402"/>
      <c r="N85" s="402"/>
      <c r="O85" s="402"/>
      <c r="P85" s="402"/>
      <c r="Q85" s="402"/>
      <c r="R85" s="402"/>
      <c r="S85" s="402"/>
      <c r="T85" s="402"/>
      <c r="U85" s="402"/>
      <c r="V85" s="402"/>
      <c r="W85" s="402"/>
      <c r="X85" s="402"/>
      <c r="Y85" s="402"/>
      <c r="Z85" s="402"/>
      <c r="AA85" s="402"/>
      <c r="AB85" s="402"/>
      <c r="AC85" s="402"/>
      <c r="AD85" s="402"/>
      <c r="AE85" s="402"/>
      <c r="AF85" s="402"/>
      <c r="AG85" s="402"/>
      <c r="AH85" s="402"/>
      <c r="AI85" s="402"/>
      <c r="AJ85" s="402"/>
      <c r="AK85" s="402"/>
      <c r="AL85" s="402"/>
      <c r="AM85" s="402"/>
      <c r="AN85" s="402"/>
      <c r="AO85" s="402"/>
      <c r="AP85" s="402"/>
      <c r="AQ85" s="402"/>
      <c r="AR85" s="402"/>
      <c r="AS85" s="402"/>
      <c r="AT85" s="402"/>
      <c r="AU85" s="402"/>
      <c r="AV85" s="402"/>
      <c r="AW85" s="402"/>
      <c r="AX85" s="402"/>
      <c r="AY85" s="402"/>
      <c r="AZ85" s="402"/>
      <c r="BA85" s="402"/>
      <c r="BB85" s="402"/>
      <c r="BC85" s="402"/>
      <c r="BD85" s="402">
        <v>14642</v>
      </c>
      <c r="BE85" s="402">
        <v>14597</v>
      </c>
      <c r="BF85" s="402">
        <v>14586</v>
      </c>
      <c r="BG85" s="402">
        <v>14590</v>
      </c>
      <c r="BH85" s="402">
        <v>14570</v>
      </c>
      <c r="BI85" s="402">
        <v>14536</v>
      </c>
      <c r="BJ85" s="402">
        <v>14519</v>
      </c>
      <c r="BK85" s="402">
        <v>14490</v>
      </c>
      <c r="BL85" s="195">
        <v>14427</v>
      </c>
      <c r="BM85" s="203"/>
      <c r="BN85" s="53"/>
      <c r="BO85" s="195">
        <v>14200</v>
      </c>
      <c r="BP85" s="238">
        <v>14310</v>
      </c>
      <c r="BQ85" s="238">
        <v>14633</v>
      </c>
      <c r="BR85" s="190">
        <v>14671</v>
      </c>
      <c r="BS85" s="190">
        <v>14949</v>
      </c>
      <c r="BT85" s="238">
        <v>14800</v>
      </c>
      <c r="BU85" s="238">
        <v>14677</v>
      </c>
      <c r="BV85" s="190">
        <v>14700</v>
      </c>
      <c r="BW85" s="190">
        <v>14863</v>
      </c>
      <c r="BX85" s="238">
        <v>14802</v>
      </c>
      <c r="BY85" s="238"/>
      <c r="BZ85" s="544">
        <f>(Tableau2[[#This Row],[juin-24]]-Tableau2[[#This Row],[avr-24]])/Tableau2[[#This Row],[avr-24]]</f>
        <v>-4.1041512480656664E-3</v>
      </c>
      <c r="CA85" s="548">
        <f>Tableau2[[#This Row],[juin-24]]-Tableau2[[#This Row],[avr-24]]</f>
        <v>-61</v>
      </c>
    </row>
    <row r="86" spans="1:80" ht="15" customHeight="1" x14ac:dyDescent="0.3">
      <c r="A86" s="74">
        <v>40</v>
      </c>
      <c r="B86" s="156" t="s">
        <v>282</v>
      </c>
      <c r="C86" s="56" t="s">
        <v>45</v>
      </c>
      <c r="D86" s="56" t="s">
        <v>49</v>
      </c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334"/>
      <c r="BM86" s="403"/>
      <c r="BN86" s="53"/>
      <c r="BO86" s="53"/>
      <c r="BP86" s="403"/>
      <c r="BQ86" s="403"/>
      <c r="BR86" s="403"/>
      <c r="BS86" s="403"/>
      <c r="BT86" s="403">
        <v>14100</v>
      </c>
      <c r="BU86" s="406">
        <v>14009</v>
      </c>
      <c r="BV86" s="403">
        <v>14100</v>
      </c>
      <c r="BW86" s="403">
        <v>14016</v>
      </c>
      <c r="BX86" s="406">
        <v>13988</v>
      </c>
      <c r="BY86" s="403"/>
      <c r="BZ86" s="543">
        <f>(Tableau2[[#This Row],[juin-24]]-Tableau2[[#This Row],[avr-24]])/Tableau2[[#This Row],[avr-24]]</f>
        <v>-1.9977168949771688E-3</v>
      </c>
      <c r="CA86" s="548">
        <f>Tableau2[[#This Row],[juin-24]]-Tableau2[[#This Row],[avr-24]]</f>
        <v>-28</v>
      </c>
      <c r="CB86" s="14"/>
    </row>
    <row r="87" spans="1:80" s="12" customFormat="1" x14ac:dyDescent="0.3">
      <c r="A87" s="351">
        <v>37</v>
      </c>
      <c r="B87" s="156" t="s">
        <v>281</v>
      </c>
      <c r="C87" s="156" t="s">
        <v>45</v>
      </c>
      <c r="D87" s="156" t="s">
        <v>50</v>
      </c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352"/>
      <c r="AB87" s="352"/>
      <c r="AC87" s="352"/>
      <c r="AD87" s="352"/>
      <c r="AE87" s="352"/>
      <c r="AF87" s="352"/>
      <c r="AG87" s="352"/>
      <c r="AH87" s="352"/>
      <c r="AI87" s="352"/>
      <c r="AJ87" s="352"/>
      <c r="AK87" s="352"/>
      <c r="AL87" s="352"/>
      <c r="AM87" s="352"/>
      <c r="AN87" s="352"/>
      <c r="AO87" s="352"/>
      <c r="AP87" s="352"/>
      <c r="AQ87" s="352"/>
      <c r="AR87" s="352"/>
      <c r="AS87" s="352"/>
      <c r="AT87" s="352"/>
      <c r="AU87" s="352"/>
      <c r="AV87" s="352"/>
      <c r="AW87" s="352"/>
      <c r="AX87" s="352"/>
      <c r="AY87" s="352"/>
      <c r="AZ87" s="352"/>
      <c r="BA87" s="352"/>
      <c r="BB87" s="352"/>
      <c r="BC87" s="353"/>
      <c r="BD87" s="353"/>
      <c r="BE87" s="353"/>
      <c r="BF87" s="353"/>
      <c r="BG87" s="353"/>
      <c r="BH87" s="353"/>
      <c r="BI87" s="353"/>
      <c r="BJ87" s="353"/>
      <c r="BK87" s="353"/>
      <c r="BL87" s="354"/>
      <c r="BM87" s="405"/>
      <c r="BN87" s="353"/>
      <c r="BO87" s="353"/>
      <c r="BP87" s="405"/>
      <c r="BQ87" s="405"/>
      <c r="BR87" s="405"/>
      <c r="BS87" s="405"/>
      <c r="BT87" s="403">
        <v>14100</v>
      </c>
      <c r="BU87" s="406">
        <v>14024</v>
      </c>
      <c r="BV87" s="403">
        <v>14200</v>
      </c>
      <c r="BW87" s="403">
        <v>14442</v>
      </c>
      <c r="BX87" s="406">
        <v>14377</v>
      </c>
      <c r="BY87" s="403"/>
      <c r="BZ87" s="543">
        <f>(Tableau2[[#This Row],[juin-24]]-Tableau2[[#This Row],[avr-24]])/Tableau2[[#This Row],[avr-24]]</f>
        <v>-4.5007616673590914E-3</v>
      </c>
      <c r="CA87" s="548">
        <f>Tableau2[[#This Row],[juin-24]]-Tableau2[[#This Row],[avr-24]]</f>
        <v>-65</v>
      </c>
      <c r="CB87" s="13"/>
    </row>
    <row r="88" spans="1:80" x14ac:dyDescent="0.3">
      <c r="A88" s="75">
        <v>11</v>
      </c>
      <c r="B88" s="137" t="s">
        <v>30</v>
      </c>
      <c r="C88" s="136" t="s">
        <v>46</v>
      </c>
      <c r="D88" s="136" t="s">
        <v>49</v>
      </c>
      <c r="E88" s="138">
        <v>4767</v>
      </c>
      <c r="F88" s="138">
        <v>4769</v>
      </c>
      <c r="G88" s="138">
        <v>4823</v>
      </c>
      <c r="H88" s="138">
        <v>4884</v>
      </c>
      <c r="I88" s="138">
        <v>5013</v>
      </c>
      <c r="J88" s="138">
        <v>5046</v>
      </c>
      <c r="K88" s="138">
        <v>5102</v>
      </c>
      <c r="L88" s="138">
        <v>6338</v>
      </c>
      <c r="M88" s="138">
        <v>6330</v>
      </c>
      <c r="N88" s="138">
        <v>6310</v>
      </c>
      <c r="O88" s="138">
        <v>6306</v>
      </c>
      <c r="P88" s="138">
        <v>6319</v>
      </c>
      <c r="Q88" s="138">
        <v>6420</v>
      </c>
      <c r="R88" s="138">
        <v>6450</v>
      </c>
      <c r="S88" s="138">
        <v>6469</v>
      </c>
      <c r="T88" s="138">
        <v>6494</v>
      </c>
      <c r="U88" s="138">
        <v>6570</v>
      </c>
      <c r="V88" s="138">
        <v>6631</v>
      </c>
      <c r="W88" s="138">
        <v>6766</v>
      </c>
      <c r="X88" s="138">
        <v>7569</v>
      </c>
      <c r="Y88" s="138">
        <v>7592</v>
      </c>
      <c r="Z88" s="138">
        <v>7607</v>
      </c>
      <c r="AA88" s="138">
        <v>7617</v>
      </c>
      <c r="AB88" s="138">
        <v>7662</v>
      </c>
      <c r="AC88" s="138">
        <v>7753</v>
      </c>
      <c r="AD88" s="138">
        <v>7788</v>
      </c>
      <c r="AE88" s="138">
        <v>7819</v>
      </c>
      <c r="AF88" s="138">
        <v>7819</v>
      </c>
      <c r="AG88" s="138">
        <v>7864</v>
      </c>
      <c r="AH88" s="138">
        <v>7895</v>
      </c>
      <c r="AI88" s="138">
        <v>8037</v>
      </c>
      <c r="AJ88" s="138">
        <v>8967</v>
      </c>
      <c r="AK88" s="138">
        <v>9112</v>
      </c>
      <c r="AL88" s="138">
        <v>9168</v>
      </c>
      <c r="AM88" s="138">
        <v>9213</v>
      </c>
      <c r="AN88" s="138">
        <v>9317</v>
      </c>
      <c r="AO88" s="138">
        <v>9367</v>
      </c>
      <c r="AP88" s="138"/>
      <c r="AQ88" s="138"/>
      <c r="AR88" s="138"/>
      <c r="AS88" s="138"/>
      <c r="AT88" s="138"/>
      <c r="AU88" s="138">
        <v>9481</v>
      </c>
      <c r="AV88" s="138">
        <v>10368</v>
      </c>
      <c r="AW88" s="138">
        <v>10340</v>
      </c>
      <c r="AX88" s="138">
        <v>10319</v>
      </c>
      <c r="AY88" s="138">
        <v>10359</v>
      </c>
      <c r="AZ88" s="138">
        <v>10340</v>
      </c>
      <c r="BA88" s="138">
        <v>10310</v>
      </c>
      <c r="BB88" s="138">
        <v>10300</v>
      </c>
      <c r="BC88" s="138">
        <v>10295</v>
      </c>
      <c r="BD88" s="138">
        <v>10306</v>
      </c>
      <c r="BE88" s="138">
        <v>10307</v>
      </c>
      <c r="BF88" s="138">
        <v>10310</v>
      </c>
      <c r="BG88" s="138">
        <v>10329</v>
      </c>
      <c r="BH88" s="138">
        <v>11326</v>
      </c>
      <c r="BI88" s="138">
        <v>11308</v>
      </c>
      <c r="BJ88" s="138">
        <v>11292</v>
      </c>
      <c r="BK88" s="138">
        <v>11317</v>
      </c>
      <c r="BL88" s="196">
        <v>11275</v>
      </c>
      <c r="BM88" s="203"/>
      <c r="BN88" s="53"/>
      <c r="BO88" s="196">
        <v>11100</v>
      </c>
      <c r="BP88" s="239">
        <v>11131</v>
      </c>
      <c r="BQ88" s="239">
        <v>11929</v>
      </c>
      <c r="BR88" s="286">
        <v>11945</v>
      </c>
      <c r="BS88" s="286">
        <v>11915</v>
      </c>
      <c r="BT88" s="239">
        <v>12800</v>
      </c>
      <c r="BU88" s="239">
        <v>12650</v>
      </c>
      <c r="BV88" s="286">
        <v>13312</v>
      </c>
      <c r="BW88" s="286">
        <v>13239</v>
      </c>
      <c r="BX88" s="239">
        <v>13226</v>
      </c>
      <c r="BY88" s="239"/>
      <c r="BZ88" s="544">
        <f>(Tableau2[[#This Row],[juin-24]]-Tableau2[[#This Row],[avr-24]])/Tableau2[[#This Row],[avr-24]]</f>
        <v>-9.8194727698466648E-4</v>
      </c>
      <c r="CA88" s="548">
        <f>Tableau2[[#This Row],[juin-24]]-Tableau2[[#This Row],[avr-24]]</f>
        <v>-13</v>
      </c>
      <c r="CB88" s="13"/>
    </row>
    <row r="89" spans="1:80" x14ac:dyDescent="0.3">
      <c r="A89" s="68"/>
      <c r="B89" s="61" t="s">
        <v>165</v>
      </c>
      <c r="C89" s="56" t="s">
        <v>59</v>
      </c>
      <c r="D89" s="56" t="s">
        <v>49</v>
      </c>
      <c r="E89" s="69"/>
      <c r="F89" s="69"/>
      <c r="G89" s="69">
        <v>59</v>
      </c>
      <c r="H89" s="69">
        <v>69</v>
      </c>
      <c r="I89" s="69">
        <v>93</v>
      </c>
      <c r="J89" s="69">
        <v>97</v>
      </c>
      <c r="K89" s="69">
        <v>167</v>
      </c>
      <c r="L89" s="69">
        <v>269</v>
      </c>
      <c r="M89" s="69">
        <v>559</v>
      </c>
      <c r="N89" s="69">
        <v>1649</v>
      </c>
      <c r="O89" s="69">
        <v>1660</v>
      </c>
      <c r="P89" s="69">
        <v>1691</v>
      </c>
      <c r="Q89" s="69">
        <v>1742</v>
      </c>
      <c r="R89" s="69">
        <v>1786</v>
      </c>
      <c r="S89" s="69">
        <v>1806</v>
      </c>
      <c r="T89" s="69">
        <v>1832</v>
      </c>
      <c r="U89" s="69">
        <v>1876</v>
      </c>
      <c r="V89" s="69">
        <v>1893</v>
      </c>
      <c r="W89" s="69">
        <v>1948</v>
      </c>
      <c r="X89" s="69">
        <v>1961</v>
      </c>
      <c r="Y89" s="69">
        <v>2054</v>
      </c>
      <c r="Z89" s="69">
        <v>2817</v>
      </c>
      <c r="AA89" s="69">
        <v>2883</v>
      </c>
      <c r="AB89" s="69">
        <v>2953</v>
      </c>
      <c r="AC89" s="69">
        <v>3073</v>
      </c>
      <c r="AD89" s="69">
        <v>4222</v>
      </c>
      <c r="AE89" s="69">
        <v>4230</v>
      </c>
      <c r="AF89" s="69">
        <v>4246</v>
      </c>
      <c r="AG89" s="69">
        <v>4263</v>
      </c>
      <c r="AH89" s="69">
        <v>4276</v>
      </c>
      <c r="AI89" s="69">
        <v>4278</v>
      </c>
      <c r="AJ89" s="69">
        <v>4287</v>
      </c>
      <c r="AK89" s="69">
        <v>4322</v>
      </c>
      <c r="AL89" s="69">
        <v>4356</v>
      </c>
      <c r="AM89" s="69">
        <v>4372</v>
      </c>
      <c r="AN89" s="69">
        <v>4413</v>
      </c>
      <c r="AO89" s="69">
        <v>4513</v>
      </c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>
        <v>2858</v>
      </c>
      <c r="BG89" s="69">
        <v>2858</v>
      </c>
      <c r="BH89" s="69"/>
      <c r="BI89" s="69"/>
      <c r="BJ89" s="69"/>
      <c r="BK89" s="69"/>
      <c r="BL89" s="194"/>
      <c r="BM89" s="190"/>
      <c r="BN89" s="53"/>
      <c r="BO89" s="194"/>
      <c r="BP89" s="240"/>
      <c r="BQ89" s="240"/>
      <c r="BR89" s="190">
        <v>11012</v>
      </c>
      <c r="BS89" s="190">
        <v>11085</v>
      </c>
      <c r="BT89" s="238">
        <v>11300</v>
      </c>
      <c r="BU89" s="238">
        <v>11300</v>
      </c>
      <c r="BV89" s="190">
        <v>12500</v>
      </c>
      <c r="BW89" s="190">
        <v>13098</v>
      </c>
      <c r="BX89" s="238">
        <v>13050</v>
      </c>
      <c r="BY89" s="238"/>
      <c r="BZ89" s="543">
        <f>(Tableau2[[#This Row],[juin-24]]-Tableau2[[#This Row],[avr-24]])/Tableau2[[#This Row],[avr-24]]</f>
        <v>-3.6646816307833257E-3</v>
      </c>
      <c r="CA89" s="548">
        <f>Tableau2[[#This Row],[juin-24]]-Tableau2[[#This Row],[avr-24]]</f>
        <v>-48</v>
      </c>
      <c r="CB89" s="16"/>
    </row>
    <row r="90" spans="1:80" x14ac:dyDescent="0.3">
      <c r="A90" s="68">
        <v>27</v>
      </c>
      <c r="B90" s="61" t="s">
        <v>80</v>
      </c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>
        <v>9921</v>
      </c>
      <c r="BF90" s="56">
        <v>10777</v>
      </c>
      <c r="BG90" s="56">
        <v>10962</v>
      </c>
      <c r="BH90" s="56">
        <v>11064</v>
      </c>
      <c r="BI90" s="56">
        <v>11103</v>
      </c>
      <c r="BJ90" s="56">
        <v>11132</v>
      </c>
      <c r="BK90" s="69">
        <v>11144</v>
      </c>
      <c r="BL90" s="195">
        <v>11161</v>
      </c>
      <c r="BM90" s="203"/>
      <c r="BN90" s="53"/>
      <c r="BO90" s="195">
        <v>11000</v>
      </c>
      <c r="BP90" s="238">
        <v>10970</v>
      </c>
      <c r="BQ90" s="238">
        <v>10670</v>
      </c>
      <c r="BR90" s="190">
        <v>10514</v>
      </c>
      <c r="BS90" s="190">
        <v>10480</v>
      </c>
      <c r="BT90" s="238">
        <v>10300</v>
      </c>
      <c r="BU90" s="238">
        <v>10243</v>
      </c>
      <c r="BV90" s="190">
        <v>9900</v>
      </c>
      <c r="BW90" s="190">
        <v>9756</v>
      </c>
      <c r="BX90" s="238">
        <v>9704</v>
      </c>
      <c r="BY90" s="238"/>
      <c r="BZ90" s="544">
        <f>(Tableau2[[#This Row],[juin-24]]-Tableau2[[#This Row],[avr-24]])/Tableau2[[#This Row],[avr-24]]</f>
        <v>-5.3300533005330051E-3</v>
      </c>
      <c r="CA90" s="548">
        <f>Tableau2[[#This Row],[juin-24]]-Tableau2[[#This Row],[avr-24]]</f>
        <v>-52</v>
      </c>
      <c r="CB90" s="14"/>
    </row>
    <row r="91" spans="1:80" x14ac:dyDescent="0.3">
      <c r="A91" s="68"/>
      <c r="B91" s="61" t="s">
        <v>61</v>
      </c>
      <c r="C91" s="56" t="s">
        <v>59</v>
      </c>
      <c r="D91" s="56" t="s">
        <v>49</v>
      </c>
      <c r="E91" s="69"/>
      <c r="F91" s="69"/>
      <c r="G91" s="69"/>
      <c r="H91" s="69">
        <v>4970</v>
      </c>
      <c r="I91" s="69">
        <v>5100</v>
      </c>
      <c r="J91" s="69">
        <v>5078</v>
      </c>
      <c r="K91" s="69">
        <v>5083</v>
      </c>
      <c r="L91" s="69">
        <v>5075</v>
      </c>
      <c r="M91" s="69">
        <v>5076</v>
      </c>
      <c r="N91" s="69">
        <v>5085</v>
      </c>
      <c r="O91" s="69">
        <v>5081</v>
      </c>
      <c r="P91" s="69">
        <v>5091</v>
      </c>
      <c r="Q91" s="69">
        <v>5100</v>
      </c>
      <c r="R91" s="69">
        <v>5095</v>
      </c>
      <c r="S91" s="69">
        <v>5064</v>
      </c>
      <c r="T91" s="69">
        <v>1084</v>
      </c>
      <c r="U91" s="69">
        <v>1052</v>
      </c>
      <c r="V91" s="69">
        <v>1045</v>
      </c>
      <c r="W91" s="69">
        <v>1025</v>
      </c>
      <c r="X91" s="69">
        <v>1031</v>
      </c>
      <c r="Y91" s="69">
        <v>1030</v>
      </c>
      <c r="Z91" s="69">
        <v>1033</v>
      </c>
      <c r="AA91" s="69">
        <v>1036</v>
      </c>
      <c r="AB91" s="69">
        <v>1031</v>
      </c>
      <c r="AC91" s="69">
        <v>1043</v>
      </c>
      <c r="AD91" s="69">
        <v>1055</v>
      </c>
      <c r="AE91" s="69">
        <v>1063</v>
      </c>
      <c r="AF91" s="69">
        <v>1073</v>
      </c>
      <c r="AG91" s="69">
        <v>1071</v>
      </c>
      <c r="AH91" s="69">
        <v>1074</v>
      </c>
      <c r="AI91" s="69">
        <v>1075</v>
      </c>
      <c r="AJ91" s="69">
        <v>1076</v>
      </c>
      <c r="AK91" s="69">
        <v>1296</v>
      </c>
      <c r="AL91" s="69">
        <v>6047</v>
      </c>
      <c r="AM91" s="69">
        <v>3768</v>
      </c>
      <c r="AN91" s="69">
        <v>3592</v>
      </c>
      <c r="AO91" s="69">
        <v>3531</v>
      </c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194"/>
      <c r="BM91" s="190"/>
      <c r="BN91" s="53"/>
      <c r="BO91" s="194"/>
      <c r="BP91" s="240"/>
      <c r="BQ91" s="240"/>
      <c r="BR91" s="190">
        <v>8688</v>
      </c>
      <c r="BS91" s="190">
        <v>9449</v>
      </c>
      <c r="BT91" s="238">
        <v>9303</v>
      </c>
      <c r="BU91" s="238">
        <v>9250</v>
      </c>
      <c r="BV91" s="190">
        <v>9393</v>
      </c>
      <c r="BW91" s="190">
        <v>9938</v>
      </c>
      <c r="BX91" s="238">
        <v>10098</v>
      </c>
      <c r="BY91" s="238"/>
      <c r="BZ91" s="543">
        <f>(Tableau2[[#This Row],[juin-24]]-Tableau2[[#This Row],[avr-24]])/Tableau2[[#This Row],[avr-24]]</f>
        <v>1.6099818877037632E-2</v>
      </c>
      <c r="CA91" s="548">
        <f>Tableau2[[#This Row],[juin-24]]-Tableau2[[#This Row],[avr-24]]</f>
        <v>160</v>
      </c>
      <c r="CB91" s="13"/>
    </row>
    <row r="92" spans="1:80" s="12" customFormat="1" x14ac:dyDescent="0.3">
      <c r="A92" s="75">
        <v>33</v>
      </c>
      <c r="B92" s="137" t="s">
        <v>36</v>
      </c>
      <c r="C92" s="136" t="s">
        <v>59</v>
      </c>
      <c r="D92" s="136" t="s">
        <v>49</v>
      </c>
      <c r="E92" s="138">
        <v>1231</v>
      </c>
      <c r="F92" s="138">
        <v>5521</v>
      </c>
      <c r="G92" s="138">
        <v>5500</v>
      </c>
      <c r="H92" s="138">
        <v>5579</v>
      </c>
      <c r="I92" s="138">
        <v>5602</v>
      </c>
      <c r="J92" s="138">
        <v>5592</v>
      </c>
      <c r="K92" s="138">
        <v>5979</v>
      </c>
      <c r="L92" s="138">
        <v>5664</v>
      </c>
      <c r="M92" s="138">
        <v>5660</v>
      </c>
      <c r="N92" s="138">
        <v>5655</v>
      </c>
      <c r="O92" s="138">
        <v>5641</v>
      </c>
      <c r="P92" s="138">
        <v>5708</v>
      </c>
      <c r="Q92" s="138">
        <v>5907</v>
      </c>
      <c r="R92" s="138">
        <v>7825</v>
      </c>
      <c r="S92" s="138">
        <v>7943</v>
      </c>
      <c r="T92" s="138">
        <v>7979</v>
      </c>
      <c r="U92" s="138">
        <v>7964</v>
      </c>
      <c r="V92" s="138">
        <v>7956</v>
      </c>
      <c r="W92" s="138">
        <v>7974</v>
      </c>
      <c r="X92" s="138">
        <v>7962</v>
      </c>
      <c r="Y92" s="138">
        <v>8016</v>
      </c>
      <c r="Z92" s="138">
        <v>8230</v>
      </c>
      <c r="AA92" s="138">
        <v>8236</v>
      </c>
      <c r="AB92" s="138">
        <v>8234</v>
      </c>
      <c r="AC92" s="138">
        <v>8218</v>
      </c>
      <c r="AD92" s="138">
        <v>8193</v>
      </c>
      <c r="AE92" s="138">
        <v>8182</v>
      </c>
      <c r="AF92" s="138">
        <v>8167</v>
      </c>
      <c r="AG92" s="138">
        <v>8164</v>
      </c>
      <c r="AH92" s="138">
        <v>8177</v>
      </c>
      <c r="AI92" s="138">
        <v>8167</v>
      </c>
      <c r="AJ92" s="138">
        <v>8165</v>
      </c>
      <c r="AK92" s="138">
        <v>8155</v>
      </c>
      <c r="AL92" s="138">
        <v>8147</v>
      </c>
      <c r="AM92" s="138">
        <v>8132</v>
      </c>
      <c r="AN92" s="138">
        <v>8256</v>
      </c>
      <c r="AO92" s="138">
        <v>8346</v>
      </c>
      <c r="AP92" s="138"/>
      <c r="AQ92" s="138"/>
      <c r="AR92" s="138"/>
      <c r="AS92" s="138"/>
      <c r="AT92" s="138"/>
      <c r="AU92" s="138">
        <v>8660</v>
      </c>
      <c r="AV92" s="138">
        <v>8694</v>
      </c>
      <c r="AW92" s="138">
        <v>8736</v>
      </c>
      <c r="AX92" s="138">
        <v>8786</v>
      </c>
      <c r="AY92" s="138">
        <v>8830</v>
      </c>
      <c r="AZ92" s="138">
        <v>8848</v>
      </c>
      <c r="BA92" s="138">
        <v>8944</v>
      </c>
      <c r="BB92" s="138">
        <v>8977</v>
      </c>
      <c r="BC92" s="138">
        <v>8997</v>
      </c>
      <c r="BD92" s="138">
        <v>8986</v>
      </c>
      <c r="BE92" s="138">
        <v>8981</v>
      </c>
      <c r="BF92" s="138">
        <v>8985</v>
      </c>
      <c r="BG92" s="138">
        <v>8993</v>
      </c>
      <c r="BH92" s="138">
        <v>8985</v>
      </c>
      <c r="BI92" s="138">
        <v>8967</v>
      </c>
      <c r="BJ92" s="138">
        <v>8960</v>
      </c>
      <c r="BK92" s="138">
        <v>8937</v>
      </c>
      <c r="BL92" s="196">
        <v>8863</v>
      </c>
      <c r="BM92" s="203"/>
      <c r="BN92" s="53"/>
      <c r="BO92" s="196">
        <v>8711</v>
      </c>
      <c r="BP92" s="239">
        <v>8686</v>
      </c>
      <c r="BQ92" s="239">
        <v>8489</v>
      </c>
      <c r="BR92" s="286"/>
      <c r="BS92" s="286"/>
      <c r="BT92" s="239">
        <v>8393</v>
      </c>
      <c r="BU92" s="239">
        <v>8349</v>
      </c>
      <c r="BV92" s="286">
        <v>8146</v>
      </c>
      <c r="BW92" s="286">
        <v>8043</v>
      </c>
      <c r="BX92" s="239">
        <v>8029</v>
      </c>
      <c r="BY92" s="239"/>
      <c r="BZ92" s="544">
        <f>(Tableau2[[#This Row],[juin-24]]-Tableau2[[#This Row],[avr-24]])/Tableau2[[#This Row],[avr-24]]</f>
        <v>-1.7406440382941688E-3</v>
      </c>
      <c r="CA92" s="548">
        <f>Tableau2[[#This Row],[juin-24]]-Tableau2[[#This Row],[avr-24]]</f>
        <v>-14</v>
      </c>
      <c r="CB92" s="13"/>
    </row>
    <row r="93" spans="1:80" x14ac:dyDescent="0.3">
      <c r="A93" s="74"/>
      <c r="B93" s="61" t="s">
        <v>42</v>
      </c>
      <c r="C93" s="56" t="s">
        <v>45</v>
      </c>
      <c r="D93" s="56" t="s">
        <v>49</v>
      </c>
      <c r="E93" s="69">
        <v>1247</v>
      </c>
      <c r="F93" s="69">
        <v>1247</v>
      </c>
      <c r="G93" s="69">
        <v>1256</v>
      </c>
      <c r="H93" s="69">
        <v>1260</v>
      </c>
      <c r="I93" s="69">
        <v>1261</v>
      </c>
      <c r="J93" s="69">
        <v>1267</v>
      </c>
      <c r="K93" s="69">
        <v>1271</v>
      </c>
      <c r="L93" s="69">
        <v>1386</v>
      </c>
      <c r="M93" s="69">
        <v>1378</v>
      </c>
      <c r="N93" s="69">
        <v>1379</v>
      </c>
      <c r="O93" s="69">
        <v>1384</v>
      </c>
      <c r="P93" s="69">
        <v>1383</v>
      </c>
      <c r="Q93" s="69">
        <v>1382</v>
      </c>
      <c r="R93" s="69">
        <v>1484</v>
      </c>
      <c r="S93" s="69">
        <v>1546</v>
      </c>
      <c r="T93" s="69">
        <v>1573</v>
      </c>
      <c r="U93" s="69">
        <v>1600</v>
      </c>
      <c r="V93" s="69">
        <v>1658</v>
      </c>
      <c r="W93" s="69">
        <v>1768</v>
      </c>
      <c r="X93" s="69">
        <v>2115</v>
      </c>
      <c r="Y93" s="69">
        <v>2139</v>
      </c>
      <c r="Z93" s="69">
        <v>2163</v>
      </c>
      <c r="AA93" s="69">
        <v>2174</v>
      </c>
      <c r="AB93" s="69">
        <v>2213</v>
      </c>
      <c r="AC93" s="69">
        <v>2256</v>
      </c>
      <c r="AD93" s="69">
        <v>2334</v>
      </c>
      <c r="AE93" s="69">
        <v>2457</v>
      </c>
      <c r="AF93" s="69">
        <v>2509</v>
      </c>
      <c r="AG93" s="69">
        <v>2540</v>
      </c>
      <c r="AH93" s="69">
        <v>2588</v>
      </c>
      <c r="AI93" s="69">
        <v>2733</v>
      </c>
      <c r="AJ93" s="69">
        <v>3350</v>
      </c>
      <c r="AK93" s="69">
        <v>3363</v>
      </c>
      <c r="AL93" s="69">
        <v>3367</v>
      </c>
      <c r="AM93" s="69">
        <v>3383</v>
      </c>
      <c r="AN93" s="69">
        <v>3395</v>
      </c>
      <c r="AO93" s="69">
        <v>3407</v>
      </c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194"/>
      <c r="BM93" s="190"/>
      <c r="BN93" s="53"/>
      <c r="BO93" s="194"/>
      <c r="BP93" s="240"/>
      <c r="BQ93" s="240"/>
      <c r="BR93" s="190">
        <v>7474</v>
      </c>
      <c r="BS93" s="190">
        <v>7476</v>
      </c>
      <c r="BT93" s="238">
        <v>8013</v>
      </c>
      <c r="BU93" s="238">
        <v>7950</v>
      </c>
      <c r="BV93" s="190">
        <v>8143</v>
      </c>
      <c r="BW93" s="190">
        <v>8048</v>
      </c>
      <c r="BX93" s="238">
        <v>8029</v>
      </c>
      <c r="BY93" s="238"/>
      <c r="BZ93" s="543">
        <f>(Tableau2[[#This Row],[juin-24]]-Tableau2[[#This Row],[avr-24]])/Tableau2[[#This Row],[avr-24]]</f>
        <v>-2.3608349900596419E-3</v>
      </c>
      <c r="CA93" s="548">
        <f>Tableau2[[#This Row],[juin-24]]-Tableau2[[#This Row],[avr-24]]</f>
        <v>-19</v>
      </c>
      <c r="CB93" s="13"/>
    </row>
    <row r="94" spans="1:80" x14ac:dyDescent="0.3">
      <c r="A94" s="75">
        <v>34</v>
      </c>
      <c r="B94" s="137" t="s">
        <v>152</v>
      </c>
      <c r="C94" s="136" t="s">
        <v>46</v>
      </c>
      <c r="D94" s="136" t="s">
        <v>50</v>
      </c>
      <c r="E94" s="138">
        <v>1237</v>
      </c>
      <c r="F94" s="138">
        <v>1249</v>
      </c>
      <c r="G94" s="138">
        <v>1262</v>
      </c>
      <c r="H94" s="138">
        <v>1274</v>
      </c>
      <c r="I94" s="138">
        <v>1283</v>
      </c>
      <c r="J94" s="138">
        <v>1282</v>
      </c>
      <c r="K94" s="138">
        <v>1308</v>
      </c>
      <c r="L94" s="138">
        <v>1356</v>
      </c>
      <c r="M94" s="138">
        <v>1379</v>
      </c>
      <c r="N94" s="138">
        <v>2117</v>
      </c>
      <c r="O94" s="138">
        <v>2117</v>
      </c>
      <c r="P94" s="138">
        <v>2125</v>
      </c>
      <c r="Q94" s="138">
        <v>2137</v>
      </c>
      <c r="R94" s="138">
        <v>2142</v>
      </c>
      <c r="S94" s="138">
        <v>2167</v>
      </c>
      <c r="T94" s="138">
        <v>2189</v>
      </c>
      <c r="U94" s="138">
        <v>2202</v>
      </c>
      <c r="V94" s="138">
        <v>2294</v>
      </c>
      <c r="W94" s="138">
        <v>2360</v>
      </c>
      <c r="X94" s="138">
        <v>2360</v>
      </c>
      <c r="Y94" s="138">
        <v>2485</v>
      </c>
      <c r="Z94" s="138">
        <v>2954</v>
      </c>
      <c r="AA94" s="138">
        <v>2996</v>
      </c>
      <c r="AB94" s="138">
        <v>3018</v>
      </c>
      <c r="AC94" s="138">
        <v>3036</v>
      </c>
      <c r="AD94" s="138">
        <v>3037</v>
      </c>
      <c r="AE94" s="138">
        <v>3048</v>
      </c>
      <c r="AF94" s="138">
        <v>3062</v>
      </c>
      <c r="AG94" s="138">
        <v>3082</v>
      </c>
      <c r="AH94" s="138">
        <v>3099</v>
      </c>
      <c r="AI94" s="138">
        <v>3142</v>
      </c>
      <c r="AJ94" s="138">
        <v>3193</v>
      </c>
      <c r="AK94" s="138">
        <v>3267</v>
      </c>
      <c r="AL94" s="138">
        <v>3706</v>
      </c>
      <c r="AM94" s="138">
        <v>3765</v>
      </c>
      <c r="AN94" s="138">
        <v>3858</v>
      </c>
      <c r="AO94" s="138">
        <v>3906</v>
      </c>
      <c r="AP94" s="138"/>
      <c r="AQ94" s="138"/>
      <c r="AR94" s="138"/>
      <c r="AS94" s="138"/>
      <c r="AT94" s="138"/>
      <c r="AU94" s="138">
        <v>4158</v>
      </c>
      <c r="AV94" s="138">
        <v>4262</v>
      </c>
      <c r="AW94" s="138">
        <v>4470</v>
      </c>
      <c r="AX94" s="138">
        <v>5128</v>
      </c>
      <c r="AY94" s="138">
        <v>5177</v>
      </c>
      <c r="AZ94" s="138">
        <v>5195</v>
      </c>
      <c r="BA94" s="138">
        <v>5266</v>
      </c>
      <c r="BB94" s="138">
        <v>5332</v>
      </c>
      <c r="BC94" s="138">
        <v>5330</v>
      </c>
      <c r="BD94" s="138">
        <v>5382</v>
      </c>
      <c r="BE94" s="138">
        <v>5402</v>
      </c>
      <c r="BF94" s="138">
        <v>5433</v>
      </c>
      <c r="BG94" s="138">
        <v>5457</v>
      </c>
      <c r="BH94" s="138">
        <v>5524</v>
      </c>
      <c r="BI94" s="138">
        <v>5643</v>
      </c>
      <c r="BJ94" s="138">
        <v>6027</v>
      </c>
      <c r="BK94" s="138">
        <v>6050</v>
      </c>
      <c r="BL94" s="196">
        <v>6130</v>
      </c>
      <c r="BM94" s="203"/>
      <c r="BN94" s="53"/>
      <c r="BO94" s="196">
        <v>6300</v>
      </c>
      <c r="BP94" s="239">
        <v>6674</v>
      </c>
      <c r="BQ94" s="239">
        <v>6803</v>
      </c>
      <c r="BR94" s="286">
        <v>7402</v>
      </c>
      <c r="BS94" s="286">
        <v>7422</v>
      </c>
      <c r="BT94" s="239">
        <v>7484</v>
      </c>
      <c r="BU94" s="239">
        <v>7762</v>
      </c>
      <c r="BV94" s="286">
        <v>8249</v>
      </c>
      <c r="BW94" s="286">
        <v>8416</v>
      </c>
      <c r="BX94" s="239">
        <v>8457</v>
      </c>
      <c r="BY94" s="239"/>
      <c r="BZ94" s="544">
        <f>(Tableau2[[#This Row],[juin-24]]-Tableau2[[#This Row],[avr-24]])/Tableau2[[#This Row],[avr-24]]</f>
        <v>4.8716730038022814E-3</v>
      </c>
      <c r="CA94" s="548">
        <f>Tableau2[[#This Row],[juin-24]]-Tableau2[[#This Row],[avr-24]]</f>
        <v>41</v>
      </c>
      <c r="CB94" s="14"/>
    </row>
    <row r="95" spans="1:80" x14ac:dyDescent="0.3">
      <c r="A95" s="68"/>
      <c r="B95" s="61" t="s">
        <v>32</v>
      </c>
      <c r="C95" s="56" t="s">
        <v>59</v>
      </c>
      <c r="D95" s="56" t="s">
        <v>50</v>
      </c>
      <c r="E95" s="139"/>
      <c r="F95" s="139"/>
      <c r="G95" s="139"/>
      <c r="H95" s="139">
        <v>870</v>
      </c>
      <c r="I95" s="139">
        <v>867</v>
      </c>
      <c r="J95" s="139">
        <v>870</v>
      </c>
      <c r="K95" s="139">
        <v>1774</v>
      </c>
      <c r="L95" s="139">
        <v>1741</v>
      </c>
      <c r="M95" s="139">
        <v>1736</v>
      </c>
      <c r="N95" s="139">
        <v>1730</v>
      </c>
      <c r="O95" s="139">
        <v>1731</v>
      </c>
      <c r="P95" s="139">
        <v>1731</v>
      </c>
      <c r="Q95" s="139">
        <v>1727</v>
      </c>
      <c r="R95" s="139">
        <v>1725</v>
      </c>
      <c r="S95" s="139">
        <v>1735</v>
      </c>
      <c r="T95" s="139">
        <v>1731</v>
      </c>
      <c r="U95" s="139">
        <v>1734</v>
      </c>
      <c r="V95" s="139">
        <v>1740</v>
      </c>
      <c r="W95" s="139">
        <v>2475</v>
      </c>
      <c r="X95" s="139">
        <v>2450</v>
      </c>
      <c r="Y95" s="139">
        <v>2443</v>
      </c>
      <c r="Z95" s="139">
        <v>2430</v>
      </c>
      <c r="AA95" s="139">
        <v>2423</v>
      </c>
      <c r="AB95" s="139">
        <v>2420</v>
      </c>
      <c r="AC95" s="139">
        <v>2412</v>
      </c>
      <c r="AD95" s="139">
        <v>2411</v>
      </c>
      <c r="AE95" s="139">
        <v>2422</v>
      </c>
      <c r="AF95" s="139">
        <v>2425</v>
      </c>
      <c r="AG95" s="139">
        <v>2422</v>
      </c>
      <c r="AH95" s="139">
        <v>2418</v>
      </c>
      <c r="AI95" s="139">
        <v>3235</v>
      </c>
      <c r="AJ95" s="139">
        <v>3204</v>
      </c>
      <c r="AK95" s="139">
        <v>3195</v>
      </c>
      <c r="AL95" s="139">
        <v>3183</v>
      </c>
      <c r="AM95" s="139">
        <v>3185</v>
      </c>
      <c r="AN95" s="139">
        <v>3181</v>
      </c>
      <c r="AO95" s="139">
        <v>3171</v>
      </c>
      <c r="AP95" s="139"/>
      <c r="AQ95" s="139"/>
      <c r="AR95" s="139"/>
      <c r="AS95" s="139"/>
      <c r="AT95" s="139"/>
      <c r="AU95" s="139"/>
      <c r="AV95" s="139"/>
      <c r="AW95" s="139"/>
      <c r="AX95" s="139"/>
      <c r="AY95" s="139"/>
      <c r="AZ95" s="139"/>
      <c r="BA95" s="139"/>
      <c r="BB95" s="139"/>
      <c r="BC95" s="139"/>
      <c r="BD95" s="139"/>
      <c r="BE95" s="139"/>
      <c r="BF95" s="139"/>
      <c r="BG95" s="139"/>
      <c r="BH95" s="139"/>
      <c r="BI95" s="139"/>
      <c r="BJ95" s="139"/>
      <c r="BK95" s="139"/>
      <c r="BL95" s="194"/>
      <c r="BM95" s="190"/>
      <c r="BN95" s="53"/>
      <c r="BO95" s="194"/>
      <c r="BP95" s="240"/>
      <c r="BQ95" s="240"/>
      <c r="BR95" s="190">
        <v>6045</v>
      </c>
      <c r="BS95" s="190">
        <v>6038</v>
      </c>
      <c r="BT95" s="238">
        <v>7172</v>
      </c>
      <c r="BU95" s="238">
        <v>7115</v>
      </c>
      <c r="BV95" s="190">
        <v>7751</v>
      </c>
      <c r="BW95" s="190">
        <v>7675</v>
      </c>
      <c r="BX95" s="238">
        <v>7651</v>
      </c>
      <c r="BY95" s="238"/>
      <c r="BZ95" s="543">
        <f>(Tableau2[[#This Row],[juin-24]]-Tableau2[[#This Row],[avr-24]])/Tableau2[[#This Row],[avr-24]]</f>
        <v>-3.1270358306188925E-3</v>
      </c>
      <c r="CA95" s="548">
        <f>Tableau2[[#This Row],[juin-24]]-Tableau2[[#This Row],[avr-24]]</f>
        <v>-24</v>
      </c>
      <c r="CB95" s="14"/>
    </row>
    <row r="96" spans="1:80" x14ac:dyDescent="0.3">
      <c r="A96" s="68"/>
      <c r="B96" s="61" t="s">
        <v>60</v>
      </c>
      <c r="C96" s="56" t="s">
        <v>59</v>
      </c>
      <c r="D96" s="56" t="s">
        <v>50</v>
      </c>
      <c r="E96" s="69">
        <v>4106</v>
      </c>
      <c r="F96" s="69">
        <v>4114</v>
      </c>
      <c r="G96" s="69">
        <v>4138</v>
      </c>
      <c r="H96" s="69">
        <v>4170</v>
      </c>
      <c r="I96" s="69">
        <v>4184</v>
      </c>
      <c r="J96" s="69">
        <v>4197</v>
      </c>
      <c r="K96" s="69">
        <v>4202</v>
      </c>
      <c r="L96" s="69">
        <v>5324</v>
      </c>
      <c r="M96" s="69">
        <v>5290</v>
      </c>
      <c r="N96" s="69">
        <v>5270</v>
      </c>
      <c r="O96" s="69">
        <v>5249</v>
      </c>
      <c r="P96" s="69">
        <v>5225</v>
      </c>
      <c r="Q96" s="69">
        <v>5223</v>
      </c>
      <c r="R96" s="69">
        <v>5235</v>
      </c>
      <c r="S96" s="69">
        <v>5242</v>
      </c>
      <c r="T96" s="69">
        <v>5237</v>
      </c>
      <c r="U96" s="69">
        <v>5254</v>
      </c>
      <c r="V96" s="69">
        <v>5252</v>
      </c>
      <c r="W96" s="69">
        <v>5262</v>
      </c>
      <c r="X96" s="69">
        <v>5300</v>
      </c>
      <c r="Y96" s="69">
        <v>5929</v>
      </c>
      <c r="Z96" s="69">
        <v>5917</v>
      </c>
      <c r="AA96" s="69">
        <v>5910</v>
      </c>
      <c r="AB96" s="69">
        <v>5900</v>
      </c>
      <c r="AC96" s="69">
        <v>5898</v>
      </c>
      <c r="AD96" s="69">
        <v>5894</v>
      </c>
      <c r="AE96" s="69">
        <v>5894</v>
      </c>
      <c r="AF96" s="69">
        <v>5884</v>
      </c>
      <c r="AG96" s="69">
        <v>5886</v>
      </c>
      <c r="AH96" s="69">
        <v>5877</v>
      </c>
      <c r="AI96" s="69">
        <v>5873</v>
      </c>
      <c r="AJ96" s="69">
        <v>5894</v>
      </c>
      <c r="AK96" s="69">
        <v>6616</v>
      </c>
      <c r="AL96" s="69">
        <v>6588</v>
      </c>
      <c r="AM96" s="69">
        <v>6566</v>
      </c>
      <c r="AN96" s="69">
        <v>6546</v>
      </c>
      <c r="AO96" s="69">
        <v>6535</v>
      </c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194"/>
      <c r="BM96" s="190"/>
      <c r="BN96" s="53"/>
      <c r="BO96" s="194"/>
      <c r="BP96" s="240"/>
      <c r="BQ96" s="240"/>
      <c r="BR96" s="190">
        <v>7172</v>
      </c>
      <c r="BS96" s="190">
        <v>7157</v>
      </c>
      <c r="BT96" s="238">
        <v>7985</v>
      </c>
      <c r="BU96" s="238">
        <v>7829</v>
      </c>
      <c r="BV96" s="190">
        <v>8051</v>
      </c>
      <c r="BW96" s="190">
        <v>7973</v>
      </c>
      <c r="BX96" s="238">
        <v>7960</v>
      </c>
      <c r="BY96" s="238"/>
      <c r="BZ96" s="543">
        <f>(Tableau2[[#This Row],[juin-24]]-Tableau2[[#This Row],[avr-24]])/Tableau2[[#This Row],[avr-24]]</f>
        <v>-1.6305029474476358E-3</v>
      </c>
      <c r="CA96" s="548">
        <f>Tableau2[[#This Row],[juin-24]]-Tableau2[[#This Row],[avr-24]]</f>
        <v>-13</v>
      </c>
      <c r="CB96" s="14"/>
    </row>
    <row r="97" spans="1:80" x14ac:dyDescent="0.3">
      <c r="A97" s="349">
        <v>38</v>
      </c>
      <c r="B97" s="156" t="s">
        <v>278</v>
      </c>
      <c r="C97" s="56" t="s">
        <v>45</v>
      </c>
      <c r="D97" s="136" t="s">
        <v>49</v>
      </c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  <c r="AI97" s="307"/>
      <c r="AJ97" s="307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308"/>
      <c r="BM97" s="406"/>
      <c r="BN97" s="310"/>
      <c r="BO97" s="53"/>
      <c r="BP97" s="406"/>
      <c r="BQ97" s="406"/>
      <c r="BR97" s="406"/>
      <c r="BS97" s="406"/>
      <c r="BT97" s="406">
        <v>6425</v>
      </c>
      <c r="BU97" s="406">
        <v>6387</v>
      </c>
      <c r="BV97" s="403">
        <v>6635</v>
      </c>
      <c r="BW97" s="403">
        <v>6625</v>
      </c>
      <c r="BX97" s="406">
        <v>6651</v>
      </c>
      <c r="BY97" s="406"/>
      <c r="BZ97" s="544">
        <f>(Tableau2[[#This Row],[juin-24]]-Tableau2[[#This Row],[avr-24]])/Tableau2[[#This Row],[avr-24]]</f>
        <v>3.9245283018867925E-3</v>
      </c>
      <c r="CA97" s="548">
        <f>Tableau2[[#This Row],[juin-24]]-Tableau2[[#This Row],[avr-24]]</f>
        <v>26</v>
      </c>
      <c r="CB97" s="14"/>
    </row>
    <row r="98" spans="1:80" x14ac:dyDescent="0.3">
      <c r="A98" s="74"/>
      <c r="B98" s="61" t="s">
        <v>38</v>
      </c>
      <c r="C98" s="56" t="s">
        <v>45</v>
      </c>
      <c r="D98" s="56" t="s">
        <v>49</v>
      </c>
      <c r="E98" s="69">
        <v>1376</v>
      </c>
      <c r="F98" s="69">
        <v>1401</v>
      </c>
      <c r="G98" s="69">
        <v>1519</v>
      </c>
      <c r="H98" s="69">
        <v>1620</v>
      </c>
      <c r="I98" s="69">
        <v>1773</v>
      </c>
      <c r="J98" s="69">
        <v>1773</v>
      </c>
      <c r="K98" s="69">
        <v>1783</v>
      </c>
      <c r="L98" s="69">
        <v>1827</v>
      </c>
      <c r="M98" s="69">
        <v>1826</v>
      </c>
      <c r="N98" s="69">
        <v>1837</v>
      </c>
      <c r="O98" s="69">
        <v>1844</v>
      </c>
      <c r="P98" s="69">
        <v>1863</v>
      </c>
      <c r="Q98" s="69">
        <v>1892</v>
      </c>
      <c r="R98" s="69">
        <v>1904</v>
      </c>
      <c r="S98" s="69">
        <v>1957</v>
      </c>
      <c r="T98" s="69">
        <v>2319</v>
      </c>
      <c r="U98" s="69">
        <v>2329</v>
      </c>
      <c r="V98" s="69">
        <v>2332</v>
      </c>
      <c r="W98" s="69">
        <v>2342</v>
      </c>
      <c r="X98" s="69">
        <v>2352</v>
      </c>
      <c r="Y98" s="69">
        <v>2356</v>
      </c>
      <c r="Z98" s="69">
        <v>2357</v>
      </c>
      <c r="AA98" s="69">
        <v>2369</v>
      </c>
      <c r="AB98" s="69">
        <v>2369</v>
      </c>
      <c r="AC98" s="69">
        <v>2376</v>
      </c>
      <c r="AD98" s="69">
        <v>2400</v>
      </c>
      <c r="AE98" s="69">
        <v>2418</v>
      </c>
      <c r="AF98" s="69">
        <v>3099</v>
      </c>
      <c r="AG98" s="69">
        <v>3079</v>
      </c>
      <c r="AH98" s="69">
        <v>3077</v>
      </c>
      <c r="AI98" s="69">
        <v>3076</v>
      </c>
      <c r="AJ98" s="69">
        <v>3087</v>
      </c>
      <c r="AK98" s="69">
        <v>3099</v>
      </c>
      <c r="AL98" s="69">
        <v>3097</v>
      </c>
      <c r="AM98" s="69">
        <v>3098</v>
      </c>
      <c r="AN98" s="69">
        <v>3104</v>
      </c>
      <c r="AO98" s="69">
        <v>3120</v>
      </c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194"/>
      <c r="BM98" s="190"/>
      <c r="BN98" s="53"/>
      <c r="BO98" s="194"/>
      <c r="BP98" s="240"/>
      <c r="BQ98" s="240"/>
      <c r="BR98" s="190">
        <v>5600</v>
      </c>
      <c r="BS98" s="190">
        <v>6064</v>
      </c>
      <c r="BT98" s="238">
        <v>6018</v>
      </c>
      <c r="BU98" s="238">
        <v>5982</v>
      </c>
      <c r="BV98" s="190">
        <v>6278</v>
      </c>
      <c r="BW98" s="190">
        <v>6246</v>
      </c>
      <c r="BX98" s="238">
        <v>6727</v>
      </c>
      <c r="BY98" s="238"/>
      <c r="BZ98" s="543">
        <f>(Tableau2[[#This Row],[juin-24]]-Tableau2[[#This Row],[avr-24]])/Tableau2[[#This Row],[avr-24]]</f>
        <v>7.7009285943003519E-2</v>
      </c>
      <c r="CA98" s="548">
        <f>Tableau2[[#This Row],[juin-24]]-Tableau2[[#This Row],[avr-24]]</f>
        <v>481</v>
      </c>
      <c r="CB98" s="14"/>
    </row>
    <row r="99" spans="1:80" x14ac:dyDescent="0.3">
      <c r="A99" s="74"/>
      <c r="B99" s="156" t="s">
        <v>407</v>
      </c>
      <c r="C99" s="56"/>
      <c r="D99" s="56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338"/>
      <c r="BM99" s="190"/>
      <c r="BN99" s="53"/>
      <c r="BO99" s="194"/>
      <c r="BP99" s="287"/>
      <c r="BQ99" s="287"/>
      <c r="BR99" s="190"/>
      <c r="BS99" s="190">
        <v>5624</v>
      </c>
      <c r="BT99" s="238">
        <v>5785</v>
      </c>
      <c r="BU99" s="238">
        <v>5738</v>
      </c>
      <c r="BV99" s="190">
        <v>7124</v>
      </c>
      <c r="BW99" s="190"/>
      <c r="BX99" s="238">
        <v>8108</v>
      </c>
      <c r="BY99" s="238"/>
      <c r="BZ99" s="543">
        <f>(Tableau2[[#This Row],[juin-24]]-Tableau2[[#This Row],[oct-23]])/Tableau2[[#This Row],[oct-23]]</f>
        <v>0.13812464907355418</v>
      </c>
      <c r="CA99" s="548">
        <f>Tableau2[[#This Row],[juin-24]]-Tableau2[[#This Row],[oct-23]]</f>
        <v>984</v>
      </c>
      <c r="CB99" s="15"/>
    </row>
    <row r="100" spans="1:80" x14ac:dyDescent="0.3">
      <c r="A100" s="75">
        <v>32</v>
      </c>
      <c r="B100" s="137" t="s">
        <v>155</v>
      </c>
      <c r="C100" s="136" t="s">
        <v>46</v>
      </c>
      <c r="D100" s="136" t="s">
        <v>49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  <c r="AU100" s="138"/>
      <c r="AV100" s="138">
        <v>2662</v>
      </c>
      <c r="AW100" s="138">
        <v>2643</v>
      </c>
      <c r="AX100" s="138">
        <v>2628</v>
      </c>
      <c r="AY100" s="138">
        <v>2606</v>
      </c>
      <c r="AZ100" s="138">
        <v>2597</v>
      </c>
      <c r="BA100" s="138">
        <v>2591</v>
      </c>
      <c r="BB100" s="138">
        <v>2617</v>
      </c>
      <c r="BC100" s="138">
        <v>2645</v>
      </c>
      <c r="BD100" s="138">
        <v>2675</v>
      </c>
      <c r="BE100" s="138">
        <v>2719</v>
      </c>
      <c r="BF100" s="138">
        <v>2744</v>
      </c>
      <c r="BG100" s="138">
        <v>2897</v>
      </c>
      <c r="BH100" s="138">
        <v>4135</v>
      </c>
      <c r="BI100" s="138">
        <v>4099</v>
      </c>
      <c r="BJ100" s="138">
        <v>4089</v>
      </c>
      <c r="BK100" s="138">
        <v>4073</v>
      </c>
      <c r="BL100" s="196">
        <v>4095</v>
      </c>
      <c r="BM100" s="203"/>
      <c r="BN100" s="53"/>
      <c r="BO100" s="196">
        <v>4268</v>
      </c>
      <c r="BP100" s="239">
        <v>4292</v>
      </c>
      <c r="BQ100" s="239">
        <v>5095</v>
      </c>
      <c r="BR100" s="286">
        <v>5136</v>
      </c>
      <c r="BS100" s="286">
        <v>5165</v>
      </c>
      <c r="BT100" s="239">
        <v>6145</v>
      </c>
      <c r="BU100" s="239">
        <v>5978</v>
      </c>
      <c r="BV100" s="286">
        <v>6905</v>
      </c>
      <c r="BW100" s="286">
        <v>6741</v>
      </c>
      <c r="BX100" s="239">
        <v>6729</v>
      </c>
      <c r="BY100" s="239"/>
      <c r="BZ100" s="543">
        <f>(Tableau2[[#This Row],[juin-24]]-Tableau2[[#This Row],[avr-24]])/Tableau2[[#This Row],[avr-24]]</f>
        <v>-1.7801513128615932E-3</v>
      </c>
      <c r="CA100" s="548">
        <f>Tableau2[[#This Row],[juin-24]]-Tableau2[[#This Row],[avr-24]]</f>
        <v>-12</v>
      </c>
      <c r="CB100" s="15"/>
    </row>
    <row r="101" spans="1:80" x14ac:dyDescent="0.3">
      <c r="A101" s="75">
        <v>39</v>
      </c>
      <c r="B101" s="156" t="s">
        <v>280</v>
      </c>
      <c r="C101" s="56" t="s">
        <v>45</v>
      </c>
      <c r="D101" s="56" t="s">
        <v>49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334"/>
      <c r="BM101" s="335"/>
      <c r="BN101" s="53"/>
      <c r="BO101" s="53"/>
      <c r="BP101" s="403"/>
      <c r="BQ101" s="403"/>
      <c r="BR101" s="403"/>
      <c r="BS101" s="403"/>
      <c r="BT101" s="403">
        <v>3744</v>
      </c>
      <c r="BU101" s="406">
        <v>3701</v>
      </c>
      <c r="BV101" s="403">
        <v>3753</v>
      </c>
      <c r="BW101" s="403">
        <v>3796</v>
      </c>
      <c r="BX101" s="406">
        <v>3785</v>
      </c>
      <c r="BY101" s="403"/>
      <c r="BZ101" s="544">
        <f>(Tableau2[[#This Row],[juin-24]]-Tableau2[[#This Row],[avr-24]])/Tableau2[[#This Row],[avr-24]]</f>
        <v>-2.897787144362487E-3</v>
      </c>
      <c r="CA101" s="548">
        <f>Tableau2[[#This Row],[juin-24]]-Tableau2[[#This Row],[avr-24]]</f>
        <v>-11</v>
      </c>
      <c r="CB101" s="15"/>
    </row>
    <row r="102" spans="1:80" ht="16.5" customHeight="1" x14ac:dyDescent="0.3">
      <c r="A102" s="68"/>
      <c r="B102" s="61" t="s">
        <v>33</v>
      </c>
      <c r="C102" s="56" t="s">
        <v>59</v>
      </c>
      <c r="D102" s="56" t="s">
        <v>50</v>
      </c>
      <c r="E102" s="69">
        <v>473</v>
      </c>
      <c r="F102" s="69">
        <v>474</v>
      </c>
      <c r="G102" s="69">
        <v>507</v>
      </c>
      <c r="H102" s="69">
        <v>520</v>
      </c>
      <c r="I102" s="69">
        <v>534</v>
      </c>
      <c r="J102" s="69">
        <v>548</v>
      </c>
      <c r="K102" s="69">
        <v>556</v>
      </c>
      <c r="L102" s="69">
        <v>778</v>
      </c>
      <c r="M102" s="69">
        <v>775</v>
      </c>
      <c r="N102" s="69">
        <v>794</v>
      </c>
      <c r="O102" s="69">
        <v>805</v>
      </c>
      <c r="P102" s="69">
        <v>822</v>
      </c>
      <c r="Q102" s="69">
        <v>839</v>
      </c>
      <c r="R102" s="69">
        <v>876</v>
      </c>
      <c r="S102" s="69">
        <v>910</v>
      </c>
      <c r="T102" s="69">
        <v>951</v>
      </c>
      <c r="U102" s="69">
        <v>983</v>
      </c>
      <c r="V102" s="69">
        <v>1004</v>
      </c>
      <c r="W102" s="69">
        <v>1051</v>
      </c>
      <c r="X102" s="69">
        <v>1277</v>
      </c>
      <c r="Y102" s="69">
        <v>1286</v>
      </c>
      <c r="Z102" s="69">
        <v>1308</v>
      </c>
      <c r="AA102" s="69">
        <v>1311</v>
      </c>
      <c r="AB102" s="69">
        <v>1312</v>
      </c>
      <c r="AC102" s="69">
        <v>1314</v>
      </c>
      <c r="AD102" s="69">
        <v>1314</v>
      </c>
      <c r="AE102" s="69">
        <v>1314</v>
      </c>
      <c r="AF102" s="69">
        <v>1315</v>
      </c>
      <c r="AG102" s="69">
        <v>1324</v>
      </c>
      <c r="AH102" s="69">
        <v>1329</v>
      </c>
      <c r="AI102" s="69">
        <v>1365</v>
      </c>
      <c r="AJ102" s="69">
        <v>1603</v>
      </c>
      <c r="AK102" s="69">
        <v>1627</v>
      </c>
      <c r="AL102" s="69">
        <v>1645</v>
      </c>
      <c r="AM102" s="69">
        <v>1643</v>
      </c>
      <c r="AN102" s="69">
        <v>1641</v>
      </c>
      <c r="AO102" s="69">
        <v>1640</v>
      </c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194"/>
      <c r="BM102" s="339"/>
      <c r="BN102" s="53"/>
      <c r="BO102" s="407"/>
      <c r="BP102" s="409"/>
      <c r="BQ102" s="409"/>
      <c r="BR102" s="408">
        <v>2950</v>
      </c>
      <c r="BS102" s="408">
        <v>2958</v>
      </c>
      <c r="BT102" s="410">
        <v>3168</v>
      </c>
      <c r="BU102" s="410">
        <v>3152</v>
      </c>
      <c r="BV102" s="408">
        <v>3164</v>
      </c>
      <c r="BW102" s="408">
        <v>3143</v>
      </c>
      <c r="BX102" s="410">
        <v>3134</v>
      </c>
      <c r="BY102" s="410"/>
      <c r="BZ102" s="543">
        <f>(Tableau2[[#This Row],[juin-24]]-Tableau2[[#This Row],[avr-24]])/Tableau2[[#This Row],[avr-24]]</f>
        <v>-2.8635062042634426E-3</v>
      </c>
      <c r="CA102" s="548">
        <f>Tableau2[[#This Row],[juin-24]]-Tableau2[[#This Row],[avr-24]]</f>
        <v>-9</v>
      </c>
    </row>
    <row r="103" spans="1:80" s="355" customFormat="1" ht="16.5" customHeight="1" x14ac:dyDescent="0.3">
      <c r="A103" s="74"/>
      <c r="B103" s="61" t="s">
        <v>107</v>
      </c>
      <c r="C103" s="56" t="s">
        <v>59</v>
      </c>
      <c r="D103" s="56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>
        <v>1177</v>
      </c>
      <c r="AM103" s="69">
        <v>1172</v>
      </c>
      <c r="AN103" s="69">
        <v>1175</v>
      </c>
      <c r="AO103" s="69">
        <v>1180</v>
      </c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194"/>
      <c r="BM103" s="339"/>
      <c r="BN103" s="53"/>
      <c r="BO103" s="407"/>
      <c r="BP103" s="409"/>
      <c r="BQ103" s="409"/>
      <c r="BR103" s="408">
        <v>2404</v>
      </c>
      <c r="BS103" s="408">
        <v>2407</v>
      </c>
      <c r="BT103" s="410">
        <v>2404</v>
      </c>
      <c r="BU103" s="410">
        <v>2391</v>
      </c>
      <c r="BV103" s="408">
        <v>2430</v>
      </c>
      <c r="BW103" s="408">
        <v>2653</v>
      </c>
      <c r="BX103" s="410">
        <v>2644</v>
      </c>
      <c r="BY103" s="410"/>
      <c r="BZ103" s="544">
        <f>(Tableau2[[#This Row],[juin-24]]-Tableau2[[#This Row],[avr-24]])/Tableau2[[#This Row],[avr-24]]</f>
        <v>-3.3923859781379568E-3</v>
      </c>
      <c r="CA103" s="548">
        <f>Tableau2[[#This Row],[juin-24]]-Tableau2[[#This Row],[avr-24]]</f>
        <v>-9</v>
      </c>
    </row>
    <row r="104" spans="1:80" ht="16.5" customHeight="1" x14ac:dyDescent="0.3">
      <c r="A104" s="74"/>
      <c r="B104" s="61" t="s">
        <v>40</v>
      </c>
      <c r="C104" s="56" t="s">
        <v>45</v>
      </c>
      <c r="D104" s="56" t="s">
        <v>49</v>
      </c>
      <c r="E104" s="69">
        <v>1216</v>
      </c>
      <c r="F104" s="69">
        <v>1236</v>
      </c>
      <c r="G104" s="69">
        <v>1253</v>
      </c>
      <c r="H104" s="69">
        <v>1296</v>
      </c>
      <c r="I104" s="69">
        <v>1626</v>
      </c>
      <c r="J104" s="69">
        <v>1627</v>
      </c>
      <c r="K104" s="69">
        <v>1637</v>
      </c>
      <c r="L104" s="69">
        <v>1642</v>
      </c>
      <c r="M104" s="69">
        <v>1641</v>
      </c>
      <c r="N104" s="69">
        <v>1648</v>
      </c>
      <c r="O104" s="69">
        <v>1652</v>
      </c>
      <c r="P104" s="69">
        <v>1657</v>
      </c>
      <c r="Q104" s="69">
        <v>1665</v>
      </c>
      <c r="R104" s="69">
        <v>1679</v>
      </c>
      <c r="S104" s="69">
        <v>1700</v>
      </c>
      <c r="T104" s="69">
        <v>1721</v>
      </c>
      <c r="U104" s="69">
        <v>1728</v>
      </c>
      <c r="V104" s="69">
        <v>1727</v>
      </c>
      <c r="W104" s="69">
        <v>1748</v>
      </c>
      <c r="X104" s="69">
        <v>1759</v>
      </c>
      <c r="Y104" s="69">
        <v>1774</v>
      </c>
      <c r="Z104" s="69">
        <v>1783</v>
      </c>
      <c r="AA104" s="69">
        <v>1794</v>
      </c>
      <c r="AB104" s="69">
        <v>1801</v>
      </c>
      <c r="AC104" s="69">
        <v>1812</v>
      </c>
      <c r="AD104" s="69">
        <v>1830</v>
      </c>
      <c r="AE104" s="69">
        <v>1847</v>
      </c>
      <c r="AF104" s="69">
        <v>1862</v>
      </c>
      <c r="AG104" s="69">
        <v>1869</v>
      </c>
      <c r="AH104" s="69">
        <v>1873</v>
      </c>
      <c r="AI104" s="69">
        <v>1873</v>
      </c>
      <c r="AJ104" s="69">
        <v>1873</v>
      </c>
      <c r="AK104" s="69">
        <v>1878</v>
      </c>
      <c r="AL104" s="69">
        <v>1879</v>
      </c>
      <c r="AM104" s="69">
        <v>1880</v>
      </c>
      <c r="AN104" s="69">
        <v>1878</v>
      </c>
      <c r="AO104" s="69">
        <v>1873</v>
      </c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194"/>
      <c r="BM104" s="339"/>
      <c r="BN104" s="53"/>
      <c r="BO104" s="407"/>
      <c r="BP104" s="409"/>
      <c r="BQ104" s="409"/>
      <c r="BR104" s="408">
        <v>1668</v>
      </c>
      <c r="BS104" s="408">
        <v>1661</v>
      </c>
      <c r="BT104" s="410">
        <v>1651</v>
      </c>
      <c r="BU104" s="410">
        <v>1628</v>
      </c>
      <c r="BV104" s="408">
        <v>1591</v>
      </c>
      <c r="BW104" s="408">
        <v>1574</v>
      </c>
      <c r="BX104" s="410">
        <v>1570</v>
      </c>
      <c r="BY104" s="410"/>
      <c r="BZ104" s="543">
        <f>(Tableau2[[#This Row],[juin-24]]-Tableau2[[#This Row],[avr-24]])/Tableau2[[#This Row],[avr-24]]</f>
        <v>-2.5412960609911056E-3</v>
      </c>
      <c r="CA104" s="548">
        <f>Tableau2[[#This Row],[juin-24]]-Tableau2[[#This Row],[avr-24]]</f>
        <v>-4</v>
      </c>
    </row>
    <row r="105" spans="1:80" ht="16.5" customHeight="1" x14ac:dyDescent="0.3">
      <c r="A105" s="74">
        <v>5</v>
      </c>
      <c r="B105" s="61" t="s">
        <v>39</v>
      </c>
      <c r="C105" s="56" t="s">
        <v>59</v>
      </c>
      <c r="D105" s="56" t="s">
        <v>49</v>
      </c>
      <c r="E105" s="69">
        <v>31959</v>
      </c>
      <c r="F105" s="69">
        <v>32356</v>
      </c>
      <c r="G105" s="69">
        <v>32634</v>
      </c>
      <c r="H105" s="69">
        <v>33167</v>
      </c>
      <c r="I105" s="69">
        <v>36080</v>
      </c>
      <c r="J105" s="69">
        <v>36162</v>
      </c>
      <c r="K105" s="69">
        <v>36349</v>
      </c>
      <c r="L105" s="69">
        <v>36483</v>
      </c>
      <c r="M105" s="69">
        <v>36482</v>
      </c>
      <c r="N105" s="69">
        <v>36560</v>
      </c>
      <c r="O105" s="69">
        <v>36588</v>
      </c>
      <c r="P105" s="69">
        <v>36630</v>
      </c>
      <c r="Q105" s="69">
        <v>36796</v>
      </c>
      <c r="R105" s="69">
        <v>36943</v>
      </c>
      <c r="S105" s="69">
        <v>37173</v>
      </c>
      <c r="T105" s="69">
        <v>37365</v>
      </c>
      <c r="U105" s="69">
        <v>40161</v>
      </c>
      <c r="V105" s="69">
        <v>40038</v>
      </c>
      <c r="W105" s="69">
        <v>40137</v>
      </c>
      <c r="X105" s="69">
        <v>40083</v>
      </c>
      <c r="Y105" s="69">
        <v>40068</v>
      </c>
      <c r="Z105" s="69">
        <v>40101</v>
      </c>
      <c r="AA105" s="69">
        <v>40161</v>
      </c>
      <c r="AB105" s="69">
        <v>40142</v>
      </c>
      <c r="AC105" s="69">
        <v>40167</v>
      </c>
      <c r="AD105" s="69">
        <v>40194</v>
      </c>
      <c r="AE105" s="69">
        <v>40305</v>
      </c>
      <c r="AF105" s="69">
        <v>40431</v>
      </c>
      <c r="AG105" s="69">
        <v>42105</v>
      </c>
      <c r="AH105" s="69">
        <v>42079</v>
      </c>
      <c r="AI105" s="69">
        <v>42188</v>
      </c>
      <c r="AJ105" s="69">
        <v>42202</v>
      </c>
      <c r="AK105" s="69">
        <v>42143</v>
      </c>
      <c r="AL105" s="69">
        <v>42127</v>
      </c>
      <c r="AM105" s="69">
        <v>42061</v>
      </c>
      <c r="AN105" s="69">
        <v>41978</v>
      </c>
      <c r="AO105" s="69">
        <v>41993</v>
      </c>
      <c r="AP105" s="69">
        <v>42021</v>
      </c>
      <c r="AQ105" s="69">
        <v>41979</v>
      </c>
      <c r="AR105" s="69">
        <v>42121</v>
      </c>
      <c r="AS105" s="69">
        <v>44911</v>
      </c>
      <c r="AT105" s="69">
        <v>44813</v>
      </c>
      <c r="AU105" s="69">
        <v>44146</v>
      </c>
      <c r="AV105" s="69">
        <v>44164</v>
      </c>
      <c r="AW105" s="69">
        <v>44066</v>
      </c>
      <c r="AX105" s="69">
        <v>44143</v>
      </c>
      <c r="AY105" s="69">
        <v>43950</v>
      </c>
      <c r="AZ105" s="69">
        <v>44023</v>
      </c>
      <c r="BA105" s="69">
        <v>43998</v>
      </c>
      <c r="BB105" s="69">
        <v>43980</v>
      </c>
      <c r="BC105" s="69">
        <v>44075</v>
      </c>
      <c r="BD105" s="69">
        <v>44178</v>
      </c>
      <c r="BE105" s="69">
        <v>46556</v>
      </c>
      <c r="BF105" s="69">
        <v>46486</v>
      </c>
      <c r="BG105" s="69">
        <v>46498</v>
      </c>
      <c r="BH105" s="69">
        <v>46457</v>
      </c>
      <c r="BI105" s="69">
        <v>46365</v>
      </c>
      <c r="BJ105" s="69">
        <v>46348</v>
      </c>
      <c r="BK105" s="69">
        <v>46197</v>
      </c>
      <c r="BL105" s="195">
        <v>45788</v>
      </c>
      <c r="BM105" s="404"/>
      <c r="BN105" s="53"/>
      <c r="BO105" s="408">
        <v>44500</v>
      </c>
      <c r="BP105" s="410">
        <v>44359</v>
      </c>
      <c r="BQ105" s="410">
        <v>42570</v>
      </c>
      <c r="BR105" s="408">
        <v>42136</v>
      </c>
      <c r="BS105" s="408">
        <v>41973</v>
      </c>
      <c r="BT105" s="410">
        <v>0</v>
      </c>
      <c r="BU105" s="410">
        <v>0</v>
      </c>
      <c r="BV105" s="408">
        <v>0</v>
      </c>
      <c r="BW105" s="408">
        <v>0</v>
      </c>
      <c r="BX105" s="410">
        <v>0</v>
      </c>
      <c r="BY105" s="410"/>
      <c r="BZ105" s="551" t="e">
        <f>(Tableau2[[#This Row],[juin-24]]-Tableau2[[#This Row],[avr-24]])/Tableau2[[#This Row],[avr-24]]</f>
        <v>#DIV/0!</v>
      </c>
      <c r="CA105" s="548">
        <f>Tableau2[[#This Row],[juin-24]]-Tableau2[[#This Row],[avr-24]]</f>
        <v>0</v>
      </c>
    </row>
    <row r="106" spans="1:80" ht="16.5" customHeight="1" x14ac:dyDescent="0.3">
      <c r="A106" s="74"/>
      <c r="B106" s="156" t="s">
        <v>326</v>
      </c>
      <c r="C106" s="56"/>
      <c r="D106" s="56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338"/>
      <c r="BM106" s="339"/>
      <c r="BN106" s="53"/>
      <c r="BO106" s="338"/>
      <c r="BP106" s="408"/>
      <c r="BQ106" s="408"/>
      <c r="BR106" s="408"/>
      <c r="BS106" s="408"/>
      <c r="BT106" s="408">
        <v>0</v>
      </c>
      <c r="BU106" s="410">
        <v>969</v>
      </c>
      <c r="BV106" s="408">
        <v>979</v>
      </c>
      <c r="BW106" s="408">
        <v>1029</v>
      </c>
      <c r="BX106" s="410">
        <v>1024</v>
      </c>
      <c r="BY106" s="408"/>
      <c r="BZ106" s="544">
        <f>(Tableau2[[#This Row],[juin-24]]-Tableau2[[#This Row],[avr-24]])/Tableau2[[#This Row],[avr-24]]</f>
        <v>-4.859086491739553E-3</v>
      </c>
      <c r="CA106" s="548">
        <f>Tableau2[[#This Row],[juin-24]]-Tableau2[[#This Row],[avr-24]]</f>
        <v>-5</v>
      </c>
    </row>
    <row r="107" spans="1:80" ht="16.5" customHeight="1" x14ac:dyDescent="0.3">
      <c r="A107" s="74"/>
      <c r="B107" s="156" t="s">
        <v>67</v>
      </c>
      <c r="C107" s="56" t="s">
        <v>45</v>
      </c>
      <c r="D107" s="56" t="s">
        <v>50</v>
      </c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338" t="e">
        <f>(Tableau2[[#This Row],[mars-18]]-Tableau2[[#This Row],[fev-18]])/Tableau2[[#This Row],[fev-18]]</f>
        <v>#DIV/0!</v>
      </c>
      <c r="BM107" s="339" t="e">
        <f>(Tableau1[[#This Row],[mars-20]]-Tableau1[[#This Row],[dec-19]])/Tableau1[[#This Row],[dec-19]]</f>
        <v>#VALUE!</v>
      </c>
      <c r="BN107" s="53"/>
      <c r="BO107" s="338"/>
      <c r="BP107" s="408"/>
      <c r="BQ107" s="408"/>
      <c r="BR107" s="408"/>
      <c r="BS107" s="408"/>
      <c r="BT107" s="408"/>
      <c r="BU107" s="408">
        <v>5902</v>
      </c>
      <c r="BV107" s="408">
        <v>5726</v>
      </c>
      <c r="BW107" s="408">
        <v>5653</v>
      </c>
      <c r="BX107" s="410">
        <v>5633</v>
      </c>
      <c r="BY107" s="408"/>
      <c r="BZ107" s="543">
        <f>(Tableau2[[#This Row],[juin-24]]-Tableau2[[#This Row],[avr-24]])/Tableau2[[#This Row],[avr-24]]</f>
        <v>-3.5379444542720678E-3</v>
      </c>
      <c r="CA107" s="548">
        <f>Tableau2[[#This Row],[juin-24]]-Tableau2[[#This Row],[avr-24]]</f>
        <v>-20</v>
      </c>
    </row>
    <row r="108" spans="1:80" x14ac:dyDescent="0.3">
      <c r="A108" s="79"/>
      <c r="B108" s="146" t="s">
        <v>56</v>
      </c>
      <c r="C108" s="140"/>
      <c r="D108" s="140"/>
      <c r="E108" s="141">
        <f>SUBTOTAL(109,Tableau2[févr-15])</f>
        <v>1711846</v>
      </c>
      <c r="F108" s="141">
        <f>SUBTOTAL(109,Tableau2[mars-15])</f>
        <v>1791460</v>
      </c>
      <c r="G108" s="141">
        <f>SUBTOTAL(109,Tableau2[avr-15])</f>
        <v>2040375</v>
      </c>
      <c r="H108" s="141">
        <f>SUBTOTAL(109,Tableau2[mai-15])</f>
        <v>2140007</v>
      </c>
      <c r="I108" s="141">
        <f>SUBTOTAL(109,Tableau2[juin-15])</f>
        <v>2272523</v>
      </c>
      <c r="J108" s="141">
        <f>SUBTOTAL(109,Tableau2[juil-15])</f>
        <v>2377332</v>
      </c>
      <c r="K108" s="141">
        <f>SUBTOTAL(109,Tableau2[août-15])</f>
        <v>2616543</v>
      </c>
      <c r="L108" s="141">
        <f>SUBTOTAL(109,Tableau2[sept-15])</f>
        <v>2784886</v>
      </c>
      <c r="M108" s="141">
        <f>SUBTOTAL(109,Tableau2[oct-15])</f>
        <v>2837580</v>
      </c>
      <c r="N108" s="141">
        <f>SUBTOTAL(109,Tableau2[nov-15])</f>
        <v>2956774</v>
      </c>
      <c r="O108" s="141">
        <f>SUBTOTAL(109,Tableau2[déc-15])</f>
        <v>3046432</v>
      </c>
      <c r="P108" s="141">
        <f>SUBTOTAL(109,Tableau2[janv-16])</f>
        <v>3193083</v>
      </c>
      <c r="Q108" s="141">
        <f>SUBTOTAL(109,Tableau2[févr-16])</f>
        <v>3319886</v>
      </c>
      <c r="R108" s="141">
        <f>SUBTOTAL(109,Tableau2[mars-16])</f>
        <v>3467724</v>
      </c>
      <c r="S108" s="141">
        <f>SUBTOTAL(109,Tableau2[avr-16])</f>
        <v>3618103</v>
      </c>
      <c r="T108" s="141">
        <f>SUBTOTAL(109,Tableau2[mai-16])</f>
        <v>3718113</v>
      </c>
      <c r="U108" s="141">
        <f>SUBTOTAL(109,Tableau2[juin-16])</f>
        <v>3802677</v>
      </c>
      <c r="V108" s="141">
        <f>SUBTOTAL(109,Tableau2[juil-16])</f>
        <v>3851956</v>
      </c>
      <c r="W108" s="141">
        <f>SUBTOTAL(109,Tableau2[août-16])</f>
        <v>3988000</v>
      </c>
      <c r="X108" s="141">
        <f>SUBTOTAL(109,Tableau2[sept-16])</f>
        <v>4031294</v>
      </c>
      <c r="Y108" s="141">
        <f>SUBTOTAL(109,Tableau2[oct-16])</f>
        <v>4077870</v>
      </c>
      <c r="Z108" s="141">
        <f>SUBTOTAL(109,Tableau2[nov-16])</f>
        <v>4099873</v>
      </c>
      <c r="AA108" s="141">
        <f>SUBTOTAL(109,Tableau2[déc-16])</f>
        <v>4315225</v>
      </c>
      <c r="AB108" s="141">
        <f>SUBTOTAL(109,Tableau2[janv-17])</f>
        <v>4343114</v>
      </c>
      <c r="AC108" s="141">
        <f>SUBTOTAL(109,Tableau2[févr-17])</f>
        <v>4375500</v>
      </c>
      <c r="AD108" s="141">
        <f>SUBTOTAL(109,Tableau2[mars-17])</f>
        <v>4432930</v>
      </c>
      <c r="AE108" s="141">
        <f>SUBTOTAL(109,Tableau2[avr-17])</f>
        <v>4508545</v>
      </c>
      <c r="AF108" s="141">
        <f>SUBTOTAL(109,Tableau2[mai-17])</f>
        <v>4542339</v>
      </c>
      <c r="AG108" s="141">
        <f>SUBTOTAL(109,Tableau2[juin-17])</f>
        <v>4646649</v>
      </c>
      <c r="AH108" s="141">
        <f>SUBTOTAL(109,Tableau2[juil-17])</f>
        <v>4710025</v>
      </c>
      <c r="AI108" s="141">
        <f>SUBTOTAL(109,Tableau2[août-17])</f>
        <v>4829928</v>
      </c>
      <c r="AJ108" s="141">
        <f>SUBTOTAL(109,Tableau2[sept-17])</f>
        <v>4885192</v>
      </c>
      <c r="AK108" s="141">
        <f>SUBTOTAL(109,Tableau2[oct-17])</f>
        <v>4922640</v>
      </c>
      <c r="AL108" s="141">
        <f>SUBTOTAL(109,Tableau2[nov-17])</f>
        <v>4955981</v>
      </c>
      <c r="AM108" s="141">
        <f>SUBTOTAL(109,Tableau2[déc-17])</f>
        <v>4967367</v>
      </c>
      <c r="AN108" s="141">
        <f>SUBTOTAL(109,Tableau2[janv-18])</f>
        <v>4995587</v>
      </c>
      <c r="AO108" s="141">
        <f>SUBTOTAL(109,Tableau2[fev-18])</f>
        <v>5016786</v>
      </c>
      <c r="AP108" s="141">
        <f>SUBTOTAL(109,Tableau2[mars-18])</f>
        <v>4921475</v>
      </c>
      <c r="AQ108" s="141">
        <f>SUBTOTAL(109,Tableau2[avr-18])</f>
        <v>4963142</v>
      </c>
      <c r="AR108" s="141">
        <f>SUBTOTAL(109,Tableau2[mai-18])</f>
        <v>4998855</v>
      </c>
      <c r="AS108" s="141">
        <f>SUBTOTAL(109,Tableau2[juin-18])</f>
        <v>5039843</v>
      </c>
      <c r="AT108" s="141">
        <f>SUBTOTAL(109,Tableau2[juil-18])</f>
        <v>5054157</v>
      </c>
      <c r="AU108" s="141">
        <f>SUBTOTAL(109,Tableau2[août-18])</f>
        <v>5110348</v>
      </c>
      <c r="AV108" s="141">
        <f>SUBTOTAL(109,Tableau2[sept-18])</f>
        <v>5140986</v>
      </c>
      <c r="AW108" s="141">
        <f>SUBTOTAL(109,Tableau2[oct-18])</f>
        <v>5157936</v>
      </c>
      <c r="AX108" s="141">
        <f>SUBTOTAL(109,Tableau2[nov-18])</f>
        <v>5174187</v>
      </c>
      <c r="AY108" s="141">
        <f>SUBTOTAL(109,Tableau2[dec-18])</f>
        <v>5160157</v>
      </c>
      <c r="AZ108" s="141">
        <f>SUBTOTAL(109,Tableau2[janv-19])</f>
        <v>5163544</v>
      </c>
      <c r="BA108" s="141">
        <f>SUBTOTAL(109,Tableau2[févr-19])</f>
        <v>5169682</v>
      </c>
      <c r="BB108" s="141">
        <f>SUBTOTAL(109,Tableau2[mars-19])</f>
        <v>5198943</v>
      </c>
      <c r="BC108" s="141">
        <f>SUBTOTAL(109,Tableau2[avr-19])</f>
        <v>5224212</v>
      </c>
      <c r="BD108" s="141">
        <f>SUBTOTAL(109,Tableau2[mai-19])</f>
        <v>5258008</v>
      </c>
      <c r="BE108" s="141">
        <f>SUBTOTAL(109,Tableau2[juin-19])</f>
        <v>5315458</v>
      </c>
      <c r="BF108" s="141">
        <f>SUBTOTAL(109,Tableau2[juil-19])</f>
        <v>5333327</v>
      </c>
      <c r="BG108" s="141">
        <f>SUBTOTAL(109,Tableau2[août-19])</f>
        <v>5420476</v>
      </c>
      <c r="BH108" s="141">
        <f>SUBTOTAL(109,Tableau2[sept-19])</f>
        <v>5450387</v>
      </c>
      <c r="BI108" s="141">
        <f>SUBTOTAL(109,Tableau2[oct-19])</f>
        <v>5463360</v>
      </c>
      <c r="BJ108" s="141">
        <f>SUBTOTAL(109,Tableau2[nov-19])</f>
        <v>5463543</v>
      </c>
      <c r="BK108" s="141">
        <f>SUBTOTAL(109,Tableau2[dec-19])</f>
        <v>5458251</v>
      </c>
      <c r="BL108" s="141"/>
      <c r="BM108" s="142"/>
      <c r="BN108" s="140"/>
      <c r="BO108" s="141">
        <f>SUBTOTAL(109,Tableau2[sept-20])</f>
        <v>5770684</v>
      </c>
      <c r="BP108" s="141">
        <f>SUBTOTAL(109,Tableau2[nov-20])</f>
        <v>5608799</v>
      </c>
      <c r="BQ108" s="141">
        <f>SUBTOTAL(109,Tableau2[sept-21])</f>
        <v>5780058</v>
      </c>
      <c r="BR108" s="141">
        <f>SUBTOTAL(109,Tableau2[mars-22])</f>
        <v>5913085</v>
      </c>
      <c r="BS108" s="141">
        <f>SUBTOTAL(109,Tableau2[avr-22])</f>
        <v>6234250</v>
      </c>
      <c r="BT108" s="141">
        <f>SUM(Tableau2[sept-22])</f>
        <v>6401768</v>
      </c>
      <c r="BU108" s="141">
        <f>SUM(Tableau2[nov-22])</f>
        <v>6382078</v>
      </c>
      <c r="BV108" s="141">
        <f>SUM(Tableau2[oct-23])</f>
        <v>6114457</v>
      </c>
      <c r="BW108" s="141">
        <f>SUM(Tableau2[avr-24])</f>
        <v>6122433</v>
      </c>
      <c r="BX108" s="141">
        <f>SUM(Tableau2[juin-24])</f>
        <v>6239610</v>
      </c>
      <c r="BY108" s="428"/>
      <c r="BZ108" s="557">
        <f>(Tableau2[[#Totals],[juin-24]]-Tableau2[[#Totals],[avr-24]])/Tableau2[[#Totals],[avr-24]]</f>
        <v>1.9138959952685476E-2</v>
      </c>
      <c r="CA108" s="556">
        <f>Tableau2[[#Totals],[juin-24]]-Tableau2[[#Totals],[avr-24]]</f>
        <v>117177</v>
      </c>
    </row>
    <row r="110" spans="1:80" s="12" customForma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80" x14ac:dyDescent="0.3">
      <c r="A111" s="47" t="s">
        <v>13</v>
      </c>
      <c r="B111" s="47" t="s">
        <v>115</v>
      </c>
      <c r="C111" s="47" t="s">
        <v>54</v>
      </c>
      <c r="D111" s="47" t="s">
        <v>48</v>
      </c>
      <c r="E111" s="48" t="s">
        <v>0</v>
      </c>
      <c r="F111" s="48" t="s">
        <v>1</v>
      </c>
      <c r="G111" s="48" t="s">
        <v>4</v>
      </c>
      <c r="H111" s="48" t="s">
        <v>5</v>
      </c>
      <c r="I111" s="48" t="s">
        <v>6</v>
      </c>
      <c r="J111" s="48" t="s">
        <v>7</v>
      </c>
      <c r="K111" s="48" t="s">
        <v>8</v>
      </c>
      <c r="L111" s="48" t="s">
        <v>9</v>
      </c>
      <c r="M111" s="48" t="s">
        <v>10</v>
      </c>
      <c r="N111" s="48" t="s">
        <v>11</v>
      </c>
      <c r="O111" s="48" t="s">
        <v>12</v>
      </c>
      <c r="P111" s="48" t="s">
        <v>3</v>
      </c>
      <c r="Q111" s="48" t="s">
        <v>2</v>
      </c>
      <c r="R111" s="48" t="s">
        <v>63</v>
      </c>
      <c r="S111" s="48" t="s">
        <v>64</v>
      </c>
      <c r="T111" s="48" t="s">
        <v>65</v>
      </c>
      <c r="U111" s="48" t="s">
        <v>66</v>
      </c>
      <c r="V111" s="48" t="s">
        <v>68</v>
      </c>
      <c r="W111" s="48" t="s">
        <v>69</v>
      </c>
      <c r="X111" s="48" t="s">
        <v>70</v>
      </c>
      <c r="Y111" s="48" t="s">
        <v>71</v>
      </c>
      <c r="Z111" s="48" t="s">
        <v>72</v>
      </c>
      <c r="AA111" s="48" t="s">
        <v>73</v>
      </c>
      <c r="AB111" s="48" t="s">
        <v>75</v>
      </c>
      <c r="AC111" s="48" t="s">
        <v>77</v>
      </c>
      <c r="AD111" s="48" t="s">
        <v>81</v>
      </c>
      <c r="AE111" s="48" t="s">
        <v>84</v>
      </c>
      <c r="AF111" s="48" t="s">
        <v>85</v>
      </c>
      <c r="AG111" s="48" t="s">
        <v>86</v>
      </c>
      <c r="AH111" s="48" t="s">
        <v>99</v>
      </c>
      <c r="AI111" s="48" t="s">
        <v>101</v>
      </c>
      <c r="AJ111" s="48" t="s">
        <v>102</v>
      </c>
      <c r="AK111" s="48" t="s">
        <v>105</v>
      </c>
      <c r="AL111" s="48" t="s">
        <v>106</v>
      </c>
      <c r="AM111" s="48" t="s">
        <v>108</v>
      </c>
      <c r="AN111" s="48" t="s">
        <v>109</v>
      </c>
      <c r="AO111" s="48" t="s">
        <v>110</v>
      </c>
      <c r="AP111" s="48" t="s">
        <v>117</v>
      </c>
      <c r="AQ111" s="48" t="s">
        <v>127</v>
      </c>
      <c r="AR111" s="48" t="s">
        <v>129</v>
      </c>
      <c r="AS111" s="48" t="s">
        <v>131</v>
      </c>
      <c r="AT111" s="48" t="s">
        <v>142</v>
      </c>
      <c r="AU111" s="48" t="s">
        <v>143</v>
      </c>
      <c r="AV111" s="48" t="s">
        <v>151</v>
      </c>
      <c r="AW111" s="48" t="s">
        <v>156</v>
      </c>
      <c r="AX111" s="48" t="s">
        <v>157</v>
      </c>
      <c r="AY111" s="48" t="s">
        <v>163</v>
      </c>
      <c r="AZ111" s="48" t="s">
        <v>164</v>
      </c>
      <c r="BA111" s="48" t="s">
        <v>177</v>
      </c>
      <c r="BB111" s="48" t="s">
        <v>179</v>
      </c>
      <c r="BC111" s="48" t="s">
        <v>183</v>
      </c>
      <c r="BD111" s="48" t="s">
        <v>184</v>
      </c>
      <c r="BE111" s="48" t="s">
        <v>186</v>
      </c>
      <c r="BF111" s="48" t="s">
        <v>188</v>
      </c>
      <c r="BG111" s="48" t="s">
        <v>200</v>
      </c>
      <c r="BH111" s="48" t="s">
        <v>201</v>
      </c>
      <c r="BI111" s="48" t="s">
        <v>203</v>
      </c>
      <c r="BJ111" s="48" t="s">
        <v>207</v>
      </c>
      <c r="BK111" s="48" t="s">
        <v>208</v>
      </c>
      <c r="BL111" s="197" t="s">
        <v>209</v>
      </c>
      <c r="BM111" s="199" t="s">
        <v>53</v>
      </c>
      <c r="BN111" s="199" t="s">
        <v>78</v>
      </c>
      <c r="BO111" s="197" t="s">
        <v>210</v>
      </c>
      <c r="BP111" s="197" t="s">
        <v>211</v>
      </c>
      <c r="BQ111" s="197" t="s">
        <v>214</v>
      </c>
      <c r="BR111" s="197" t="s">
        <v>213</v>
      </c>
      <c r="BS111" s="197" t="s">
        <v>272</v>
      </c>
      <c r="BT111" s="197" t="s">
        <v>330</v>
      </c>
      <c r="BU111" s="197" t="s">
        <v>331</v>
      </c>
      <c r="BV111" s="197" t="s">
        <v>333</v>
      </c>
      <c r="BW111" s="197" t="s">
        <v>389</v>
      </c>
      <c r="BX111" s="197" t="s">
        <v>405</v>
      </c>
      <c r="BZ111" s="545" t="s">
        <v>53</v>
      </c>
      <c r="CA111" s="545" t="s">
        <v>78</v>
      </c>
    </row>
    <row r="112" spans="1:80" s="12" customFormat="1" x14ac:dyDescent="0.3">
      <c r="A112" s="49">
        <v>1</v>
      </c>
      <c r="B112" s="50" t="s">
        <v>28</v>
      </c>
      <c r="C112" s="49" t="s">
        <v>59</v>
      </c>
      <c r="D112" s="49" t="s">
        <v>51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51">
        <v>780910</v>
      </c>
      <c r="AQ112" s="52">
        <v>782819</v>
      </c>
      <c r="AR112" s="52">
        <v>787220</v>
      </c>
      <c r="AS112" s="52">
        <v>795387</v>
      </c>
      <c r="AT112" s="52">
        <v>804919</v>
      </c>
      <c r="AU112" s="52">
        <v>926878</v>
      </c>
      <c r="AV112" s="52">
        <v>945135</v>
      </c>
      <c r="AW112" s="52">
        <v>941069</v>
      </c>
      <c r="AX112" s="52">
        <v>939591</v>
      </c>
      <c r="AY112" s="52">
        <v>954364</v>
      </c>
      <c r="AZ112" s="52">
        <v>956367</v>
      </c>
      <c r="BA112" s="52">
        <v>952976</v>
      </c>
      <c r="BB112" s="52">
        <v>951620</v>
      </c>
      <c r="BC112" s="52">
        <v>952210</v>
      </c>
      <c r="BD112" s="52">
        <v>952725</v>
      </c>
      <c r="BE112" s="52">
        <v>959996</v>
      </c>
      <c r="BF112" s="52">
        <v>981251</v>
      </c>
      <c r="BG112" s="52">
        <v>1194590</v>
      </c>
      <c r="BH112" s="52">
        <v>1224279</v>
      </c>
      <c r="BI112" s="52">
        <v>1224296</v>
      </c>
      <c r="BJ112" s="52">
        <v>1223737</v>
      </c>
      <c r="BK112" s="52">
        <v>1229700</v>
      </c>
      <c r="BL112" s="230">
        <v>1227360</v>
      </c>
      <c r="BM112" s="204"/>
      <c r="BN112" s="195"/>
      <c r="BO112" s="200">
        <v>1470114</v>
      </c>
      <c r="BP112" s="200">
        <v>1479638</v>
      </c>
      <c r="BQ112" s="200">
        <v>1623124</v>
      </c>
      <c r="BR112" s="200">
        <v>1604133</v>
      </c>
      <c r="BS112" s="200">
        <v>1602948</v>
      </c>
      <c r="BT112" s="200">
        <v>1764562</v>
      </c>
      <c r="BU112" s="200">
        <v>1752811</v>
      </c>
      <c r="BV112" s="200">
        <v>2157741</v>
      </c>
      <c r="BW112" s="200">
        <v>2170959</v>
      </c>
      <c r="BX112" s="200">
        <v>2209065</v>
      </c>
      <c r="BY112" s="200"/>
      <c r="BZ112" s="546">
        <f>(Tableau7[[#This Row],[juin-24]]-Tableau7[[#This Row],[avr-24]])/Tableau7[[#This Row],[avr-24]]</f>
        <v>1.7552611541719582E-2</v>
      </c>
      <c r="CA112" s="547">
        <f>Tableau7[[#This Row],[juin-24]]-Tableau7[[#This Row],[avr-24]]</f>
        <v>38106</v>
      </c>
    </row>
    <row r="113" spans="1:79" x14ac:dyDescent="0.3">
      <c r="A113" s="54">
        <v>2</v>
      </c>
      <c r="B113" s="55" t="s">
        <v>125</v>
      </c>
      <c r="C113" s="54" t="s">
        <v>59</v>
      </c>
      <c r="D113" s="54" t="s">
        <v>51</v>
      </c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7">
        <v>400840</v>
      </c>
      <c r="AQ113" s="58">
        <v>405641</v>
      </c>
      <c r="AR113" s="58">
        <v>417197</v>
      </c>
      <c r="AS113" s="58">
        <v>477208</v>
      </c>
      <c r="AT113" s="58">
        <v>480114</v>
      </c>
      <c r="AU113" s="58">
        <v>500966</v>
      </c>
      <c r="AV113" s="58">
        <v>505766</v>
      </c>
      <c r="AW113" s="58">
        <v>505991</v>
      </c>
      <c r="AX113" s="58">
        <v>512421</v>
      </c>
      <c r="AY113" s="58">
        <v>527770</v>
      </c>
      <c r="AZ113" s="58">
        <v>530793</v>
      </c>
      <c r="BA113" s="58">
        <v>533852</v>
      </c>
      <c r="BB113" s="58">
        <v>541890</v>
      </c>
      <c r="BC113" s="58">
        <v>546740</v>
      </c>
      <c r="BD113" s="58">
        <v>559835</v>
      </c>
      <c r="BE113" s="58">
        <v>669800</v>
      </c>
      <c r="BF113" s="58">
        <v>680024</v>
      </c>
      <c r="BG113" s="58">
        <v>699795</v>
      </c>
      <c r="BH113" s="58">
        <v>704919</v>
      </c>
      <c r="BI113" s="58">
        <v>705191</v>
      </c>
      <c r="BJ113" s="58">
        <v>709420</v>
      </c>
      <c r="BK113" s="58">
        <v>710773</v>
      </c>
      <c r="BL113" s="195">
        <v>716572</v>
      </c>
      <c r="BM113" s="205"/>
      <c r="BN113" s="195"/>
      <c r="BO113" s="200">
        <v>756263</v>
      </c>
      <c r="BP113" s="200">
        <v>823046</v>
      </c>
      <c r="BQ113" s="200">
        <v>1010464</v>
      </c>
      <c r="BR113" s="200">
        <v>1000668</v>
      </c>
      <c r="BS113" s="200">
        <v>1001939</v>
      </c>
      <c r="BT113" s="200">
        <v>1096332</v>
      </c>
      <c r="BU113" s="200">
        <v>1083491</v>
      </c>
      <c r="BV113" s="200">
        <v>1119633</v>
      </c>
      <c r="BW113" s="200">
        <v>1108537</v>
      </c>
      <c r="BX113" s="200">
        <v>1213847</v>
      </c>
      <c r="BY113" s="200"/>
      <c r="BZ113" s="546">
        <f>(Tableau7[[#This Row],[juin-24]]-Tableau7[[#This Row],[avr-24]])/Tableau7[[#This Row],[avr-24]]</f>
        <v>9.4999084378780324E-2</v>
      </c>
      <c r="CA113" s="547">
        <f>Tableau7[[#This Row],[juin-24]]-Tableau7[[#This Row],[avr-24]]</f>
        <v>105310</v>
      </c>
    </row>
    <row r="114" spans="1:79" x14ac:dyDescent="0.3">
      <c r="A114" s="59">
        <v>4</v>
      </c>
      <c r="B114" s="55" t="s">
        <v>74</v>
      </c>
      <c r="C114" s="54"/>
      <c r="D114" s="54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7">
        <v>381125</v>
      </c>
      <c r="AQ114" s="58">
        <v>391398</v>
      </c>
      <c r="AR114" s="58">
        <v>401544</v>
      </c>
      <c r="AS114" s="58">
        <v>414238</v>
      </c>
      <c r="AT114" s="58">
        <v>422968</v>
      </c>
      <c r="AU114" s="58">
        <v>444683</v>
      </c>
      <c r="AV114" s="58">
        <v>462143</v>
      </c>
      <c r="AW114" s="58">
        <v>482894</v>
      </c>
      <c r="AX114" s="58">
        <v>508716</v>
      </c>
      <c r="AY114" s="58">
        <v>531642</v>
      </c>
      <c r="AZ114" s="58">
        <v>547234</v>
      </c>
      <c r="BA114" s="58">
        <v>563169</v>
      </c>
      <c r="BB114" s="58">
        <v>577740</v>
      </c>
      <c r="BC114" s="58">
        <v>590330</v>
      </c>
      <c r="BD114" s="58">
        <v>602207</v>
      </c>
      <c r="BE114" s="58">
        <v>617700</v>
      </c>
      <c r="BF114" s="58">
        <v>627929</v>
      </c>
      <c r="BG114" s="58">
        <v>640747</v>
      </c>
      <c r="BH114" s="58">
        <v>654171</v>
      </c>
      <c r="BI114" s="58">
        <v>674843</v>
      </c>
      <c r="BJ114" s="58">
        <v>685384</v>
      </c>
      <c r="BK114" s="58">
        <v>690274</v>
      </c>
      <c r="BL114" s="195">
        <v>720420</v>
      </c>
      <c r="BM114" s="205"/>
      <c r="BN114" s="195"/>
      <c r="BO114" s="200">
        <v>794000</v>
      </c>
      <c r="BP114" s="200">
        <v>833906</v>
      </c>
      <c r="BQ114" s="200">
        <v>933218</v>
      </c>
      <c r="BR114" s="200">
        <v>992000</v>
      </c>
      <c r="BS114" s="200">
        <v>998537</v>
      </c>
      <c r="BT114" s="200">
        <v>1000000</v>
      </c>
      <c r="BU114" s="200">
        <v>1000000</v>
      </c>
      <c r="BV114" s="200">
        <v>1000000</v>
      </c>
      <c r="BW114" s="200">
        <v>1109809</v>
      </c>
      <c r="BX114" s="200">
        <v>1112974</v>
      </c>
      <c r="BY114" s="200"/>
      <c r="BZ114" s="546">
        <f>(Tableau7[[#This Row],[juin-24]]-Tableau7[[#This Row],[avr-24]])/Tableau7[[#This Row],[avr-24]]</f>
        <v>2.8518420737261999E-3</v>
      </c>
      <c r="CA114" s="547">
        <f>Tableau7[[#This Row],[juin-24]]-Tableau7[[#This Row],[avr-24]]</f>
        <v>3165</v>
      </c>
    </row>
    <row r="115" spans="1:79" s="12" customFormat="1" x14ac:dyDescent="0.3">
      <c r="A115" s="49">
        <v>3</v>
      </c>
      <c r="B115" s="50" t="s">
        <v>126</v>
      </c>
      <c r="C115" s="49" t="s">
        <v>59</v>
      </c>
      <c r="D115" s="49" t="s">
        <v>51</v>
      </c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51">
        <v>149250</v>
      </c>
      <c r="AQ115" s="52">
        <v>151093</v>
      </c>
      <c r="AR115" s="52">
        <v>153224</v>
      </c>
      <c r="AS115" s="52">
        <v>158422</v>
      </c>
      <c r="AT115" s="52">
        <v>159312</v>
      </c>
      <c r="AU115" s="52">
        <v>163373</v>
      </c>
      <c r="AV115" s="52">
        <v>187488</v>
      </c>
      <c r="AW115" s="52">
        <v>201541</v>
      </c>
      <c r="AX115" s="52">
        <v>205838</v>
      </c>
      <c r="AY115" s="52">
        <v>208481</v>
      </c>
      <c r="AZ115" s="52">
        <v>211693</v>
      </c>
      <c r="BA115" s="52">
        <v>212923</v>
      </c>
      <c r="BB115" s="52">
        <v>212725</v>
      </c>
      <c r="BC115" s="52">
        <v>212190</v>
      </c>
      <c r="BD115" s="52">
        <v>211976</v>
      </c>
      <c r="BE115" s="52">
        <v>212700</v>
      </c>
      <c r="BF115" s="52">
        <v>213039</v>
      </c>
      <c r="BG115" s="52">
        <v>216265</v>
      </c>
      <c r="BH115" s="52">
        <v>253829</v>
      </c>
      <c r="BI115" s="52">
        <v>268743</v>
      </c>
      <c r="BJ115" s="52">
        <v>269472</v>
      </c>
      <c r="BK115" s="52">
        <v>269766</v>
      </c>
      <c r="BL115" s="196">
        <v>272399</v>
      </c>
      <c r="BM115" s="205"/>
      <c r="BN115" s="195"/>
      <c r="BO115" s="200">
        <v>279098</v>
      </c>
      <c r="BP115" s="200">
        <v>317142</v>
      </c>
      <c r="BQ115" s="200">
        <v>362129</v>
      </c>
      <c r="BR115" s="200">
        <v>358978</v>
      </c>
      <c r="BS115" s="200">
        <v>358663</v>
      </c>
      <c r="BT115" s="200">
        <v>405264</v>
      </c>
      <c r="BU115" s="200">
        <v>407072</v>
      </c>
      <c r="BV115" s="200">
        <v>495180</v>
      </c>
      <c r="BW115" s="200">
        <v>500989</v>
      </c>
      <c r="BX115" s="200">
        <v>503927</v>
      </c>
      <c r="BY115" s="200"/>
      <c r="BZ115" s="546">
        <f>(Tableau7[[#This Row],[juin-24]]-Tableau7[[#This Row],[avr-24]])/Tableau7[[#This Row],[avr-24]]</f>
        <v>5.8644002163720163E-3</v>
      </c>
      <c r="CA115" s="547">
        <f>Tableau7[[#This Row],[juin-24]]-Tableau7[[#This Row],[avr-24]]</f>
        <v>2938</v>
      </c>
    </row>
    <row r="116" spans="1:79" s="12" customFormat="1" x14ac:dyDescent="0.3">
      <c r="A116" s="49">
        <v>6</v>
      </c>
      <c r="B116" s="50" t="s">
        <v>22</v>
      </c>
      <c r="C116" s="49" t="s">
        <v>59</v>
      </c>
      <c r="D116" s="49" t="s">
        <v>50</v>
      </c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51">
        <v>26950</v>
      </c>
      <c r="AQ116" s="52">
        <v>27582</v>
      </c>
      <c r="AR116" s="52">
        <v>38113</v>
      </c>
      <c r="AS116" s="52">
        <v>38763</v>
      </c>
      <c r="AT116" s="52">
        <v>38810</v>
      </c>
      <c r="AU116" s="52">
        <v>39198</v>
      </c>
      <c r="AV116" s="52">
        <v>38965</v>
      </c>
      <c r="AW116" s="52">
        <v>38761</v>
      </c>
      <c r="AX116" s="52">
        <v>38635</v>
      </c>
      <c r="AY116" s="52">
        <v>38500</v>
      </c>
      <c r="AZ116" s="52">
        <v>38431</v>
      </c>
      <c r="BA116" s="52">
        <v>38451</v>
      </c>
      <c r="BB116" s="52">
        <v>38483</v>
      </c>
      <c r="BC116" s="52">
        <v>38805</v>
      </c>
      <c r="BD116" s="52">
        <v>51184</v>
      </c>
      <c r="BE116" s="52">
        <v>51800</v>
      </c>
      <c r="BF116" s="52">
        <v>51623</v>
      </c>
      <c r="BG116" s="52">
        <v>51475</v>
      </c>
      <c r="BH116" s="52">
        <v>51233</v>
      </c>
      <c r="BI116" s="52">
        <v>50966</v>
      </c>
      <c r="BJ116" s="52">
        <v>50770</v>
      </c>
      <c r="BK116" s="52">
        <v>50646</v>
      </c>
      <c r="BL116" s="196">
        <v>51528</v>
      </c>
      <c r="BM116" s="205"/>
      <c r="BN116" s="195"/>
      <c r="BO116" s="200">
        <v>54551</v>
      </c>
      <c r="BP116" s="200">
        <v>54933</v>
      </c>
      <c r="BQ116" s="200">
        <v>58980</v>
      </c>
      <c r="BR116" s="200">
        <v>84718</v>
      </c>
      <c r="BS116" s="200">
        <v>98078</v>
      </c>
      <c r="BT116" s="200">
        <v>104000</v>
      </c>
      <c r="BU116" s="200">
        <v>105225</v>
      </c>
      <c r="BV116" s="200">
        <v>137680</v>
      </c>
      <c r="BW116" s="200">
        <v>171592</v>
      </c>
      <c r="BX116" s="200">
        <v>171749</v>
      </c>
      <c r="BY116" s="200"/>
      <c r="BZ116" s="546">
        <f>(Tableau7[[#This Row],[juin-24]]-Tableau7[[#This Row],[avr-24]])/Tableau7[[#This Row],[avr-24]]</f>
        <v>9.1496107044617466E-4</v>
      </c>
      <c r="CA116" s="547">
        <f>Tableau7[[#This Row],[juin-24]]-Tableau7[[#This Row],[avr-24]]</f>
        <v>157</v>
      </c>
    </row>
    <row r="117" spans="1:79" x14ac:dyDescent="0.3">
      <c r="A117" s="59">
        <v>18</v>
      </c>
      <c r="B117" s="55" t="s">
        <v>35</v>
      </c>
      <c r="C117" s="54" t="s">
        <v>59</v>
      </c>
      <c r="D117" s="54" t="s">
        <v>50</v>
      </c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7">
        <v>8130</v>
      </c>
      <c r="AQ117" s="58">
        <v>15277</v>
      </c>
      <c r="AR117" s="58">
        <v>16598</v>
      </c>
      <c r="AS117" s="58">
        <v>16557</v>
      </c>
      <c r="AT117" s="58">
        <v>16451</v>
      </c>
      <c r="AU117" s="58">
        <v>16512</v>
      </c>
      <c r="AV117" s="58">
        <v>16736</v>
      </c>
      <c r="AW117" s="58">
        <v>16790</v>
      </c>
      <c r="AX117" s="58">
        <v>17111</v>
      </c>
      <c r="AY117" s="58">
        <v>17284</v>
      </c>
      <c r="AZ117" s="58">
        <v>17540</v>
      </c>
      <c r="BA117" s="58">
        <v>17763</v>
      </c>
      <c r="BB117" s="58">
        <v>19130</v>
      </c>
      <c r="BC117" s="58">
        <v>27280</v>
      </c>
      <c r="BD117" s="58">
        <v>27600</v>
      </c>
      <c r="BE117" s="58">
        <v>27500</v>
      </c>
      <c r="BF117" s="58">
        <v>27401</v>
      </c>
      <c r="BG117" s="58">
        <v>27389</v>
      </c>
      <c r="BH117" s="58">
        <v>27302</v>
      </c>
      <c r="BI117" s="58">
        <v>27359</v>
      </c>
      <c r="BJ117" s="58">
        <v>27451</v>
      </c>
      <c r="BK117" s="58">
        <v>27456</v>
      </c>
      <c r="BL117" s="195">
        <v>28488</v>
      </c>
      <c r="BM117" s="205"/>
      <c r="BN117" s="195"/>
      <c r="BO117" s="200">
        <v>41200</v>
      </c>
      <c r="BP117" s="200">
        <v>41062</v>
      </c>
      <c r="BQ117" s="200">
        <v>60767</v>
      </c>
      <c r="BR117" s="200">
        <v>69671</v>
      </c>
      <c r="BS117" s="200">
        <v>70163</v>
      </c>
      <c r="BT117" s="200">
        <v>70600</v>
      </c>
      <c r="BU117" s="200">
        <v>70724</v>
      </c>
      <c r="BV117" s="200">
        <v>75640</v>
      </c>
      <c r="BW117" s="200">
        <v>89636</v>
      </c>
      <c r="BX117" s="200">
        <v>89265</v>
      </c>
      <c r="BY117" s="200"/>
      <c r="BZ117" s="546">
        <f>(Tableau7[[#This Row],[juin-24]]-Tableau7[[#This Row],[avr-24]])/Tableau7[[#This Row],[avr-24]]</f>
        <v>-4.1389620241867103E-3</v>
      </c>
      <c r="CA117" s="547">
        <f>Tableau7[[#This Row],[juin-24]]-Tableau7[[#This Row],[avr-24]]</f>
        <v>-371</v>
      </c>
    </row>
    <row r="118" spans="1:79" s="12" customFormat="1" x14ac:dyDescent="0.3">
      <c r="A118" s="54">
        <v>35</v>
      </c>
      <c r="B118" s="55" t="s">
        <v>180</v>
      </c>
      <c r="C118" s="54"/>
      <c r="D118" s="54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7"/>
      <c r="AQ118" s="58"/>
      <c r="AR118" s="58"/>
      <c r="AS118" s="58"/>
      <c r="AT118" s="58"/>
      <c r="AU118" s="58"/>
      <c r="AV118" s="58"/>
      <c r="AW118" s="58"/>
      <c r="AX118" s="58"/>
      <c r="AY118" s="52"/>
      <c r="AZ118" s="52"/>
      <c r="BA118" s="52"/>
      <c r="BB118" s="58">
        <v>54300</v>
      </c>
      <c r="BC118" s="58">
        <v>54620</v>
      </c>
      <c r="BD118" s="58">
        <v>54067</v>
      </c>
      <c r="BE118" s="58">
        <v>53579</v>
      </c>
      <c r="BF118" s="58">
        <v>53246</v>
      </c>
      <c r="BG118" s="58">
        <v>53354</v>
      </c>
      <c r="BH118" s="58">
        <v>53361</v>
      </c>
      <c r="BI118" s="58">
        <v>53389</v>
      </c>
      <c r="BJ118" s="58">
        <v>53698</v>
      </c>
      <c r="BK118" s="58">
        <v>53821</v>
      </c>
      <c r="BL118" s="195">
        <v>72212</v>
      </c>
      <c r="BM118" s="205"/>
      <c r="BN118" s="195"/>
      <c r="BO118" s="200">
        <v>71200</v>
      </c>
      <c r="BP118" s="200">
        <v>70760</v>
      </c>
      <c r="BQ118" s="200">
        <v>68209</v>
      </c>
      <c r="BR118" s="200">
        <v>66256</v>
      </c>
      <c r="BS118" s="200">
        <v>65892</v>
      </c>
      <c r="BT118" s="200">
        <v>64300</v>
      </c>
      <c r="BU118" s="200">
        <v>63800</v>
      </c>
      <c r="BV118" s="200">
        <v>61200</v>
      </c>
      <c r="BW118" s="200">
        <v>76750</v>
      </c>
      <c r="BX118" s="200">
        <v>76265</v>
      </c>
      <c r="BY118" s="200"/>
      <c r="BZ118" s="546">
        <f>(Tableau7[[#This Row],[juin-24]]-Tableau7[[#This Row],[avr-24]])/Tableau7[[#This Row],[avr-24]]</f>
        <v>-6.3192182410423455E-3</v>
      </c>
      <c r="CA118" s="547">
        <f>Tableau7[[#This Row],[juin-24]]-Tableau7[[#This Row],[avr-24]]</f>
        <v>-485</v>
      </c>
    </row>
    <row r="119" spans="1:79" s="12" customFormat="1" x14ac:dyDescent="0.3">
      <c r="A119" s="54">
        <v>24</v>
      </c>
      <c r="B119" s="55" t="s">
        <v>21</v>
      </c>
      <c r="C119" s="54" t="s">
        <v>59</v>
      </c>
      <c r="D119" s="54" t="s">
        <v>50</v>
      </c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7">
        <v>14040</v>
      </c>
      <c r="AQ119" s="58">
        <v>15295</v>
      </c>
      <c r="AR119" s="58">
        <v>20957</v>
      </c>
      <c r="AS119" s="58">
        <v>20940</v>
      </c>
      <c r="AT119" s="58">
        <v>20780</v>
      </c>
      <c r="AU119" s="58">
        <v>20699</v>
      </c>
      <c r="AV119" s="58">
        <v>20563</v>
      </c>
      <c r="AW119" s="58">
        <v>20478</v>
      </c>
      <c r="AX119" s="58">
        <v>20465</v>
      </c>
      <c r="AY119" s="58">
        <v>20460</v>
      </c>
      <c r="AZ119" s="58">
        <v>20557</v>
      </c>
      <c r="BA119" s="58">
        <v>20596</v>
      </c>
      <c r="BB119" s="58">
        <v>21160</v>
      </c>
      <c r="BC119" s="58">
        <v>22040</v>
      </c>
      <c r="BD119" s="58">
        <v>30385</v>
      </c>
      <c r="BE119" s="58">
        <v>30600</v>
      </c>
      <c r="BF119" s="58">
        <v>30544</v>
      </c>
      <c r="BG119" s="58">
        <v>30509</v>
      </c>
      <c r="BH119" s="58">
        <v>30372</v>
      </c>
      <c r="BI119" s="58">
        <v>30239</v>
      </c>
      <c r="BJ119" s="58">
        <v>30150</v>
      </c>
      <c r="BK119" s="58">
        <v>30171</v>
      </c>
      <c r="BL119" s="195">
        <v>30404</v>
      </c>
      <c r="BM119" s="205"/>
      <c r="BN119" s="195"/>
      <c r="BO119" s="200">
        <v>35700</v>
      </c>
      <c r="BP119" s="200">
        <v>41871</v>
      </c>
      <c r="BQ119" s="200">
        <v>50948</v>
      </c>
      <c r="BR119" s="200">
        <v>51099</v>
      </c>
      <c r="BS119" s="200">
        <v>56459</v>
      </c>
      <c r="BT119" s="200">
        <v>56000</v>
      </c>
      <c r="BU119" s="200">
        <v>55900</v>
      </c>
      <c r="BV119" s="200">
        <v>66500</v>
      </c>
      <c r="BW119" s="200">
        <v>75600</v>
      </c>
      <c r="BX119" s="200">
        <v>75970</v>
      </c>
      <c r="BY119" s="200"/>
      <c r="BZ119" s="546">
        <f>(Tableau7[[#This Row],[juin-24]]-Tableau7[[#This Row],[avr-24]])/Tableau7[[#This Row],[avr-24]]</f>
        <v>4.8941798941798944E-3</v>
      </c>
      <c r="CA119" s="547">
        <f>Tableau7[[#This Row],[juin-24]]-Tableau7[[#This Row],[avr-24]]</f>
        <v>370</v>
      </c>
    </row>
    <row r="120" spans="1:79" x14ac:dyDescent="0.3">
      <c r="A120" s="54">
        <v>15</v>
      </c>
      <c r="B120" s="55" t="s">
        <v>18</v>
      </c>
      <c r="C120" s="54" t="s">
        <v>59</v>
      </c>
      <c r="D120" s="54" t="s">
        <v>49</v>
      </c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7">
        <v>4435</v>
      </c>
      <c r="AQ120" s="58">
        <v>9958</v>
      </c>
      <c r="AR120" s="58">
        <v>10443</v>
      </c>
      <c r="AS120" s="58">
        <v>10428</v>
      </c>
      <c r="AT120" s="58">
        <v>10328</v>
      </c>
      <c r="AU120" s="58">
        <v>10326</v>
      </c>
      <c r="AV120" s="58">
        <v>10234</v>
      </c>
      <c r="AW120" s="58">
        <v>10157</v>
      </c>
      <c r="AX120" s="58">
        <v>10169</v>
      </c>
      <c r="AY120" s="58">
        <v>10165</v>
      </c>
      <c r="AZ120" s="58">
        <v>10234</v>
      </c>
      <c r="BA120" s="58">
        <v>10377</v>
      </c>
      <c r="BB120" s="58">
        <v>10710</v>
      </c>
      <c r="BC120" s="58">
        <v>18755</v>
      </c>
      <c r="BD120" s="58">
        <v>19159</v>
      </c>
      <c r="BE120" s="58">
        <v>19100</v>
      </c>
      <c r="BF120" s="58">
        <v>19029</v>
      </c>
      <c r="BG120" s="58">
        <v>18960</v>
      </c>
      <c r="BH120" s="58">
        <v>18789</v>
      </c>
      <c r="BI120" s="58">
        <v>18706</v>
      </c>
      <c r="BJ120" s="58">
        <v>18664</v>
      </c>
      <c r="BK120" s="58">
        <v>18593</v>
      </c>
      <c r="BL120" s="195">
        <v>18802</v>
      </c>
      <c r="BM120" s="205"/>
      <c r="BN120" s="195"/>
      <c r="BO120" s="200">
        <v>26600</v>
      </c>
      <c r="BP120" s="200">
        <v>26746</v>
      </c>
      <c r="BQ120" s="200">
        <v>44361</v>
      </c>
      <c r="BR120" s="200">
        <v>49740</v>
      </c>
      <c r="BS120" s="200">
        <v>50112</v>
      </c>
      <c r="BT120" s="200">
        <v>49900</v>
      </c>
      <c r="BU120" s="200">
        <v>49695</v>
      </c>
      <c r="BV120" s="200">
        <v>54276</v>
      </c>
      <c r="BW120" s="200">
        <v>62067</v>
      </c>
      <c r="BX120" s="200">
        <v>62012</v>
      </c>
      <c r="BY120" s="200"/>
      <c r="BZ120" s="546">
        <f>(Tableau7[[#This Row],[juin-24]]-Tableau7[[#This Row],[avr-24]])/Tableau7[[#This Row],[avr-24]]</f>
        <v>-8.8613917218489696E-4</v>
      </c>
      <c r="CA120" s="547">
        <f>Tableau7[[#This Row],[juin-24]]-Tableau7[[#This Row],[avr-24]]</f>
        <v>-55</v>
      </c>
    </row>
    <row r="121" spans="1:79" x14ac:dyDescent="0.3">
      <c r="A121" s="59">
        <v>5</v>
      </c>
      <c r="B121" s="55" t="s">
        <v>39</v>
      </c>
      <c r="C121" s="54" t="s">
        <v>59</v>
      </c>
      <c r="D121" s="54" t="s">
        <v>49</v>
      </c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7">
        <v>38790</v>
      </c>
      <c r="AQ121" s="58">
        <v>38761</v>
      </c>
      <c r="AR121" s="58">
        <v>39132</v>
      </c>
      <c r="AS121" s="58">
        <v>44436</v>
      </c>
      <c r="AT121" s="58">
        <v>44104</v>
      </c>
      <c r="AU121" s="58">
        <v>44248</v>
      </c>
      <c r="AV121" s="58">
        <v>44276</v>
      </c>
      <c r="AW121" s="58">
        <v>44031</v>
      </c>
      <c r="AX121" s="58">
        <v>43784</v>
      </c>
      <c r="AY121" s="58">
        <v>43596</v>
      </c>
      <c r="AZ121" s="58">
        <v>43630</v>
      </c>
      <c r="BA121" s="58">
        <v>43576</v>
      </c>
      <c r="BB121" s="58">
        <v>43625</v>
      </c>
      <c r="BC121" s="58">
        <v>43890</v>
      </c>
      <c r="BD121" s="58">
        <v>45393</v>
      </c>
      <c r="BE121" s="58">
        <v>51800</v>
      </c>
      <c r="BF121" s="58">
        <v>51795</v>
      </c>
      <c r="BG121" s="58">
        <v>51668</v>
      </c>
      <c r="BH121" s="58">
        <v>51384</v>
      </c>
      <c r="BI121" s="58">
        <v>51175</v>
      </c>
      <c r="BJ121" s="58">
        <v>51012</v>
      </c>
      <c r="BK121" s="58">
        <v>50788</v>
      </c>
      <c r="BL121" s="195">
        <v>49986</v>
      </c>
      <c r="BM121" s="205"/>
      <c r="BN121" s="195"/>
      <c r="BO121" s="200">
        <v>48100</v>
      </c>
      <c r="BP121" s="200">
        <v>47717</v>
      </c>
      <c r="BQ121" s="200">
        <v>45634</v>
      </c>
      <c r="BR121" s="200">
        <v>44473</v>
      </c>
      <c r="BS121" s="200">
        <v>44303</v>
      </c>
      <c r="BT121" s="200">
        <v>43400</v>
      </c>
      <c r="BU121" s="200">
        <v>43168</v>
      </c>
      <c r="BV121" s="200">
        <v>42000</v>
      </c>
      <c r="BW121" s="200">
        <v>41333</v>
      </c>
      <c r="BX121" s="200">
        <v>41122</v>
      </c>
      <c r="BY121" s="200"/>
      <c r="BZ121" s="546">
        <f>(Tableau7[[#This Row],[juin-24]]-Tableau7[[#This Row],[avr-24]])/Tableau7[[#This Row],[avr-24]]</f>
        <v>-5.104879878063533E-3</v>
      </c>
      <c r="CA121" s="547">
        <f>Tableau7[[#This Row],[juin-24]]-Tableau7[[#This Row],[avr-24]]</f>
        <v>-211</v>
      </c>
    </row>
    <row r="122" spans="1:79" x14ac:dyDescent="0.3">
      <c r="A122" s="49">
        <v>10</v>
      </c>
      <c r="B122" s="50" t="s">
        <v>34</v>
      </c>
      <c r="C122" s="49" t="s">
        <v>59</v>
      </c>
      <c r="D122" s="49" t="s">
        <v>49</v>
      </c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51">
        <v>8625</v>
      </c>
      <c r="AQ122" s="52">
        <v>8609</v>
      </c>
      <c r="AR122" s="52">
        <v>8595</v>
      </c>
      <c r="AS122" s="52">
        <v>8776</v>
      </c>
      <c r="AT122" s="52">
        <v>12369</v>
      </c>
      <c r="AU122" s="52">
        <v>12475</v>
      </c>
      <c r="AV122" s="52">
        <v>12365</v>
      </c>
      <c r="AW122" s="52">
        <v>12262</v>
      </c>
      <c r="AX122" s="52">
        <v>12157</v>
      </c>
      <c r="AY122" s="52">
        <v>12063</v>
      </c>
      <c r="AZ122" s="52">
        <v>12013</v>
      </c>
      <c r="BA122" s="52">
        <v>12045</v>
      </c>
      <c r="BB122" s="52">
        <v>12030</v>
      </c>
      <c r="BC122" s="52">
        <v>12065</v>
      </c>
      <c r="BD122" s="52">
        <v>12062</v>
      </c>
      <c r="BE122" s="52">
        <v>12100</v>
      </c>
      <c r="BF122" s="52">
        <v>20076</v>
      </c>
      <c r="BG122" s="52">
        <v>20449</v>
      </c>
      <c r="BH122" s="52">
        <v>20340</v>
      </c>
      <c r="BI122" s="52">
        <v>20190</v>
      </c>
      <c r="BJ122" s="52">
        <v>20040</v>
      </c>
      <c r="BK122" s="52">
        <v>20134</v>
      </c>
      <c r="BL122" s="195">
        <v>19918</v>
      </c>
      <c r="BM122" s="205"/>
      <c r="BN122" s="195"/>
      <c r="BO122" s="200">
        <v>29703</v>
      </c>
      <c r="BP122" s="200">
        <v>29423</v>
      </c>
      <c r="BQ122" s="200">
        <v>34720</v>
      </c>
      <c r="BR122" s="200">
        <v>34935</v>
      </c>
      <c r="BS122" s="200">
        <v>35276</v>
      </c>
      <c r="BT122" s="200">
        <v>43400</v>
      </c>
      <c r="BU122" s="200">
        <v>43515</v>
      </c>
      <c r="BV122" s="200">
        <v>56700</v>
      </c>
      <c r="BW122" s="200">
        <v>55561</v>
      </c>
      <c r="BX122" s="200">
        <v>62957</v>
      </c>
      <c r="BY122" s="200"/>
      <c r="BZ122" s="546">
        <f>(Tableau7[[#This Row],[juin-24]]-Tableau7[[#This Row],[avr-24]])/Tableau7[[#This Row],[avr-24]]</f>
        <v>0.13311495473443602</v>
      </c>
      <c r="CA122" s="547">
        <f>Tableau7[[#This Row],[juin-24]]-Tableau7[[#This Row],[avr-24]]</f>
        <v>7396</v>
      </c>
    </row>
    <row r="123" spans="1:79" s="12" customFormat="1" x14ac:dyDescent="0.3">
      <c r="A123" s="49">
        <v>14</v>
      </c>
      <c r="B123" s="50" t="s">
        <v>17</v>
      </c>
      <c r="C123" s="49" t="s">
        <v>59</v>
      </c>
      <c r="D123" s="49" t="s">
        <v>49</v>
      </c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51">
        <v>7210</v>
      </c>
      <c r="AQ123" s="52">
        <v>10788</v>
      </c>
      <c r="AR123" s="52">
        <v>11522</v>
      </c>
      <c r="AS123" s="52">
        <v>11419</v>
      </c>
      <c r="AT123" s="52">
        <v>11342</v>
      </c>
      <c r="AU123" s="52">
        <v>11329</v>
      </c>
      <c r="AV123" s="52">
        <v>11249</v>
      </c>
      <c r="AW123" s="52">
        <v>11174</v>
      </c>
      <c r="AX123" s="52">
        <v>11087</v>
      </c>
      <c r="AY123" s="52">
        <v>11009</v>
      </c>
      <c r="AZ123" s="52">
        <v>10930</v>
      </c>
      <c r="BA123" s="52">
        <v>10919</v>
      </c>
      <c r="BB123" s="52">
        <v>11085</v>
      </c>
      <c r="BC123" s="52">
        <v>19190</v>
      </c>
      <c r="BD123" s="52">
        <v>19568</v>
      </c>
      <c r="BE123" s="52">
        <v>19400</v>
      </c>
      <c r="BF123" s="52">
        <v>19272</v>
      </c>
      <c r="BG123" s="52">
        <v>19228</v>
      </c>
      <c r="BH123" s="52">
        <v>19107</v>
      </c>
      <c r="BI123" s="52">
        <v>18973</v>
      </c>
      <c r="BJ123" s="52">
        <v>18837</v>
      </c>
      <c r="BK123" s="52">
        <v>18748</v>
      </c>
      <c r="BL123" s="195">
        <v>18828</v>
      </c>
      <c r="BM123" s="205"/>
      <c r="BN123" s="195"/>
      <c r="BO123" s="200">
        <v>25266</v>
      </c>
      <c r="BP123" s="200">
        <v>25023</v>
      </c>
      <c r="BQ123" s="200">
        <v>33373</v>
      </c>
      <c r="BR123" s="200">
        <v>39056</v>
      </c>
      <c r="BS123" s="200">
        <v>39684</v>
      </c>
      <c r="BT123" s="200">
        <v>42100</v>
      </c>
      <c r="BU123" s="200">
        <v>42028</v>
      </c>
      <c r="BV123" s="200">
        <v>46935</v>
      </c>
      <c r="BW123" s="200">
        <v>59785</v>
      </c>
      <c r="BX123" s="200">
        <v>60316</v>
      </c>
      <c r="BY123" s="200"/>
      <c r="BZ123" s="546">
        <f>(Tableau7[[#This Row],[juin-24]]-Tableau7[[#This Row],[avr-24]])/Tableau7[[#This Row],[avr-24]]</f>
        <v>8.881826545120014E-3</v>
      </c>
      <c r="CA123" s="547">
        <f>Tableau7[[#This Row],[juin-24]]-Tableau7[[#This Row],[avr-24]]</f>
        <v>531</v>
      </c>
    </row>
    <row r="124" spans="1:79" x14ac:dyDescent="0.3">
      <c r="A124" s="54">
        <v>7</v>
      </c>
      <c r="B124" s="50" t="s">
        <v>16</v>
      </c>
      <c r="C124" s="54" t="s">
        <v>59</v>
      </c>
      <c r="D124" s="54" t="s">
        <v>49</v>
      </c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7">
        <v>24875</v>
      </c>
      <c r="AQ124" s="58">
        <v>24996</v>
      </c>
      <c r="AR124" s="58">
        <v>24908</v>
      </c>
      <c r="AS124" s="58">
        <v>24737</v>
      </c>
      <c r="AT124" s="58">
        <v>24589</v>
      </c>
      <c r="AU124" s="58">
        <v>24526</v>
      </c>
      <c r="AV124" s="58">
        <v>24618</v>
      </c>
      <c r="AW124" s="58">
        <v>24576</v>
      </c>
      <c r="AX124" s="58">
        <v>24547</v>
      </c>
      <c r="AY124" s="58">
        <v>24658</v>
      </c>
      <c r="AZ124" s="58">
        <v>26869</v>
      </c>
      <c r="BA124" s="58">
        <v>35041</v>
      </c>
      <c r="BB124" s="58">
        <v>34735</v>
      </c>
      <c r="BC124" s="58">
        <v>34420</v>
      </c>
      <c r="BD124" s="58">
        <v>34108</v>
      </c>
      <c r="BE124" s="58">
        <v>33900</v>
      </c>
      <c r="BF124" s="58">
        <v>33677</v>
      </c>
      <c r="BG124" s="58">
        <v>33605</v>
      </c>
      <c r="BH124" s="58">
        <v>33461</v>
      </c>
      <c r="BI124" s="58">
        <v>33412</v>
      </c>
      <c r="BJ124" s="58">
        <v>33479</v>
      </c>
      <c r="BK124" s="58">
        <v>33487</v>
      </c>
      <c r="BL124" s="195">
        <v>40821</v>
      </c>
      <c r="BM124" s="205"/>
      <c r="BN124" s="195"/>
      <c r="BO124" s="200">
        <v>39600</v>
      </c>
      <c r="BP124" s="200">
        <v>39365</v>
      </c>
      <c r="BQ124" s="200">
        <v>39278</v>
      </c>
      <c r="BR124" s="200">
        <v>40332</v>
      </c>
      <c r="BS124" s="200">
        <v>40278</v>
      </c>
      <c r="BT124" s="200">
        <v>39800</v>
      </c>
      <c r="BU124" s="200">
        <v>39700</v>
      </c>
      <c r="BV124" s="200">
        <v>45600</v>
      </c>
      <c r="BW124" s="200">
        <v>56147</v>
      </c>
      <c r="BX124" s="200">
        <v>55781</v>
      </c>
      <c r="BY124" s="200"/>
      <c r="BZ124" s="546">
        <f>(Tableau7[[#This Row],[juin-24]]-Tableau7[[#This Row],[avr-24]])/Tableau7[[#This Row],[avr-24]]</f>
        <v>-6.5186029529627583E-3</v>
      </c>
      <c r="CA124" s="547">
        <f>Tableau7[[#This Row],[juin-24]]-Tableau7[[#This Row],[avr-24]]</f>
        <v>-366</v>
      </c>
    </row>
    <row r="125" spans="1:79" s="12" customFormat="1" x14ac:dyDescent="0.3">
      <c r="A125" s="54">
        <v>19</v>
      </c>
      <c r="B125" s="55" t="s">
        <v>19</v>
      </c>
      <c r="C125" s="54"/>
      <c r="D125" s="54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7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>
        <v>1565</v>
      </c>
      <c r="BC125" s="58">
        <v>6620</v>
      </c>
      <c r="BD125" s="58">
        <v>7563</v>
      </c>
      <c r="BE125" s="58">
        <v>7670</v>
      </c>
      <c r="BF125" s="58">
        <v>7644</v>
      </c>
      <c r="BG125" s="58">
        <v>7646</v>
      </c>
      <c r="BH125" s="58">
        <v>7617</v>
      </c>
      <c r="BI125" s="58">
        <v>7629</v>
      </c>
      <c r="BJ125" s="58">
        <v>7639</v>
      </c>
      <c r="BK125" s="58">
        <v>7638</v>
      </c>
      <c r="BL125" s="195">
        <v>7941</v>
      </c>
      <c r="BM125" s="205"/>
      <c r="BN125" s="195"/>
      <c r="BO125" s="200">
        <v>16100</v>
      </c>
      <c r="BP125" s="200">
        <v>16137</v>
      </c>
      <c r="BQ125" s="200">
        <v>26543</v>
      </c>
      <c r="BR125" s="200">
        <v>32202</v>
      </c>
      <c r="BS125" s="200">
        <v>32850</v>
      </c>
      <c r="BT125" s="200">
        <v>33500</v>
      </c>
      <c r="BU125" s="200">
        <v>33657</v>
      </c>
      <c r="BV125" s="200">
        <v>42100</v>
      </c>
      <c r="BW125" s="200">
        <v>52582</v>
      </c>
      <c r="BX125" s="200">
        <v>53269</v>
      </c>
      <c r="BY125" s="200"/>
      <c r="BZ125" s="546">
        <f>(Tableau7[[#This Row],[juin-24]]-Tableau7[[#This Row],[avr-24]])/Tableau7[[#This Row],[avr-24]]</f>
        <v>1.3065307519683543E-2</v>
      </c>
      <c r="CA125" s="547">
        <f>Tableau7[[#This Row],[juin-24]]-Tableau7[[#This Row],[avr-24]]</f>
        <v>687</v>
      </c>
    </row>
    <row r="126" spans="1:79" x14ac:dyDescent="0.3">
      <c r="A126" s="59">
        <v>9</v>
      </c>
      <c r="B126" s="55" t="s">
        <v>165</v>
      </c>
      <c r="C126" s="54" t="s">
        <v>47</v>
      </c>
      <c r="D126" s="54" t="s">
        <v>49</v>
      </c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7">
        <v>11595</v>
      </c>
      <c r="AQ126" s="58">
        <v>11722</v>
      </c>
      <c r="AR126" s="58">
        <v>11737</v>
      </c>
      <c r="AS126" s="58">
        <v>11687</v>
      </c>
      <c r="AT126" s="58">
        <v>11589</v>
      </c>
      <c r="AU126" s="58">
        <v>11540</v>
      </c>
      <c r="AV126" s="58">
        <v>11459</v>
      </c>
      <c r="AW126" s="58">
        <v>11413</v>
      </c>
      <c r="AX126" s="58">
        <v>11329</v>
      </c>
      <c r="AY126" s="58">
        <v>11262</v>
      </c>
      <c r="AZ126" s="58">
        <v>11342</v>
      </c>
      <c r="BA126" s="58">
        <v>11576</v>
      </c>
      <c r="BB126" s="58">
        <v>16055</v>
      </c>
      <c r="BC126" s="58">
        <v>16490</v>
      </c>
      <c r="BD126" s="58">
        <v>16351</v>
      </c>
      <c r="BE126" s="58">
        <v>16309</v>
      </c>
      <c r="BF126" s="58">
        <v>16210</v>
      </c>
      <c r="BG126" s="58">
        <v>16140</v>
      </c>
      <c r="BH126" s="58">
        <v>16075</v>
      </c>
      <c r="BI126" s="58">
        <v>15995</v>
      </c>
      <c r="BJ126" s="58">
        <v>15956</v>
      </c>
      <c r="BK126" s="58">
        <v>15941</v>
      </c>
      <c r="BL126" s="195">
        <v>20056</v>
      </c>
      <c r="BM126" s="205"/>
      <c r="BN126" s="195"/>
      <c r="BO126" s="200">
        <v>20300</v>
      </c>
      <c r="BP126" s="200">
        <v>20240</v>
      </c>
      <c r="BQ126" s="200">
        <v>28374</v>
      </c>
      <c r="BR126" s="200">
        <v>32231</v>
      </c>
      <c r="BS126" s="200">
        <v>32062</v>
      </c>
      <c r="BT126" s="200">
        <v>31600</v>
      </c>
      <c r="BU126" s="200">
        <v>31600</v>
      </c>
      <c r="BV126" s="200">
        <v>35600</v>
      </c>
      <c r="BW126" s="200">
        <v>46446</v>
      </c>
      <c r="BX126" s="200">
        <v>46568</v>
      </c>
      <c r="BY126" s="200"/>
      <c r="BZ126" s="546">
        <f>(Tableau7[[#This Row],[juin-24]]-Tableau7[[#This Row],[avr-24]])/Tableau7[[#This Row],[avr-24]]</f>
        <v>2.626706282564699E-3</v>
      </c>
      <c r="CA126" s="547">
        <f>Tableau7[[#This Row],[juin-24]]-Tableau7[[#This Row],[avr-24]]</f>
        <v>122</v>
      </c>
    </row>
    <row r="127" spans="1:79" x14ac:dyDescent="0.3">
      <c r="A127" s="54">
        <v>25</v>
      </c>
      <c r="B127" s="55" t="s">
        <v>27</v>
      </c>
      <c r="C127" s="54" t="s">
        <v>59</v>
      </c>
      <c r="D127" s="54" t="s">
        <v>49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7"/>
      <c r="AQ127" s="58"/>
      <c r="AR127" s="58"/>
      <c r="AS127" s="58"/>
      <c r="AT127" s="58">
        <v>6366</v>
      </c>
      <c r="AU127" s="58">
        <v>6568</v>
      </c>
      <c r="AV127" s="58">
        <v>6534</v>
      </c>
      <c r="AW127" s="58">
        <v>6474</v>
      </c>
      <c r="AX127" s="58">
        <v>6452</v>
      </c>
      <c r="AY127" s="58">
        <v>6509</v>
      </c>
      <c r="AZ127" s="58">
        <v>6565</v>
      </c>
      <c r="BA127" s="58">
        <v>6595</v>
      </c>
      <c r="BB127" s="58">
        <v>6685</v>
      </c>
      <c r="BC127" s="58">
        <v>6755</v>
      </c>
      <c r="BD127" s="58">
        <v>6820</v>
      </c>
      <c r="BE127" s="58">
        <v>7172</v>
      </c>
      <c r="BF127" s="58">
        <v>12610</v>
      </c>
      <c r="BG127" s="58">
        <v>12823</v>
      </c>
      <c r="BH127" s="58">
        <v>12779</v>
      </c>
      <c r="BI127" s="58">
        <v>12672</v>
      </c>
      <c r="BJ127" s="58">
        <v>12628</v>
      </c>
      <c r="BK127" s="58">
        <v>12612</v>
      </c>
      <c r="BL127" s="195">
        <v>12484</v>
      </c>
      <c r="BM127" s="205"/>
      <c r="BN127" s="195"/>
      <c r="BO127" s="200">
        <v>13200</v>
      </c>
      <c r="BP127" s="200">
        <v>13159</v>
      </c>
      <c r="BQ127" s="200">
        <v>21782</v>
      </c>
      <c r="BR127" s="200">
        <v>21920</v>
      </c>
      <c r="BS127" s="200">
        <v>21945</v>
      </c>
      <c r="BT127" s="200">
        <v>29900</v>
      </c>
      <c r="BU127" s="200">
        <v>29632</v>
      </c>
      <c r="BV127" s="200">
        <v>44600</v>
      </c>
      <c r="BW127" s="200">
        <v>43972</v>
      </c>
      <c r="BX127" s="200">
        <v>53007</v>
      </c>
      <c r="BY127" s="200"/>
      <c r="BZ127" s="546">
        <f>(Tableau7[[#This Row],[juin-24]]-Tableau7[[#This Row],[avr-24]])/Tableau7[[#This Row],[avr-24]]</f>
        <v>0.20547166378604567</v>
      </c>
      <c r="CA127" s="547">
        <f>Tableau7[[#This Row],[juin-24]]-Tableau7[[#This Row],[avr-24]]</f>
        <v>9035</v>
      </c>
    </row>
    <row r="128" spans="1:79" x14ac:dyDescent="0.3">
      <c r="A128" s="54">
        <v>31</v>
      </c>
      <c r="B128" s="55" t="s">
        <v>112</v>
      </c>
      <c r="C128" s="54"/>
      <c r="D128" s="54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7"/>
      <c r="AQ128" s="58"/>
      <c r="AR128" s="58"/>
      <c r="AS128" s="58"/>
      <c r="AT128" s="58"/>
      <c r="AU128" s="58"/>
      <c r="AV128" s="58"/>
      <c r="AW128" s="58"/>
      <c r="AX128" s="58"/>
      <c r="AY128" s="52"/>
      <c r="AZ128" s="52"/>
      <c r="BA128" s="52"/>
      <c r="BB128" s="52"/>
      <c r="BC128" s="112">
        <v>12760</v>
      </c>
      <c r="BD128" s="112">
        <v>13140</v>
      </c>
      <c r="BE128" s="112">
        <v>13000</v>
      </c>
      <c r="BF128" s="112">
        <v>12952</v>
      </c>
      <c r="BG128" s="112">
        <v>12956</v>
      </c>
      <c r="BH128" s="112">
        <v>12897</v>
      </c>
      <c r="BI128" s="112">
        <v>12831</v>
      </c>
      <c r="BJ128" s="112">
        <v>12788</v>
      </c>
      <c r="BK128" s="112">
        <v>12715</v>
      </c>
      <c r="BL128" s="195">
        <v>13098</v>
      </c>
      <c r="BM128" s="205"/>
      <c r="BN128" s="195"/>
      <c r="BO128" s="200">
        <v>13100</v>
      </c>
      <c r="BP128" s="200">
        <v>13093</v>
      </c>
      <c r="BQ128" s="200">
        <v>22291</v>
      </c>
      <c r="BR128" s="200">
        <v>24973</v>
      </c>
      <c r="BS128" s="200">
        <v>26862</v>
      </c>
      <c r="BT128" s="200">
        <v>27000</v>
      </c>
      <c r="BU128" s="200">
        <v>26991</v>
      </c>
      <c r="BV128" s="200">
        <v>33000</v>
      </c>
      <c r="BW128" s="200">
        <v>44134</v>
      </c>
      <c r="BX128" s="200">
        <v>44289</v>
      </c>
      <c r="BY128" s="200"/>
      <c r="BZ128" s="546">
        <f>(Tableau7[[#This Row],[juin-24]]-Tableau7[[#This Row],[avr-24]])/Tableau7[[#This Row],[avr-24]]</f>
        <v>3.5120315403090589E-3</v>
      </c>
      <c r="CA128" s="547">
        <f>Tableau7[[#This Row],[juin-24]]-Tableau7[[#This Row],[avr-24]]</f>
        <v>155</v>
      </c>
    </row>
    <row r="129" spans="1:79" s="12" customFormat="1" x14ac:dyDescent="0.3">
      <c r="A129" s="60">
        <v>8</v>
      </c>
      <c r="B129" s="50" t="s">
        <v>58</v>
      </c>
      <c r="C129" s="49" t="s">
        <v>46</v>
      </c>
      <c r="D129" s="49" t="s">
        <v>49</v>
      </c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51">
        <v>14300</v>
      </c>
      <c r="AQ129" s="52">
        <v>14491</v>
      </c>
      <c r="AR129" s="52">
        <v>15143</v>
      </c>
      <c r="AS129" s="52">
        <v>17929</v>
      </c>
      <c r="AT129" s="52">
        <v>17963</v>
      </c>
      <c r="AU129" s="52">
        <v>17984</v>
      </c>
      <c r="AV129" s="52">
        <v>18202</v>
      </c>
      <c r="AW129" s="52">
        <v>18209</v>
      </c>
      <c r="AX129" s="52">
        <v>18319</v>
      </c>
      <c r="AY129" s="52">
        <v>18358</v>
      </c>
      <c r="AZ129" s="52">
        <v>18733</v>
      </c>
      <c r="BA129" s="52">
        <v>18931</v>
      </c>
      <c r="BB129" s="52">
        <v>19150</v>
      </c>
      <c r="BC129" s="52">
        <v>19525</v>
      </c>
      <c r="BD129" s="52">
        <v>20213</v>
      </c>
      <c r="BE129" s="52">
        <v>23800</v>
      </c>
      <c r="BF129" s="52">
        <v>23954</v>
      </c>
      <c r="BG129" s="52">
        <v>24039</v>
      </c>
      <c r="BH129" s="52">
        <v>24007</v>
      </c>
      <c r="BI129" s="52">
        <v>24038</v>
      </c>
      <c r="BJ129" s="52">
        <v>24043</v>
      </c>
      <c r="BK129" s="52">
        <v>24053</v>
      </c>
      <c r="BL129" s="195">
        <v>24210</v>
      </c>
      <c r="BM129" s="205"/>
      <c r="BN129" s="195"/>
      <c r="BO129" s="200">
        <v>24429</v>
      </c>
      <c r="BP129" s="200">
        <v>24296</v>
      </c>
      <c r="BQ129" s="200">
        <v>24065</v>
      </c>
      <c r="BR129" s="200">
        <v>23650</v>
      </c>
      <c r="BS129" s="200">
        <v>23578</v>
      </c>
      <c r="BT129" s="200">
        <v>23300</v>
      </c>
      <c r="BU129" s="200">
        <v>23187</v>
      </c>
      <c r="BV129" s="200">
        <v>22787</v>
      </c>
      <c r="BW129" s="200">
        <v>22384</v>
      </c>
      <c r="BX129" s="200">
        <v>22282</v>
      </c>
      <c r="BY129" s="200"/>
      <c r="BZ129" s="546">
        <f>(Tableau7[[#This Row],[juin-24]]-Tableau7[[#This Row],[avr-24]])/Tableau7[[#This Row],[avr-24]]</f>
        <v>-4.5568263045032168E-3</v>
      </c>
      <c r="CA129" s="547">
        <f>Tableau7[[#This Row],[juin-24]]-Tableau7[[#This Row],[avr-24]]</f>
        <v>-102</v>
      </c>
    </row>
    <row r="130" spans="1:79" x14ac:dyDescent="0.3">
      <c r="A130" s="54">
        <v>12</v>
      </c>
      <c r="B130" s="55" t="s">
        <v>111</v>
      </c>
      <c r="C130" s="54" t="s">
        <v>59</v>
      </c>
      <c r="D130" s="54" t="s">
        <v>49</v>
      </c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7">
        <v>9430</v>
      </c>
      <c r="AQ130" s="58">
        <v>9484</v>
      </c>
      <c r="AR130" s="58">
        <v>9498</v>
      </c>
      <c r="AS130" s="58">
        <v>9553</v>
      </c>
      <c r="AT130" s="58">
        <v>9645</v>
      </c>
      <c r="AU130" s="58">
        <v>10001</v>
      </c>
      <c r="AV130" s="58">
        <v>12541</v>
      </c>
      <c r="AW130" s="58">
        <v>12503</v>
      </c>
      <c r="AX130" s="58">
        <v>12433</v>
      </c>
      <c r="AY130" s="58">
        <v>12330</v>
      </c>
      <c r="AZ130" s="58">
        <v>12302</v>
      </c>
      <c r="BA130" s="58">
        <v>12274</v>
      </c>
      <c r="BB130" s="58">
        <v>12265</v>
      </c>
      <c r="BC130" s="58">
        <v>12295</v>
      </c>
      <c r="BD130" s="58">
        <v>12345</v>
      </c>
      <c r="BE130" s="58">
        <v>12400</v>
      </c>
      <c r="BF130" s="58">
        <v>12533</v>
      </c>
      <c r="BG130" s="58">
        <v>12856</v>
      </c>
      <c r="BH130" s="58">
        <v>17027</v>
      </c>
      <c r="BI130" s="58">
        <v>16943</v>
      </c>
      <c r="BJ130" s="58">
        <v>16848</v>
      </c>
      <c r="BK130" s="58">
        <v>16823</v>
      </c>
      <c r="BL130" s="195">
        <v>16653</v>
      </c>
      <c r="BM130" s="205"/>
      <c r="BN130" s="195"/>
      <c r="BO130" s="200">
        <v>19900</v>
      </c>
      <c r="BP130" s="200">
        <v>19759</v>
      </c>
      <c r="BQ130" s="200">
        <v>21337</v>
      </c>
      <c r="BR130" s="200">
        <v>20969</v>
      </c>
      <c r="BS130" s="200">
        <v>20950</v>
      </c>
      <c r="BT130" s="200">
        <v>23000</v>
      </c>
      <c r="BU130" s="200">
        <v>22800</v>
      </c>
      <c r="BV130" s="200">
        <v>26200</v>
      </c>
      <c r="BW130" s="200">
        <v>26276</v>
      </c>
      <c r="BX130" s="200">
        <v>30170</v>
      </c>
      <c r="BY130" s="200"/>
      <c r="BZ130" s="546">
        <f>(Tableau7[[#This Row],[juin-24]]-Tableau7[[#This Row],[avr-24]])/Tableau7[[#This Row],[avr-24]]</f>
        <v>0.14819607246156188</v>
      </c>
      <c r="CA130" s="547">
        <f>Tableau7[[#This Row],[juin-24]]-Tableau7[[#This Row],[avr-24]]</f>
        <v>3894</v>
      </c>
    </row>
    <row r="131" spans="1:79" x14ac:dyDescent="0.3">
      <c r="A131" s="59">
        <v>13</v>
      </c>
      <c r="B131" s="55" t="s">
        <v>216</v>
      </c>
      <c r="C131" s="54" t="s">
        <v>45</v>
      </c>
      <c r="D131" s="54" t="s">
        <v>49</v>
      </c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7">
        <v>2650</v>
      </c>
      <c r="AQ131" s="58">
        <v>2689</v>
      </c>
      <c r="AR131" s="58">
        <v>2708</v>
      </c>
      <c r="AS131" s="58">
        <v>2750</v>
      </c>
      <c r="AT131" s="58">
        <v>2858</v>
      </c>
      <c r="AU131" s="58">
        <v>2940</v>
      </c>
      <c r="AV131" s="58">
        <v>4082</v>
      </c>
      <c r="AW131" s="58">
        <v>6902</v>
      </c>
      <c r="AX131" s="58">
        <v>7070</v>
      </c>
      <c r="AY131" s="58">
        <v>7170</v>
      </c>
      <c r="AZ131" s="58">
        <v>7292</v>
      </c>
      <c r="BA131" s="58">
        <v>7423</v>
      </c>
      <c r="BB131" s="58">
        <v>7535</v>
      </c>
      <c r="BC131" s="58">
        <v>7635</v>
      </c>
      <c r="BD131" s="58">
        <v>7759</v>
      </c>
      <c r="BE131" s="58">
        <v>8191</v>
      </c>
      <c r="BF131" s="58">
        <v>8305</v>
      </c>
      <c r="BG131" s="58">
        <v>8445</v>
      </c>
      <c r="BH131" s="58">
        <v>9185</v>
      </c>
      <c r="BI131" s="58">
        <v>11834</v>
      </c>
      <c r="BJ131" s="58">
        <v>11909</v>
      </c>
      <c r="BK131" s="58">
        <v>11951</v>
      </c>
      <c r="BL131" s="195">
        <v>12241</v>
      </c>
      <c r="BM131" s="205"/>
      <c r="BN131" s="195"/>
      <c r="BO131" s="200">
        <v>13000</v>
      </c>
      <c r="BP131" s="200">
        <v>13045</v>
      </c>
      <c r="BQ131" s="200">
        <v>21278</v>
      </c>
      <c r="BR131" s="200">
        <v>21292</v>
      </c>
      <c r="BS131" s="200">
        <v>21502</v>
      </c>
      <c r="BT131" s="200">
        <v>23800</v>
      </c>
      <c r="BU131" s="200">
        <v>23600</v>
      </c>
      <c r="BV131" s="200">
        <v>30800</v>
      </c>
      <c r="BW131" s="200">
        <v>31090</v>
      </c>
      <c r="BX131" s="200">
        <v>32508</v>
      </c>
      <c r="BY131" s="200"/>
      <c r="BZ131" s="546">
        <f>(Tableau7[[#This Row],[juin-24]]-Tableau7[[#This Row],[avr-24]])/Tableau7[[#This Row],[avr-24]]</f>
        <v>4.5609520746220648E-2</v>
      </c>
      <c r="CA131" s="547">
        <f>Tableau7[[#This Row],[juin-24]]-Tableau7[[#This Row],[avr-24]]</f>
        <v>1418</v>
      </c>
    </row>
    <row r="132" spans="1:79" x14ac:dyDescent="0.3">
      <c r="A132" s="54">
        <v>26</v>
      </c>
      <c r="B132" s="55" t="s">
        <v>23</v>
      </c>
      <c r="C132" s="54" t="s">
        <v>59</v>
      </c>
      <c r="D132" s="54" t="s">
        <v>50</v>
      </c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7">
        <v>5140</v>
      </c>
      <c r="AQ132" s="58">
        <v>5169</v>
      </c>
      <c r="AR132" s="58">
        <v>7636</v>
      </c>
      <c r="AS132" s="58">
        <v>7616</v>
      </c>
      <c r="AT132" s="58">
        <v>7570</v>
      </c>
      <c r="AU132" s="58">
        <v>7546</v>
      </c>
      <c r="AV132" s="58">
        <v>7508</v>
      </c>
      <c r="AW132" s="58">
        <v>7514</v>
      </c>
      <c r="AX132" s="58">
        <v>7549</v>
      </c>
      <c r="AY132" s="58">
        <v>7612</v>
      </c>
      <c r="AZ132" s="58">
        <v>7757</v>
      </c>
      <c r="BA132" s="58">
        <v>7807</v>
      </c>
      <c r="BB132" s="58">
        <v>7900</v>
      </c>
      <c r="BC132" s="58">
        <v>8000</v>
      </c>
      <c r="BD132" s="58">
        <v>11823</v>
      </c>
      <c r="BE132" s="58">
        <v>12100</v>
      </c>
      <c r="BF132" s="58">
        <v>12031</v>
      </c>
      <c r="BG132" s="58">
        <v>12001</v>
      </c>
      <c r="BH132" s="58">
        <v>11946</v>
      </c>
      <c r="BI132" s="58">
        <v>11942</v>
      </c>
      <c r="BJ132" s="58">
        <v>11996</v>
      </c>
      <c r="BK132" s="58">
        <v>12009</v>
      </c>
      <c r="BL132" s="195">
        <v>12106</v>
      </c>
      <c r="BM132" s="205"/>
      <c r="BN132" s="195"/>
      <c r="BO132" s="200">
        <v>12500</v>
      </c>
      <c r="BP132" s="200">
        <v>12569</v>
      </c>
      <c r="BQ132" s="200">
        <v>15711</v>
      </c>
      <c r="BR132" s="200">
        <v>15903</v>
      </c>
      <c r="BS132" s="200">
        <v>18220</v>
      </c>
      <c r="BT132" s="200">
        <v>18500</v>
      </c>
      <c r="BU132" s="200">
        <v>18584</v>
      </c>
      <c r="BV132" s="200">
        <v>22400</v>
      </c>
      <c r="BW132" s="200">
        <v>26568</v>
      </c>
      <c r="BX132" s="200">
        <v>26707</v>
      </c>
      <c r="BY132" s="200"/>
      <c r="BZ132" s="546">
        <f>(Tableau7[[#This Row],[juin-24]]-Tableau7[[#This Row],[avr-24]])/Tableau7[[#This Row],[avr-24]]</f>
        <v>5.2318578741342965E-3</v>
      </c>
      <c r="CA132" s="547">
        <f>Tableau7[[#This Row],[juin-24]]-Tableau7[[#This Row],[avr-24]]</f>
        <v>139</v>
      </c>
    </row>
    <row r="133" spans="1:79" x14ac:dyDescent="0.3">
      <c r="A133" s="56"/>
      <c r="B133" s="121" t="s">
        <v>241</v>
      </c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426"/>
      <c r="AZ133" s="426"/>
      <c r="BA133" s="426"/>
      <c r="BB133" s="426"/>
      <c r="BC133" s="112"/>
      <c r="BD133" s="426"/>
      <c r="BE133" s="426"/>
      <c r="BF133" s="56"/>
      <c r="BG133" s="56"/>
      <c r="BH133" s="56"/>
      <c r="BI133" s="56"/>
      <c r="BJ133" s="56"/>
      <c r="BK133" s="56"/>
      <c r="BL133" s="430"/>
      <c r="BM133" s="205"/>
      <c r="BN133" s="69"/>
      <c r="BR133" s="200">
        <v>17189</v>
      </c>
      <c r="BS133" s="200">
        <v>17720</v>
      </c>
      <c r="BT133" s="200">
        <v>18300</v>
      </c>
      <c r="BU133" s="200">
        <v>20826</v>
      </c>
      <c r="BV133" s="200">
        <v>26385</v>
      </c>
      <c r="BW133" s="200">
        <v>27949</v>
      </c>
      <c r="BX133" s="200">
        <v>28030</v>
      </c>
      <c r="BY133" s="200"/>
      <c r="BZ133" s="546">
        <f>(Tableau7[[#This Row],[juin-24]]-Tableau7[[#This Row],[avr-24]])/Tableau7[[#This Row],[avr-24]]</f>
        <v>2.8981358903717486E-3</v>
      </c>
      <c r="CA133" s="547">
        <f>Tableau7[[#This Row],[juin-24]]-Tableau7[[#This Row],[avr-24]]</f>
        <v>81</v>
      </c>
    </row>
    <row r="134" spans="1:79" x14ac:dyDescent="0.3">
      <c r="A134" s="54">
        <v>23</v>
      </c>
      <c r="B134" s="121" t="s">
        <v>41</v>
      </c>
      <c r="C134" s="54"/>
      <c r="D134" s="54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118"/>
      <c r="AQ134" s="119"/>
      <c r="AR134" s="119"/>
      <c r="AS134" s="119"/>
      <c r="AT134" s="119"/>
      <c r="AU134" s="119"/>
      <c r="AV134" s="119"/>
      <c r="AW134" s="119"/>
      <c r="AX134" s="119"/>
      <c r="AY134" s="112"/>
      <c r="AZ134" s="112"/>
      <c r="BA134" s="112"/>
      <c r="BB134" s="112"/>
      <c r="BC134" s="112"/>
      <c r="BD134" s="112">
        <v>10083</v>
      </c>
      <c r="BE134" s="112">
        <v>10400</v>
      </c>
      <c r="BF134" s="112">
        <v>10579</v>
      </c>
      <c r="BG134" s="112">
        <v>10974</v>
      </c>
      <c r="BH134" s="112">
        <v>13002</v>
      </c>
      <c r="BI134" s="112">
        <v>12985</v>
      </c>
      <c r="BJ134" s="112">
        <v>12958</v>
      </c>
      <c r="BK134" s="112">
        <v>12944</v>
      </c>
      <c r="BL134" s="195">
        <v>13375</v>
      </c>
      <c r="BM134" s="205"/>
      <c r="BN134" s="195"/>
      <c r="BO134" s="200">
        <v>13700</v>
      </c>
      <c r="BP134" s="200">
        <v>13694</v>
      </c>
      <c r="BQ134" s="200">
        <v>13372</v>
      </c>
      <c r="BR134" s="200">
        <v>15116</v>
      </c>
      <c r="BS134" s="200">
        <v>15392</v>
      </c>
      <c r="BT134" s="200">
        <v>18000</v>
      </c>
      <c r="BU134" s="200">
        <v>18400</v>
      </c>
      <c r="BV134" s="200">
        <v>21300</v>
      </c>
      <c r="BW134" s="200">
        <v>21936</v>
      </c>
      <c r="BX134" s="200">
        <v>23843</v>
      </c>
      <c r="BY134" s="200"/>
      <c r="BZ134" s="546">
        <f>(Tableau7[[#This Row],[juin-24]]-Tableau7[[#This Row],[avr-24]])/Tableau7[[#This Row],[avr-24]]</f>
        <v>8.6934719183078046E-2</v>
      </c>
      <c r="CA134" s="547">
        <f>Tableau7[[#This Row],[juin-24]]-Tableau7[[#This Row],[avr-24]]</f>
        <v>1907</v>
      </c>
    </row>
    <row r="135" spans="1:79" x14ac:dyDescent="0.3">
      <c r="A135" s="54">
        <v>22</v>
      </c>
      <c r="B135" s="55" t="s">
        <v>25</v>
      </c>
      <c r="C135" s="54" t="s">
        <v>59</v>
      </c>
      <c r="D135" s="54" t="s">
        <v>50</v>
      </c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7">
        <v>1300</v>
      </c>
      <c r="AQ135" s="58">
        <v>1398</v>
      </c>
      <c r="AR135" s="58">
        <v>2818</v>
      </c>
      <c r="AS135" s="58">
        <v>2842</v>
      </c>
      <c r="AT135" s="58">
        <v>2836</v>
      </c>
      <c r="AU135" s="58">
        <v>2836</v>
      </c>
      <c r="AV135" s="58">
        <v>2804</v>
      </c>
      <c r="AW135" s="58">
        <v>2808</v>
      </c>
      <c r="AX135" s="58">
        <v>2819</v>
      </c>
      <c r="AY135" s="112">
        <v>2832</v>
      </c>
      <c r="AZ135" s="112">
        <v>2813</v>
      </c>
      <c r="BA135" s="112">
        <v>2852</v>
      </c>
      <c r="BB135" s="112">
        <v>2870</v>
      </c>
      <c r="BC135" s="112">
        <v>2905</v>
      </c>
      <c r="BD135" s="112">
        <v>4751</v>
      </c>
      <c r="BE135" s="112">
        <v>5336</v>
      </c>
      <c r="BF135" s="112">
        <v>5305</v>
      </c>
      <c r="BG135" s="112">
        <v>5312</v>
      </c>
      <c r="BH135" s="112">
        <v>5288</v>
      </c>
      <c r="BI135" s="112">
        <v>5273</v>
      </c>
      <c r="BJ135" s="112">
        <v>5262</v>
      </c>
      <c r="BK135" s="112">
        <v>5252</v>
      </c>
      <c r="BL135" s="195">
        <v>5477</v>
      </c>
      <c r="BM135" s="205"/>
      <c r="BN135" s="195"/>
      <c r="BO135" s="200">
        <v>6548</v>
      </c>
      <c r="BP135" s="200">
        <v>8999</v>
      </c>
      <c r="BQ135" s="200">
        <v>11593</v>
      </c>
      <c r="BR135" s="200">
        <v>13053</v>
      </c>
      <c r="BS135" s="200">
        <v>15835</v>
      </c>
      <c r="BT135" s="200">
        <v>15800</v>
      </c>
      <c r="BU135" s="200">
        <v>15900</v>
      </c>
      <c r="BV135" s="200">
        <v>21700</v>
      </c>
      <c r="BW135" s="200">
        <v>26877</v>
      </c>
      <c r="BX135" s="200">
        <v>28689</v>
      </c>
      <c r="BY135" s="200"/>
      <c r="BZ135" s="546">
        <f>(Tableau7[[#This Row],[juin-24]]-Tableau7[[#This Row],[avr-24]])/Tableau7[[#This Row],[avr-24]]</f>
        <v>6.7418238642705658E-2</v>
      </c>
      <c r="CA135" s="547">
        <f>Tableau7[[#This Row],[juin-24]]-Tableau7[[#This Row],[avr-24]]</f>
        <v>1812</v>
      </c>
    </row>
    <row r="136" spans="1:79" x14ac:dyDescent="0.3">
      <c r="A136" s="59">
        <v>20</v>
      </c>
      <c r="B136" s="55" t="s">
        <v>76</v>
      </c>
      <c r="C136" s="54" t="s">
        <v>45</v>
      </c>
      <c r="D136" s="54" t="s">
        <v>49</v>
      </c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7">
        <v>2600</v>
      </c>
      <c r="AQ136" s="58">
        <v>2613</v>
      </c>
      <c r="AR136" s="58">
        <v>4524</v>
      </c>
      <c r="AS136" s="58">
        <v>4644</v>
      </c>
      <c r="AT136" s="58">
        <v>4679</v>
      </c>
      <c r="AU136" s="58">
        <v>4662</v>
      </c>
      <c r="AV136" s="58">
        <v>4628</v>
      </c>
      <c r="AW136" s="58">
        <v>4586</v>
      </c>
      <c r="AX136" s="58">
        <v>4553</v>
      </c>
      <c r="AY136" s="58">
        <v>4528</v>
      </c>
      <c r="AZ136" s="58">
        <v>4488</v>
      </c>
      <c r="BA136" s="58">
        <v>4533</v>
      </c>
      <c r="BB136" s="58">
        <v>4515</v>
      </c>
      <c r="BC136" s="58">
        <v>4560</v>
      </c>
      <c r="BD136" s="58">
        <v>6842</v>
      </c>
      <c r="BE136" s="58">
        <v>7334</v>
      </c>
      <c r="BF136" s="58">
        <v>7312</v>
      </c>
      <c r="BG136" s="58">
        <v>7286</v>
      </c>
      <c r="BH136" s="58">
        <v>7209</v>
      </c>
      <c r="BI136" s="58">
        <v>7160</v>
      </c>
      <c r="BJ136" s="58">
        <v>7153</v>
      </c>
      <c r="BK136" s="58">
        <v>7166</v>
      </c>
      <c r="BL136" s="195">
        <v>7319</v>
      </c>
      <c r="BM136" s="205"/>
      <c r="BN136" s="195"/>
      <c r="BO136" s="200">
        <v>7640</v>
      </c>
      <c r="BP136" s="200">
        <v>7578</v>
      </c>
      <c r="BQ136" s="200">
        <v>11118</v>
      </c>
      <c r="BR136" s="200">
        <v>11276</v>
      </c>
      <c r="BS136" s="200">
        <v>13285</v>
      </c>
      <c r="BT136" s="200">
        <v>13200</v>
      </c>
      <c r="BU136" s="200">
        <v>13168</v>
      </c>
      <c r="BV136" s="200">
        <v>14900</v>
      </c>
      <c r="BW136" s="200">
        <v>17727</v>
      </c>
      <c r="BX136" s="200">
        <v>18207</v>
      </c>
      <c r="BY136" s="200"/>
      <c r="BZ136" s="546">
        <f>(Tableau7[[#This Row],[juin-24]]-Tableau7[[#This Row],[avr-24]])/Tableau7[[#This Row],[avr-24]]</f>
        <v>2.7077339651379252E-2</v>
      </c>
      <c r="CA136" s="547">
        <f>Tableau7[[#This Row],[juin-24]]-Tableau7[[#This Row],[avr-24]]</f>
        <v>480</v>
      </c>
    </row>
    <row r="137" spans="1:79" x14ac:dyDescent="0.3">
      <c r="A137" s="54">
        <v>38</v>
      </c>
      <c r="B137" s="121" t="s">
        <v>26</v>
      </c>
      <c r="C137" s="54" t="s">
        <v>59</v>
      </c>
      <c r="D137" s="54" t="s">
        <v>49</v>
      </c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118"/>
      <c r="AQ137" s="119"/>
      <c r="AR137" s="119"/>
      <c r="AS137" s="119"/>
      <c r="AT137" s="119"/>
      <c r="AU137" s="119"/>
      <c r="AV137" s="119"/>
      <c r="AW137" s="119"/>
      <c r="AX137" s="119"/>
      <c r="AY137" s="113"/>
      <c r="AZ137" s="113"/>
      <c r="BA137" s="113"/>
      <c r="BB137" s="113"/>
      <c r="BC137" s="112"/>
      <c r="BD137" s="113"/>
      <c r="BE137" s="113">
        <v>7967</v>
      </c>
      <c r="BF137" s="113">
        <v>7924</v>
      </c>
      <c r="BG137" s="113">
        <v>7900</v>
      </c>
      <c r="BH137" s="113">
        <v>7850</v>
      </c>
      <c r="BI137" s="113">
        <v>7800</v>
      </c>
      <c r="BJ137" s="113">
        <v>7756</v>
      </c>
      <c r="BK137" s="113">
        <v>7715</v>
      </c>
      <c r="BL137" s="195">
        <v>7644</v>
      </c>
      <c r="BM137" s="205"/>
      <c r="BN137" s="195"/>
      <c r="BO137" s="200">
        <v>7484</v>
      </c>
      <c r="BP137" s="200">
        <v>7417</v>
      </c>
      <c r="BQ137" s="200">
        <v>11612</v>
      </c>
      <c r="BR137" s="200">
        <v>11521</v>
      </c>
      <c r="BS137" s="200">
        <v>13051</v>
      </c>
      <c r="BT137" s="200">
        <v>13000</v>
      </c>
      <c r="BU137" s="200">
        <v>12957</v>
      </c>
      <c r="BV137" s="200">
        <v>14900</v>
      </c>
      <c r="BW137" s="200">
        <v>15866</v>
      </c>
      <c r="BX137" s="200">
        <v>18502</v>
      </c>
      <c r="BY137" s="200"/>
      <c r="BZ137" s="546">
        <f>(Tableau7[[#This Row],[juin-24]]-Tableau7[[#This Row],[avr-24]])/Tableau7[[#This Row],[avr-24]]</f>
        <v>0.16614143451405522</v>
      </c>
      <c r="CA137" s="547">
        <f>Tableau7[[#This Row],[juin-24]]-Tableau7[[#This Row],[avr-24]]</f>
        <v>2636</v>
      </c>
    </row>
    <row r="138" spans="1:79" s="12" customFormat="1" x14ac:dyDescent="0.3">
      <c r="A138" s="54">
        <v>32</v>
      </c>
      <c r="B138" s="50" t="s">
        <v>155</v>
      </c>
      <c r="C138" s="54" t="s">
        <v>46</v>
      </c>
      <c r="D138" s="54" t="s">
        <v>49</v>
      </c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7"/>
      <c r="AQ138" s="58"/>
      <c r="AR138" s="58"/>
      <c r="AS138" s="58"/>
      <c r="AT138" s="58"/>
      <c r="AU138" s="58"/>
      <c r="AV138" s="52">
        <v>3304</v>
      </c>
      <c r="AW138" s="52">
        <v>3291</v>
      </c>
      <c r="AX138" s="52">
        <v>3243</v>
      </c>
      <c r="AY138" s="52">
        <v>3205</v>
      </c>
      <c r="AZ138" s="52">
        <v>3154</v>
      </c>
      <c r="BA138" s="52">
        <v>3141</v>
      </c>
      <c r="BB138" s="52">
        <v>3150</v>
      </c>
      <c r="BC138" s="52">
        <v>3240</v>
      </c>
      <c r="BD138" s="52">
        <v>3463</v>
      </c>
      <c r="BE138" s="52">
        <v>3642</v>
      </c>
      <c r="BF138" s="52">
        <v>3875</v>
      </c>
      <c r="BG138" s="52">
        <v>4276</v>
      </c>
      <c r="BH138" s="52">
        <v>7664</v>
      </c>
      <c r="BI138" s="52">
        <v>7674</v>
      </c>
      <c r="BJ138" s="52">
        <v>7662</v>
      </c>
      <c r="BK138" s="52">
        <v>7696</v>
      </c>
      <c r="BL138" s="195">
        <v>8021</v>
      </c>
      <c r="BM138" s="205"/>
      <c r="BN138" s="195"/>
      <c r="BO138" s="200">
        <v>8485</v>
      </c>
      <c r="BP138" s="200">
        <v>8430</v>
      </c>
      <c r="BQ138" s="200">
        <v>11761</v>
      </c>
      <c r="BR138" s="200">
        <v>11602</v>
      </c>
      <c r="BS138" s="200">
        <v>11656</v>
      </c>
      <c r="BT138" s="200">
        <v>14400</v>
      </c>
      <c r="BU138" s="200">
        <v>14272</v>
      </c>
      <c r="BV138" s="200">
        <v>17800</v>
      </c>
      <c r="BW138" s="200">
        <v>17985</v>
      </c>
      <c r="BX138" s="200">
        <v>18082</v>
      </c>
      <c r="BY138" s="200"/>
      <c r="BZ138" s="546">
        <f>(Tableau7[[#This Row],[juin-24]]-Tableau7[[#This Row],[avr-24]])/Tableau7[[#This Row],[avr-24]]</f>
        <v>5.3933833750347514E-3</v>
      </c>
      <c r="CA138" s="547">
        <f>Tableau7[[#This Row],[juin-24]]-Tableau7[[#This Row],[avr-24]]</f>
        <v>97</v>
      </c>
    </row>
    <row r="139" spans="1:79" x14ac:dyDescent="0.3">
      <c r="A139" s="59">
        <v>16</v>
      </c>
      <c r="B139" s="55" t="s">
        <v>44</v>
      </c>
      <c r="C139" s="54" t="s">
        <v>45</v>
      </c>
      <c r="D139" s="54" t="s">
        <v>49</v>
      </c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7">
        <v>9640</v>
      </c>
      <c r="AQ139" s="58">
        <v>9633</v>
      </c>
      <c r="AR139" s="58">
        <v>9636</v>
      </c>
      <c r="AS139" s="58">
        <v>9799</v>
      </c>
      <c r="AT139" s="58">
        <v>9816</v>
      </c>
      <c r="AU139" s="58">
        <v>10061</v>
      </c>
      <c r="AV139" s="58">
        <v>11689</v>
      </c>
      <c r="AW139" s="58">
        <v>11621</v>
      </c>
      <c r="AX139" s="58">
        <v>11532</v>
      </c>
      <c r="AY139" s="112">
        <v>11474</v>
      </c>
      <c r="AZ139" s="112">
        <v>11424</v>
      </c>
      <c r="BA139" s="112">
        <v>11455</v>
      </c>
      <c r="BB139" s="112">
        <v>11470</v>
      </c>
      <c r="BC139" s="112">
        <v>11445</v>
      </c>
      <c r="BD139" s="112">
        <v>11454</v>
      </c>
      <c r="BE139" s="112">
        <v>11500</v>
      </c>
      <c r="BF139" s="112">
        <v>11666</v>
      </c>
      <c r="BG139" s="112">
        <v>11806</v>
      </c>
      <c r="BH139" s="112">
        <v>13345</v>
      </c>
      <c r="BI139" s="112">
        <v>13293</v>
      </c>
      <c r="BJ139" s="112">
        <v>13253</v>
      </c>
      <c r="BK139" s="112">
        <v>13221</v>
      </c>
      <c r="BL139" s="195">
        <v>13208</v>
      </c>
      <c r="BM139" s="205"/>
      <c r="BN139" s="195"/>
      <c r="BO139" s="200">
        <v>12976</v>
      </c>
      <c r="BP139" s="200">
        <v>12876</v>
      </c>
      <c r="BQ139" s="200">
        <v>12470</v>
      </c>
      <c r="BR139" s="200"/>
      <c r="BS139" s="200"/>
      <c r="BT139" s="200">
        <v>11800</v>
      </c>
      <c r="BU139" s="200">
        <v>11764</v>
      </c>
      <c r="BV139" s="200">
        <v>11975</v>
      </c>
      <c r="BW139" s="200">
        <v>11175</v>
      </c>
      <c r="BX139" s="200">
        <v>11100</v>
      </c>
      <c r="BY139" s="200"/>
      <c r="BZ139" s="546">
        <f>(Tableau7[[#This Row],[juin-24]]-Tableau7[[#This Row],[avr-24]])/Tableau7[[#This Row],[avr-24]]</f>
        <v>-6.7114093959731542E-3</v>
      </c>
      <c r="CA139" s="547">
        <f>Tableau7[[#This Row],[juin-24]]-Tableau7[[#This Row],[avr-24]]</f>
        <v>-75</v>
      </c>
    </row>
    <row r="140" spans="1:79" x14ac:dyDescent="0.3">
      <c r="A140" s="411">
        <v>36</v>
      </c>
      <c r="B140" s="418" t="s">
        <v>279</v>
      </c>
      <c r="C140" s="56" t="s">
        <v>45</v>
      </c>
      <c r="D140" s="56" t="s">
        <v>49</v>
      </c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334"/>
      <c r="BM140" s="53"/>
      <c r="BN140" s="53"/>
      <c r="BO140" s="21"/>
      <c r="BP140" s="21"/>
      <c r="BQ140" s="21"/>
      <c r="BR140" s="21"/>
      <c r="BS140" s="21"/>
      <c r="BT140" s="21">
        <v>11600</v>
      </c>
      <c r="BU140" s="512">
        <v>11439</v>
      </c>
      <c r="BV140" s="512">
        <v>10600</v>
      </c>
      <c r="BW140" s="512">
        <v>11338</v>
      </c>
      <c r="BX140" s="512">
        <v>11201</v>
      </c>
      <c r="BY140" s="21"/>
      <c r="BZ140" s="546">
        <f>(Tableau7[[#This Row],[juin-24]]-Tableau7[[#This Row],[avr-24]])/Tableau7[[#This Row],[avr-24]]</f>
        <v>-1.2083259834185924E-2</v>
      </c>
      <c r="CA140" s="547">
        <f>Tableau7[[#This Row],[juin-24]]-Tableau7[[#This Row],[avr-24]]</f>
        <v>-137</v>
      </c>
    </row>
    <row r="141" spans="1:79" x14ac:dyDescent="0.3">
      <c r="A141" s="414">
        <v>39</v>
      </c>
      <c r="B141" s="156" t="s">
        <v>327</v>
      </c>
      <c r="C141" s="56" t="s">
        <v>59</v>
      </c>
      <c r="D141" s="56" t="s">
        <v>50</v>
      </c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307"/>
      <c r="AC141" s="307"/>
      <c r="AD141" s="307"/>
      <c r="AE141" s="307"/>
      <c r="AF141" s="307"/>
      <c r="AG141" s="307"/>
      <c r="AH141" s="307"/>
      <c r="AI141" s="307"/>
      <c r="AJ141" s="307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308"/>
      <c r="BM141" s="310"/>
      <c r="BN141" s="310"/>
      <c r="BO141" s="21"/>
      <c r="BP141" s="234"/>
      <c r="BQ141" s="234"/>
      <c r="BR141" s="234"/>
      <c r="BS141" s="234"/>
      <c r="BT141" s="234">
        <v>10600</v>
      </c>
      <c r="BU141" s="513">
        <v>10595</v>
      </c>
      <c r="BV141" s="513">
        <v>12400</v>
      </c>
      <c r="BW141" s="512">
        <v>15093</v>
      </c>
      <c r="BX141" s="512">
        <v>15102</v>
      </c>
      <c r="BY141" s="234"/>
      <c r="BZ141" s="546">
        <f>(Tableau7[[#This Row],[juin-24]]-Tableau7[[#This Row],[avr-24]])/Tableau7[[#This Row],[avr-24]]</f>
        <v>5.963029218843172E-4</v>
      </c>
      <c r="CA141" s="547">
        <f>Tableau7[[#This Row],[juin-24]]-Tableau7[[#This Row],[avr-24]]</f>
        <v>9</v>
      </c>
    </row>
    <row r="142" spans="1:79" x14ac:dyDescent="0.3">
      <c r="A142" s="54">
        <v>27</v>
      </c>
      <c r="B142" s="55" t="s">
        <v>80</v>
      </c>
      <c r="C142" s="54" t="s">
        <v>45</v>
      </c>
      <c r="D142" s="54" t="s">
        <v>49</v>
      </c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7"/>
      <c r="AQ142" s="58"/>
      <c r="AR142" s="58"/>
      <c r="AS142" s="58"/>
      <c r="AT142" s="58">
        <v>4405</v>
      </c>
      <c r="AU142" s="58">
        <v>4397</v>
      </c>
      <c r="AV142" s="58">
        <v>4342</v>
      </c>
      <c r="AW142" s="58">
        <v>4419</v>
      </c>
      <c r="AX142" s="58">
        <v>5222</v>
      </c>
      <c r="AY142" s="112">
        <v>5177</v>
      </c>
      <c r="AZ142" s="112">
        <v>5134</v>
      </c>
      <c r="BA142" s="112">
        <v>5186</v>
      </c>
      <c r="BB142" s="112">
        <v>5170</v>
      </c>
      <c r="BC142" s="112">
        <v>5200</v>
      </c>
      <c r="BD142" s="112">
        <v>5192</v>
      </c>
      <c r="BE142" s="112">
        <v>12200</v>
      </c>
      <c r="BF142" s="112">
        <v>13735</v>
      </c>
      <c r="BG142" s="112">
        <v>13617</v>
      </c>
      <c r="BH142" s="112">
        <v>13392</v>
      </c>
      <c r="BI142" s="112">
        <v>13227</v>
      </c>
      <c r="BJ142" s="112">
        <v>13093</v>
      </c>
      <c r="BK142" s="112">
        <v>13000</v>
      </c>
      <c r="BL142" s="195">
        <v>12691</v>
      </c>
      <c r="BM142" s="205"/>
      <c r="BN142" s="195"/>
      <c r="BO142" s="200">
        <v>11800</v>
      </c>
      <c r="BP142" s="200">
        <v>11694</v>
      </c>
      <c r="BQ142" s="200">
        <v>10794</v>
      </c>
      <c r="BR142" s="200">
        <v>10300</v>
      </c>
      <c r="BS142" s="200">
        <v>10229</v>
      </c>
      <c r="BT142" s="200">
        <v>9923</v>
      </c>
      <c r="BU142" s="200">
        <v>9800</v>
      </c>
      <c r="BV142" s="200">
        <v>9294</v>
      </c>
      <c r="BW142" s="200">
        <v>9012</v>
      </c>
      <c r="BX142" s="200">
        <v>8954</v>
      </c>
      <c r="BY142" s="200"/>
      <c r="BZ142" s="546">
        <f>(Tableau7[[#This Row],[juin-24]]-Tableau7[[#This Row],[avr-24]])/Tableau7[[#This Row],[avr-24]]</f>
        <v>-6.4358632933865954E-3</v>
      </c>
      <c r="CA142" s="547">
        <f>Tableau7[[#This Row],[juin-24]]-Tableau7[[#This Row],[avr-24]]</f>
        <v>-58</v>
      </c>
    </row>
    <row r="143" spans="1:79" ht="16.5" customHeight="1" x14ac:dyDescent="0.3">
      <c r="A143" s="415">
        <v>11</v>
      </c>
      <c r="B143" s="50" t="s">
        <v>30</v>
      </c>
      <c r="C143" s="49" t="s">
        <v>46</v>
      </c>
      <c r="D143" s="49" t="s">
        <v>49</v>
      </c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51">
        <v>4785</v>
      </c>
      <c r="AQ143" s="52">
        <v>4867</v>
      </c>
      <c r="AR143" s="52">
        <v>4841</v>
      </c>
      <c r="AS143" s="52">
        <v>4815</v>
      </c>
      <c r="AT143" s="52">
        <v>4824</v>
      </c>
      <c r="AU143" s="52">
        <v>4872</v>
      </c>
      <c r="AV143" s="52">
        <v>6072</v>
      </c>
      <c r="AW143" s="52">
        <v>6108</v>
      </c>
      <c r="AX143" s="52">
        <v>6088</v>
      </c>
      <c r="AY143" s="52">
        <v>6153</v>
      </c>
      <c r="AZ143" s="52">
        <v>6163</v>
      </c>
      <c r="BA143" s="52">
        <v>6192</v>
      </c>
      <c r="BB143" s="52">
        <v>6200</v>
      </c>
      <c r="BC143" s="52">
        <v>6205</v>
      </c>
      <c r="BD143" s="52">
        <v>6216</v>
      </c>
      <c r="BE143" s="52">
        <v>6242</v>
      </c>
      <c r="BF143" s="52">
        <v>6327</v>
      </c>
      <c r="BG143" s="52">
        <v>6422</v>
      </c>
      <c r="BH143" s="52">
        <v>9016</v>
      </c>
      <c r="BI143" s="52">
        <v>8980</v>
      </c>
      <c r="BJ143" s="52">
        <v>8927</v>
      </c>
      <c r="BK143" s="52">
        <v>8951</v>
      </c>
      <c r="BL143" s="195">
        <v>8909</v>
      </c>
      <c r="BM143" s="404"/>
      <c r="BN143" s="195"/>
      <c r="BO143" s="200">
        <v>9227</v>
      </c>
      <c r="BP143" s="200">
        <v>9187</v>
      </c>
      <c r="BQ143" s="200">
        <v>10357</v>
      </c>
      <c r="BR143" s="200">
        <v>10111</v>
      </c>
      <c r="BS143" s="200">
        <v>10085</v>
      </c>
      <c r="BT143" s="200">
        <v>10500</v>
      </c>
      <c r="BU143" s="200">
        <v>10521</v>
      </c>
      <c r="BV143" s="200">
        <v>11323</v>
      </c>
      <c r="BW143" s="200">
        <v>11172</v>
      </c>
      <c r="BX143" s="200">
        <v>11143</v>
      </c>
      <c r="BY143" s="200"/>
      <c r="BZ143" s="546">
        <f>(Tableau7[[#This Row],[juin-24]]-Tableau7[[#This Row],[avr-24]])/Tableau7[[#This Row],[avr-24]]</f>
        <v>-2.5957751521661298E-3</v>
      </c>
      <c r="CA143" s="547">
        <f>Tableau7[[#This Row],[juin-24]]-Tableau7[[#This Row],[avr-24]]</f>
        <v>-29</v>
      </c>
    </row>
    <row r="144" spans="1:79" ht="16.5" customHeight="1" x14ac:dyDescent="0.3">
      <c r="A144" s="416">
        <v>28</v>
      </c>
      <c r="B144" s="55" t="s">
        <v>215</v>
      </c>
      <c r="C144" s="54" t="s">
        <v>59</v>
      </c>
      <c r="D144" s="54" t="s">
        <v>49</v>
      </c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7"/>
      <c r="AQ144" s="58"/>
      <c r="AR144" s="58"/>
      <c r="AS144" s="58"/>
      <c r="AT144" s="58">
        <v>5083</v>
      </c>
      <c r="AU144" s="58">
        <v>5083</v>
      </c>
      <c r="AV144" s="58">
        <v>6253</v>
      </c>
      <c r="AW144" s="58">
        <v>6210</v>
      </c>
      <c r="AX144" s="58">
        <v>6143</v>
      </c>
      <c r="AY144" s="58">
        <v>6087</v>
      </c>
      <c r="AZ144" s="58">
        <v>6038</v>
      </c>
      <c r="BA144" s="58">
        <v>5993</v>
      </c>
      <c r="BB144" s="58">
        <v>5940</v>
      </c>
      <c r="BC144" s="58">
        <v>5920</v>
      </c>
      <c r="BD144" s="58">
        <v>5894</v>
      </c>
      <c r="BE144" s="58">
        <v>5857</v>
      </c>
      <c r="BF144" s="58">
        <v>5817</v>
      </c>
      <c r="BG144" s="58">
        <v>5824</v>
      </c>
      <c r="BH144" s="58">
        <v>7409</v>
      </c>
      <c r="BI144" s="58">
        <v>7371</v>
      </c>
      <c r="BJ144" s="58">
        <v>7316</v>
      </c>
      <c r="BK144" s="58">
        <v>7273</v>
      </c>
      <c r="BL144" s="195">
        <v>7123</v>
      </c>
      <c r="BM144" s="404"/>
      <c r="BN144" s="195"/>
      <c r="BO144" s="200">
        <v>6955</v>
      </c>
      <c r="BP144" s="200">
        <v>8322</v>
      </c>
      <c r="BQ144" s="200">
        <v>9574</v>
      </c>
      <c r="BR144" s="200">
        <v>9408</v>
      </c>
      <c r="BS144" s="200">
        <v>9344</v>
      </c>
      <c r="BT144" s="200">
        <v>9175</v>
      </c>
      <c r="BU144" s="200">
        <v>9072</v>
      </c>
      <c r="BV144" s="200">
        <v>0</v>
      </c>
      <c r="BW144" s="200">
        <v>0</v>
      </c>
      <c r="BX144" s="200">
        <v>9737</v>
      </c>
      <c r="BY144" s="200"/>
      <c r="BZ144" s="546" t="e">
        <f>(Tableau7[[#This Row],[juin-24]]-Tableau7[[#This Row],[avr-24]])/Tableau7[[#This Row],[avr-24]]</f>
        <v>#DIV/0!</v>
      </c>
      <c r="CA144" s="547">
        <f>Tableau7[[#This Row],[juin-24]]-Tableau7[[#This Row],[avr-24]]</f>
        <v>9737</v>
      </c>
    </row>
    <row r="145" spans="1:79" ht="16.5" customHeight="1" x14ac:dyDescent="0.3">
      <c r="A145" s="74">
        <v>40</v>
      </c>
      <c r="B145" s="156" t="s">
        <v>282</v>
      </c>
      <c r="C145" s="56" t="s">
        <v>45</v>
      </c>
      <c r="D145" s="56" t="s">
        <v>49</v>
      </c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334"/>
      <c r="BM145" s="335"/>
      <c r="BN145" s="53"/>
      <c r="BO145" s="21"/>
      <c r="BP145" s="21"/>
      <c r="BQ145" s="21"/>
      <c r="BR145" s="21"/>
      <c r="BS145" s="21"/>
      <c r="BT145" s="21">
        <v>7781</v>
      </c>
      <c r="BU145" s="512">
        <v>7750</v>
      </c>
      <c r="BV145" s="512">
        <v>7924</v>
      </c>
      <c r="BW145" s="512">
        <v>7746</v>
      </c>
      <c r="BX145" s="512">
        <v>7683</v>
      </c>
      <c r="BY145" s="21"/>
      <c r="BZ145" s="546">
        <f>(Tableau7[[#This Row],[juin-24]]-Tableau7[[#This Row],[avr-24]])/Tableau7[[#This Row],[avr-24]]</f>
        <v>-8.1332300542215335E-3</v>
      </c>
      <c r="CA145" s="547">
        <f>Tableau7[[#This Row],[juin-24]]-Tableau7[[#This Row],[avr-24]]</f>
        <v>-63</v>
      </c>
    </row>
    <row r="146" spans="1:79" ht="16.5" customHeight="1" x14ac:dyDescent="0.3">
      <c r="A146" s="68"/>
      <c r="B146" s="121" t="s">
        <v>408</v>
      </c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56"/>
      <c r="AZ146" s="56"/>
      <c r="BA146" s="56"/>
      <c r="BB146" s="56"/>
      <c r="BC146" s="58"/>
      <c r="BD146" s="56"/>
      <c r="BE146" s="56"/>
      <c r="BF146" s="56"/>
      <c r="BG146" s="56"/>
      <c r="BH146" s="56"/>
      <c r="BI146" s="56"/>
      <c r="BJ146" s="56"/>
      <c r="BK146" s="56"/>
      <c r="BL146" s="430"/>
      <c r="BM146" s="404"/>
      <c r="BN146" s="69"/>
      <c r="BR146" s="200"/>
      <c r="BS146" s="200">
        <v>5386</v>
      </c>
      <c r="BT146" s="200">
        <v>5592</v>
      </c>
      <c r="BU146" s="200">
        <v>5652</v>
      </c>
      <c r="BV146" s="200">
        <v>7539</v>
      </c>
      <c r="BW146" s="200">
        <v>0</v>
      </c>
      <c r="BX146" s="200">
        <v>13285</v>
      </c>
      <c r="BY146" s="200"/>
      <c r="BZ146" s="546">
        <f>(Tableau7[[#This Row],[juin-24]]-Tableau7[[#This Row],[oct-23]])/Tableau7[[#This Row],[oct-23]]</f>
        <v>0.76217004907812702</v>
      </c>
      <c r="CA146" s="547">
        <f>Tableau7[[#This Row],[juin-24]]-Tableau7[[#This Row],[oct-23]]</f>
        <v>5746</v>
      </c>
    </row>
    <row r="147" spans="1:79" ht="16.5" customHeight="1" x14ac:dyDescent="0.3">
      <c r="A147" s="413">
        <v>30</v>
      </c>
      <c r="B147" s="50" t="s">
        <v>37</v>
      </c>
      <c r="C147" s="49" t="s">
        <v>46</v>
      </c>
      <c r="D147" s="49" t="s">
        <v>49</v>
      </c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51"/>
      <c r="AQ147" s="52"/>
      <c r="AR147" s="52"/>
      <c r="AS147" s="52"/>
      <c r="AT147" s="52">
        <v>3824</v>
      </c>
      <c r="AU147" s="52">
        <v>3816</v>
      </c>
      <c r="AV147" s="52">
        <v>3801</v>
      </c>
      <c r="AW147" s="52">
        <v>3782</v>
      </c>
      <c r="AX147" s="52">
        <v>3761</v>
      </c>
      <c r="AY147" s="52">
        <v>3731</v>
      </c>
      <c r="AZ147" s="52">
        <v>3705</v>
      </c>
      <c r="BA147" s="52">
        <v>3721</v>
      </c>
      <c r="BB147" s="52">
        <v>4745</v>
      </c>
      <c r="BC147" s="52">
        <v>4725</v>
      </c>
      <c r="BD147" s="52">
        <v>4708</v>
      </c>
      <c r="BE147" s="52">
        <v>4690</v>
      </c>
      <c r="BF147" s="52">
        <v>4636</v>
      </c>
      <c r="BG147" s="52">
        <v>4627</v>
      </c>
      <c r="BH147" s="52">
        <v>4584</v>
      </c>
      <c r="BI147" s="52">
        <v>4549</v>
      </c>
      <c r="BJ147" s="52">
        <v>4512</v>
      </c>
      <c r="BK147" s="52">
        <v>4496</v>
      </c>
      <c r="BL147" s="196">
        <v>4452</v>
      </c>
      <c r="BM147" s="404"/>
      <c r="BN147" s="195"/>
      <c r="BO147" s="200">
        <v>4224</v>
      </c>
      <c r="BP147" s="200">
        <v>4187</v>
      </c>
      <c r="BQ147" s="200">
        <v>4018</v>
      </c>
      <c r="BR147" s="200">
        <v>5340</v>
      </c>
      <c r="BS147" s="200">
        <v>5319</v>
      </c>
      <c r="BT147" s="200">
        <v>5223</v>
      </c>
      <c r="BU147" s="200">
        <v>5162</v>
      </c>
      <c r="BV147" s="200">
        <v>6386</v>
      </c>
      <c r="BW147" s="200">
        <v>11089</v>
      </c>
      <c r="BX147" s="200">
        <v>10980</v>
      </c>
      <c r="BY147" s="200"/>
      <c r="BZ147" s="546">
        <f>(Tableau7[[#This Row],[juin-24]]-Tableau7[[#This Row],[avr-24]])/Tableau7[[#This Row],[avr-24]]</f>
        <v>-9.8295608260438264E-3</v>
      </c>
      <c r="CA147" s="547">
        <f>Tableau7[[#This Row],[juin-24]]-Tableau7[[#This Row],[avr-24]]</f>
        <v>-109</v>
      </c>
    </row>
    <row r="148" spans="1:79" x14ac:dyDescent="0.3">
      <c r="A148" s="411">
        <v>37</v>
      </c>
      <c r="B148" s="418" t="s">
        <v>281</v>
      </c>
      <c r="C148" s="56" t="s">
        <v>45</v>
      </c>
      <c r="D148" s="56" t="s">
        <v>50</v>
      </c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144"/>
      <c r="AZ148" s="144"/>
      <c r="BA148" s="144"/>
      <c r="BB148" s="144"/>
      <c r="BC148" s="144"/>
      <c r="BD148" s="144"/>
      <c r="BE148" s="144"/>
      <c r="BF148" s="144"/>
      <c r="BG148" s="144"/>
      <c r="BH148" s="144"/>
      <c r="BI148" s="144"/>
      <c r="BJ148" s="144"/>
      <c r="BK148" s="144"/>
      <c r="BL148" s="334"/>
      <c r="BM148" s="53"/>
      <c r="BN148" s="53"/>
      <c r="BO148" s="21"/>
      <c r="BP148" s="21"/>
      <c r="BQ148" s="21"/>
      <c r="BR148" s="21"/>
      <c r="BS148" s="21"/>
      <c r="BT148" s="21">
        <v>4772</v>
      </c>
      <c r="BU148" s="512">
        <v>4761</v>
      </c>
      <c r="BV148" s="512">
        <v>5668</v>
      </c>
      <c r="BW148" s="512">
        <v>6570</v>
      </c>
      <c r="BX148" s="512">
        <v>6542</v>
      </c>
      <c r="BY148" s="21"/>
      <c r="BZ148" s="546">
        <f>(Tableau7[[#This Row],[juin-24]]-Tableau7[[#This Row],[avr-24]])/Tableau7[[#This Row],[avr-24]]</f>
        <v>-4.2617960426179604E-3</v>
      </c>
      <c r="CA148" s="547">
        <f>Tableau7[[#This Row],[juin-24]]-Tableau7[[#This Row],[avr-24]]</f>
        <v>-28</v>
      </c>
    </row>
    <row r="149" spans="1:79" x14ac:dyDescent="0.3">
      <c r="A149" s="175">
        <v>34</v>
      </c>
      <c r="B149" s="417" t="s">
        <v>152</v>
      </c>
      <c r="C149" s="420" t="s">
        <v>46</v>
      </c>
      <c r="D149" s="420" t="s">
        <v>50</v>
      </c>
      <c r="E149" s="421"/>
      <c r="F149" s="421"/>
      <c r="G149" s="421"/>
      <c r="H149" s="421"/>
      <c r="I149" s="421"/>
      <c r="J149" s="421"/>
      <c r="K149" s="421"/>
      <c r="L149" s="421"/>
      <c r="M149" s="421"/>
      <c r="N149" s="421"/>
      <c r="O149" s="421"/>
      <c r="P149" s="421"/>
      <c r="Q149" s="421"/>
      <c r="R149" s="421"/>
      <c r="S149" s="421"/>
      <c r="T149" s="421"/>
      <c r="U149" s="421"/>
      <c r="V149" s="421"/>
      <c r="W149" s="421"/>
      <c r="X149" s="421"/>
      <c r="Y149" s="421"/>
      <c r="Z149" s="421"/>
      <c r="AA149" s="421"/>
      <c r="AB149" s="421"/>
      <c r="AC149" s="421"/>
      <c r="AD149" s="421"/>
      <c r="AE149" s="421"/>
      <c r="AF149" s="421"/>
      <c r="AG149" s="421"/>
      <c r="AH149" s="421"/>
      <c r="AI149" s="421"/>
      <c r="AJ149" s="421"/>
      <c r="AK149" s="421"/>
      <c r="AL149" s="421"/>
      <c r="AM149" s="421"/>
      <c r="AN149" s="421"/>
      <c r="AO149" s="421"/>
      <c r="AP149" s="424"/>
      <c r="AQ149" s="425"/>
      <c r="AR149" s="425"/>
      <c r="AS149" s="425"/>
      <c r="AT149" s="425"/>
      <c r="AU149" s="425"/>
      <c r="AV149" s="425"/>
      <c r="AW149" s="425"/>
      <c r="AX149" s="425">
        <v>1225</v>
      </c>
      <c r="AY149" s="341">
        <v>1209</v>
      </c>
      <c r="AZ149" s="341">
        <v>1202</v>
      </c>
      <c r="BA149" s="341">
        <v>1191</v>
      </c>
      <c r="BB149" s="341">
        <v>1190</v>
      </c>
      <c r="BC149" s="427">
        <v>1195</v>
      </c>
      <c r="BD149" s="341">
        <v>1193</v>
      </c>
      <c r="BE149" s="429">
        <v>1188</v>
      </c>
      <c r="BF149" s="429">
        <v>1182</v>
      </c>
      <c r="BG149" s="429">
        <v>1210</v>
      </c>
      <c r="BH149" s="429">
        <v>1199</v>
      </c>
      <c r="BI149" s="429">
        <v>1212</v>
      </c>
      <c r="BJ149" s="429">
        <v>1592</v>
      </c>
      <c r="BK149" s="429">
        <v>1593</v>
      </c>
      <c r="BL149" s="431">
        <v>1581</v>
      </c>
      <c r="BM149" s="433"/>
      <c r="BN149" s="408"/>
      <c r="BO149" s="200">
        <v>1635</v>
      </c>
      <c r="BP149" s="200">
        <v>2117</v>
      </c>
      <c r="BQ149" s="200">
        <v>2655</v>
      </c>
      <c r="BR149" s="200">
        <v>3948</v>
      </c>
      <c r="BS149" s="200">
        <v>4439</v>
      </c>
      <c r="BT149" s="200">
        <v>4812</v>
      </c>
      <c r="BU149" s="200">
        <v>5117</v>
      </c>
      <c r="BV149" s="200">
        <v>6407</v>
      </c>
      <c r="BW149" s="200">
        <v>6811</v>
      </c>
      <c r="BX149" s="200">
        <v>6790</v>
      </c>
      <c r="BY149" s="200"/>
      <c r="BZ149" s="546">
        <f>(Tableau7[[#This Row],[juin-24]]-Tableau7[[#This Row],[avr-24]])/Tableau7[[#This Row],[avr-24]]</f>
        <v>-3.0832476875642342E-3</v>
      </c>
      <c r="CA149" s="547">
        <f>Tableau7[[#This Row],[juin-24]]-Tableau7[[#This Row],[avr-24]]</f>
        <v>-21</v>
      </c>
    </row>
    <row r="150" spans="1:79" x14ac:dyDescent="0.3">
      <c r="A150" s="412">
        <v>38</v>
      </c>
      <c r="B150" s="419" t="s">
        <v>278</v>
      </c>
      <c r="C150" s="140" t="s">
        <v>45</v>
      </c>
      <c r="D150" s="421" t="s">
        <v>49</v>
      </c>
      <c r="E150" s="422"/>
      <c r="F150" s="422"/>
      <c r="G150" s="422"/>
      <c r="H150" s="422"/>
      <c r="I150" s="422"/>
      <c r="J150" s="422"/>
      <c r="K150" s="422"/>
      <c r="L150" s="422"/>
      <c r="M150" s="422"/>
      <c r="N150" s="422"/>
      <c r="O150" s="422"/>
      <c r="P150" s="422"/>
      <c r="Q150" s="422"/>
      <c r="R150" s="423"/>
      <c r="S150" s="423"/>
      <c r="T150" s="423"/>
      <c r="U150" s="423"/>
      <c r="V150" s="423"/>
      <c r="W150" s="423"/>
      <c r="X150" s="423"/>
      <c r="Y150" s="423"/>
      <c r="Z150" s="423"/>
      <c r="AA150" s="423"/>
      <c r="AB150" s="423"/>
      <c r="AC150" s="423"/>
      <c r="AD150" s="423"/>
      <c r="AE150" s="423"/>
      <c r="AF150" s="423"/>
      <c r="AG150" s="423"/>
      <c r="AH150" s="423"/>
      <c r="AI150" s="423"/>
      <c r="AJ150" s="423"/>
      <c r="AK150" s="141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141"/>
      <c r="AV150" s="141"/>
      <c r="AW150" s="141"/>
      <c r="AX150" s="141"/>
      <c r="AY150" s="200"/>
      <c r="AZ150" s="200"/>
      <c r="BA150" s="200"/>
      <c r="BB150" s="200"/>
      <c r="BC150" s="428"/>
      <c r="BD150" s="200"/>
      <c r="BE150" s="200"/>
      <c r="BF150" s="200"/>
      <c r="BG150" s="200"/>
      <c r="BH150" s="200"/>
      <c r="BI150" s="200"/>
      <c r="BJ150" s="200"/>
      <c r="BK150" s="200"/>
      <c r="BL150" s="432"/>
      <c r="BM150" s="434"/>
      <c r="BN150" s="435"/>
      <c r="BO150" s="21"/>
      <c r="BP150" s="234"/>
      <c r="BQ150" s="234"/>
      <c r="BR150" s="234"/>
      <c r="BS150" s="234"/>
      <c r="BT150" s="234">
        <v>3394</v>
      </c>
      <c r="BU150" s="513">
        <v>3368</v>
      </c>
      <c r="BV150" s="513">
        <v>4709</v>
      </c>
      <c r="BW150" s="512">
        <v>4765</v>
      </c>
      <c r="BX150" s="512">
        <v>4757</v>
      </c>
      <c r="BY150" s="234"/>
      <c r="BZ150" s="546">
        <f>(Tableau7[[#This Row],[juin-24]]-Tableau7[[#This Row],[avr-24]])/Tableau7[[#This Row],[avr-24]]</f>
        <v>-1.6789087093389296E-3</v>
      </c>
      <c r="CA150" s="547">
        <f>Tableau7[[#This Row],[juin-24]]-Tableau7[[#This Row],[avr-24]]</f>
        <v>-8</v>
      </c>
    </row>
    <row r="151" spans="1:79" x14ac:dyDescent="0.3">
      <c r="A151" s="448"/>
      <c r="B151" s="419" t="s">
        <v>280</v>
      </c>
      <c r="C151" s="140"/>
      <c r="D151" s="140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41"/>
      <c r="AO151" s="141"/>
      <c r="AP151" s="288"/>
      <c r="AQ151" s="288"/>
      <c r="AR151" s="288"/>
      <c r="AS151" s="288"/>
      <c r="AT151" s="288"/>
      <c r="AU151" s="288"/>
      <c r="AV151" s="288"/>
      <c r="AW151" s="288"/>
      <c r="AX151" s="288"/>
      <c r="AY151" s="200"/>
      <c r="AZ151" s="200"/>
      <c r="BA151" s="200"/>
      <c r="BB151" s="200"/>
      <c r="BC151" s="289"/>
      <c r="BD151" s="200"/>
      <c r="BE151" s="200"/>
      <c r="BF151" s="200"/>
      <c r="BG151" s="200"/>
      <c r="BH151" s="200"/>
      <c r="BI151" s="200"/>
      <c r="BJ151" s="200"/>
      <c r="BK151" s="200"/>
      <c r="BL151" s="290" t="e">
        <f>(Tableau7[[#This Row],[août-19]]-Tableau7[[#This Row],[juil-19]])/Tableau7[[#This Row],[juil-19]]</f>
        <v>#DIV/0!</v>
      </c>
      <c r="BM151" s="431"/>
      <c r="BN151" s="408"/>
      <c r="BO151" s="408"/>
      <c r="BP151" s="408"/>
      <c r="BQ151" s="408"/>
      <c r="BR151" s="408"/>
      <c r="BS151" s="408"/>
      <c r="BT151" s="408">
        <v>1696</v>
      </c>
      <c r="BU151" s="408">
        <v>1690</v>
      </c>
      <c r="BV151" s="408">
        <v>2022</v>
      </c>
      <c r="BW151" s="408">
        <v>2592</v>
      </c>
      <c r="BX151" s="408">
        <v>2564</v>
      </c>
      <c r="BY151" s="408"/>
      <c r="BZ151" s="546">
        <f>(Tableau7[[#This Row],[juin-24]]-Tableau7[[#This Row],[avr-24]])/Tableau7[[#This Row],[avr-24]]</f>
        <v>-1.0802469135802469E-2</v>
      </c>
      <c r="CA151" s="547">
        <f>Tableau7[[#This Row],[juin-24]]-Tableau7[[#This Row],[avr-24]]</f>
        <v>-28</v>
      </c>
    </row>
    <row r="152" spans="1:79" x14ac:dyDescent="0.3">
      <c r="A152" s="56"/>
      <c r="B152" s="117" t="s">
        <v>56</v>
      </c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62">
        <f>SUM(AP112:AP148)</f>
        <v>1906620</v>
      </c>
      <c r="AQ152" s="62">
        <f>SUM(AQ112:AQ148)</f>
        <v>1944283</v>
      </c>
      <c r="AR152" s="62">
        <f>SUM(AR112:AR148)</f>
        <v>1997994</v>
      </c>
      <c r="AS152" s="62">
        <f>SUM(AS112:AS148)</f>
        <v>2092946</v>
      </c>
      <c r="AT152" s="62">
        <f>SUBTOTAL(109,Tableau7[juil-18])</f>
        <v>2137544</v>
      </c>
      <c r="AU152" s="63">
        <f>SUBTOTAL(109,Tableau7[août-18])</f>
        <v>2307519</v>
      </c>
      <c r="AV152" s="63">
        <f>SUBTOTAL(109,Tableau7[sept-18])</f>
        <v>2382757</v>
      </c>
      <c r="AW152" s="63">
        <f>SUBTOTAL(109,Tableau7[oct-18])</f>
        <v>2415564</v>
      </c>
      <c r="AX152" s="63">
        <f>SUBTOTAL(109,Tableau7[nov-18])</f>
        <v>2452259</v>
      </c>
      <c r="AY152" s="63">
        <f>SUBTOTAL(109,Tableau7[dec-18])</f>
        <v>2507629</v>
      </c>
      <c r="AZ152" s="63">
        <f>SUBTOTAL(109,Tableau7[janv-19])</f>
        <v>2534403</v>
      </c>
      <c r="BA152" s="63">
        <f>SUBTOTAL(109,Tableau7[févr-19])</f>
        <v>2560558</v>
      </c>
      <c r="BB152" s="63">
        <f>SUBTOTAL(109,Tableau7[mars-19])</f>
        <v>2645638</v>
      </c>
      <c r="BC152" s="63">
        <f>SUBTOTAL(109,Tableau7[avr-19])</f>
        <v>2708010</v>
      </c>
      <c r="BD152" s="63">
        <f>SUBTOTAL(109,Tableau7[mai-19])</f>
        <v>2776079</v>
      </c>
      <c r="BE152" s="63">
        <f>SUBTOTAL(109,Tableau7[juin-19])</f>
        <v>2936973</v>
      </c>
      <c r="BF152" s="63">
        <f>SUBTOTAL(109,Tableau7[juil-19])</f>
        <v>2993503</v>
      </c>
      <c r="BG152" s="63">
        <f>SUBTOTAL(109,Tableau7[août-19])</f>
        <v>3244194</v>
      </c>
      <c r="BH152" s="63">
        <f>SUBTOTAL(109,Tableau7[sept-19])</f>
        <v>3344038</v>
      </c>
      <c r="BI152" s="63">
        <f>SUBTOTAL(109,Tableau7[oct-19])</f>
        <v>3380890</v>
      </c>
      <c r="BJ152" s="63">
        <f>SUBTOTAL(109,Tableau7[nov-19])</f>
        <v>3395405</v>
      </c>
      <c r="BK152" s="63">
        <f>SUBTOTAL(109,Tableau7[dec-19])</f>
        <v>3407406</v>
      </c>
      <c r="BL152" s="63"/>
      <c r="BM152" s="12"/>
      <c r="BN152" s="12"/>
      <c r="BO152" s="567">
        <f>SUBTOTAL(109,Tableau7[sept-20])</f>
        <v>3894598</v>
      </c>
      <c r="BP152" s="567">
        <f>SUBTOTAL(109,Tableau7[nov-20])</f>
        <v>4057431</v>
      </c>
      <c r="BQ152" s="567">
        <f>SUBTOTAL(109,Tableau7[sept-21])</f>
        <v>4655910</v>
      </c>
      <c r="BR152" s="567">
        <f>SUBTOTAL(109,Tableau7[mars-22])</f>
        <v>4748063</v>
      </c>
      <c r="BS152" s="567">
        <f>SUBTOTAL(109,Tableau7[avr-22])</f>
        <v>4792042</v>
      </c>
      <c r="BT152" s="568">
        <f>SUM(BT112:BT151)</f>
        <v>5179826</v>
      </c>
      <c r="BU152" s="568">
        <f>SUM(BU112:BU151)</f>
        <v>5159394</v>
      </c>
      <c r="BV152" s="568">
        <f>SUM(BV112:BV151)</f>
        <v>5829804</v>
      </c>
      <c r="BW152" s="568">
        <f>SUM(BW112:BW151)</f>
        <v>6097920</v>
      </c>
      <c r="BX152" s="568">
        <f>SUM(BX112:BX151)</f>
        <v>6299241</v>
      </c>
      <c r="BZ152" s="557">
        <f>(BX152-BW152)/BW152</f>
        <v>3.3014700094458435E-2</v>
      </c>
      <c r="CA152" s="556">
        <f>BX152-BW152</f>
        <v>201321</v>
      </c>
    </row>
    <row r="153" spans="1:79" x14ac:dyDescent="0.3">
      <c r="B153" s="331"/>
      <c r="AP153" s="332"/>
      <c r="AQ153" s="332"/>
      <c r="AR153" s="332"/>
      <c r="AS153" s="332"/>
      <c r="AT153" s="33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9" x14ac:dyDescent="0.3">
      <c r="B154" s="331"/>
      <c r="AP154" s="332"/>
      <c r="AQ154" s="332"/>
      <c r="AR154" s="332"/>
      <c r="AS154" s="332"/>
      <c r="AT154" s="33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9" x14ac:dyDescent="0.3">
      <c r="A155" s="492" t="s">
        <v>13</v>
      </c>
      <c r="B155" s="492" t="s">
        <v>276</v>
      </c>
      <c r="C155" s="492" t="s">
        <v>54</v>
      </c>
      <c r="D155" s="492" t="s">
        <v>48</v>
      </c>
      <c r="E155" s="493" t="s">
        <v>0</v>
      </c>
      <c r="F155" s="493" t="s">
        <v>1</v>
      </c>
      <c r="G155" s="493" t="s">
        <v>4</v>
      </c>
      <c r="H155" s="493" t="s">
        <v>5</v>
      </c>
      <c r="I155" s="493" t="s">
        <v>6</v>
      </c>
      <c r="J155" s="493" t="s">
        <v>7</v>
      </c>
      <c r="K155" s="493" t="s">
        <v>8</v>
      </c>
      <c r="L155" s="493" t="s">
        <v>9</v>
      </c>
      <c r="M155" s="493" t="s">
        <v>10</v>
      </c>
      <c r="N155" s="493" t="s">
        <v>11</v>
      </c>
      <c r="O155" s="493" t="s">
        <v>12</v>
      </c>
      <c r="P155" s="493" t="s">
        <v>3</v>
      </c>
      <c r="Q155" s="493" t="s">
        <v>2</v>
      </c>
      <c r="R155" s="493" t="s">
        <v>63</v>
      </c>
      <c r="S155" s="493" t="s">
        <v>64</v>
      </c>
      <c r="T155" s="493" t="s">
        <v>65</v>
      </c>
      <c r="U155" s="493" t="s">
        <v>66</v>
      </c>
      <c r="V155" s="493" t="s">
        <v>68</v>
      </c>
      <c r="W155" s="493" t="s">
        <v>69</v>
      </c>
      <c r="X155" s="493" t="s">
        <v>70</v>
      </c>
      <c r="Y155" s="493" t="s">
        <v>71</v>
      </c>
      <c r="Z155" s="493" t="s">
        <v>72</v>
      </c>
      <c r="AA155" s="493" t="s">
        <v>73</v>
      </c>
      <c r="AB155" s="493" t="s">
        <v>75</v>
      </c>
      <c r="AC155" s="493" t="s">
        <v>77</v>
      </c>
      <c r="AD155" s="493" t="s">
        <v>81</v>
      </c>
      <c r="AE155" s="493" t="s">
        <v>84</v>
      </c>
      <c r="AF155" s="493" t="s">
        <v>85</v>
      </c>
      <c r="AG155" s="493" t="s">
        <v>86</v>
      </c>
      <c r="AH155" s="493" t="s">
        <v>99</v>
      </c>
      <c r="AI155" s="493" t="s">
        <v>101</v>
      </c>
      <c r="AJ155" s="493" t="s">
        <v>102</v>
      </c>
      <c r="AK155" s="493" t="s">
        <v>105</v>
      </c>
      <c r="AL155" s="493" t="s">
        <v>106</v>
      </c>
      <c r="AM155" s="493" t="s">
        <v>108</v>
      </c>
      <c r="AN155" s="493" t="s">
        <v>109</v>
      </c>
      <c r="AO155" s="493" t="s">
        <v>110</v>
      </c>
      <c r="AP155" s="493" t="s">
        <v>117</v>
      </c>
      <c r="AQ155" s="493" t="s">
        <v>127</v>
      </c>
      <c r="AR155" s="493" t="s">
        <v>129</v>
      </c>
      <c r="AS155" s="493" t="s">
        <v>131</v>
      </c>
      <c r="AT155" s="493" t="s">
        <v>142</v>
      </c>
      <c r="AU155" s="493" t="s">
        <v>143</v>
      </c>
      <c r="AV155" s="493" t="s">
        <v>151</v>
      </c>
      <c r="AW155" s="493" t="s">
        <v>156</v>
      </c>
      <c r="AX155" s="493" t="s">
        <v>157</v>
      </c>
      <c r="AY155" s="493" t="s">
        <v>163</v>
      </c>
      <c r="AZ155" s="493" t="s">
        <v>164</v>
      </c>
      <c r="BA155" s="493" t="s">
        <v>177</v>
      </c>
      <c r="BB155" s="493" t="s">
        <v>179</v>
      </c>
      <c r="BC155" s="493" t="s">
        <v>183</v>
      </c>
      <c r="BD155" s="493" t="s">
        <v>184</v>
      </c>
      <c r="BE155" s="493" t="s">
        <v>186</v>
      </c>
      <c r="BF155" s="493" t="s">
        <v>188</v>
      </c>
      <c r="BG155" s="493" t="s">
        <v>200</v>
      </c>
      <c r="BH155" s="493" t="s">
        <v>201</v>
      </c>
      <c r="BI155" s="493" t="s">
        <v>203</v>
      </c>
      <c r="BJ155" s="493" t="s">
        <v>207</v>
      </c>
      <c r="BK155" s="493" t="s">
        <v>208</v>
      </c>
      <c r="BL155" s="494" t="s">
        <v>209</v>
      </c>
      <c r="BM155" s="495" t="s">
        <v>53</v>
      </c>
      <c r="BN155" s="495" t="s">
        <v>78</v>
      </c>
      <c r="BO155" s="494" t="s">
        <v>210</v>
      </c>
      <c r="BP155" s="494" t="s">
        <v>211</v>
      </c>
      <c r="BQ155" s="494" t="s">
        <v>214</v>
      </c>
      <c r="BR155" s="494" t="s">
        <v>213</v>
      </c>
      <c r="BS155" s="494" t="s">
        <v>272</v>
      </c>
      <c r="BT155" s="499" t="s">
        <v>330</v>
      </c>
      <c r="BU155" s="499" t="s">
        <v>331</v>
      </c>
      <c r="BV155" s="499" t="s">
        <v>333</v>
      </c>
      <c r="BW155" s="499" t="s">
        <v>389</v>
      </c>
      <c r="BX155" s="499" t="s">
        <v>405</v>
      </c>
      <c r="BZ155" s="558" t="s">
        <v>53</v>
      </c>
      <c r="CA155" s="558" t="s">
        <v>78</v>
      </c>
    </row>
    <row r="156" spans="1:79" x14ac:dyDescent="0.3">
      <c r="B156" s="333" t="s">
        <v>125</v>
      </c>
      <c r="AP156" s="332"/>
      <c r="AQ156" s="332"/>
      <c r="AR156" s="332"/>
      <c r="AS156" s="332"/>
      <c r="AT156" s="33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O156" s="2"/>
      <c r="BP156" s="2"/>
      <c r="BQ156" s="2"/>
      <c r="BR156" s="2"/>
      <c r="BS156" s="2">
        <v>160900</v>
      </c>
      <c r="BT156" s="2">
        <v>490900</v>
      </c>
      <c r="BU156" s="2">
        <v>562000</v>
      </c>
      <c r="BV156" s="2">
        <v>844100</v>
      </c>
      <c r="BW156" s="2">
        <v>865400</v>
      </c>
      <c r="BX156" s="2">
        <v>1000000</v>
      </c>
      <c r="BZ156" s="546">
        <f t="shared" ref="BZ156:BZ163" si="1">(BX156-BW156)/BW156</f>
        <v>0.15553501271088513</v>
      </c>
      <c r="CA156" s="559">
        <f t="shared" ref="CA156:CA163" si="2">BX156-BW156</f>
        <v>134600</v>
      </c>
    </row>
    <row r="157" spans="1:79" x14ac:dyDescent="0.3">
      <c r="B157" s="333" t="s">
        <v>28</v>
      </c>
      <c r="AP157" s="332"/>
      <c r="AQ157" s="332"/>
      <c r="AR157" s="332"/>
      <c r="AS157" s="332"/>
      <c r="AT157" s="33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O157" s="2"/>
      <c r="BP157" s="2"/>
      <c r="BQ157" s="2"/>
      <c r="BR157" s="2"/>
      <c r="BS157" s="2">
        <v>160700</v>
      </c>
      <c r="BT157" s="2">
        <v>215900</v>
      </c>
      <c r="BU157" s="2">
        <v>216400</v>
      </c>
      <c r="BV157" s="2">
        <v>1100000</v>
      </c>
      <c r="BW157" s="2">
        <v>1100000</v>
      </c>
      <c r="BX157" s="2">
        <v>1100000</v>
      </c>
      <c r="BZ157" s="546">
        <f t="shared" si="1"/>
        <v>0</v>
      </c>
      <c r="CA157" s="559">
        <f t="shared" si="2"/>
        <v>0</v>
      </c>
    </row>
    <row r="158" spans="1:79" x14ac:dyDescent="0.3">
      <c r="B158" s="333" t="s">
        <v>74</v>
      </c>
      <c r="AP158" s="332"/>
      <c r="AQ158" s="332"/>
      <c r="AR158" s="332"/>
      <c r="AS158" s="332"/>
      <c r="AT158" s="33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O158" s="2"/>
      <c r="BP158" s="2"/>
      <c r="BQ158" s="2"/>
      <c r="BR158" s="2"/>
      <c r="BS158" s="2">
        <v>35800</v>
      </c>
      <c r="BT158" s="2">
        <v>76900</v>
      </c>
      <c r="BU158" s="2">
        <v>100300</v>
      </c>
      <c r="BV158" s="2">
        <v>336400</v>
      </c>
      <c r="BW158" s="2">
        <v>414000</v>
      </c>
      <c r="BX158" s="2">
        <v>446400</v>
      </c>
      <c r="BZ158" s="546">
        <f t="shared" si="1"/>
        <v>7.8260869565217397E-2</v>
      </c>
      <c r="CA158" s="559">
        <f t="shared" si="2"/>
        <v>32400</v>
      </c>
    </row>
    <row r="159" spans="1:79" x14ac:dyDescent="0.3">
      <c r="B159" s="333" t="s">
        <v>126</v>
      </c>
      <c r="AP159" s="332"/>
      <c r="AQ159" s="332"/>
      <c r="AR159" s="332"/>
      <c r="AS159" s="332"/>
      <c r="AT159" s="33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O159" s="2"/>
      <c r="BP159" s="2"/>
      <c r="BQ159" s="2"/>
      <c r="BR159" s="2"/>
      <c r="BS159" s="2">
        <v>9815</v>
      </c>
      <c r="BT159" s="2">
        <v>43900</v>
      </c>
      <c r="BU159" s="2">
        <v>47600</v>
      </c>
      <c r="BV159" s="2">
        <v>180500</v>
      </c>
      <c r="BW159" s="2">
        <v>183700</v>
      </c>
      <c r="BX159" s="2">
        <v>185200</v>
      </c>
      <c r="BZ159" s="546">
        <f t="shared" si="1"/>
        <v>8.1654872074033748E-3</v>
      </c>
      <c r="CA159" s="559">
        <f t="shared" si="2"/>
        <v>1500</v>
      </c>
    </row>
    <row r="160" spans="1:79" x14ac:dyDescent="0.3">
      <c r="B160" s="333" t="s">
        <v>165</v>
      </c>
      <c r="AP160" s="332"/>
      <c r="AQ160" s="332"/>
      <c r="AR160" s="332"/>
      <c r="AS160" s="332"/>
      <c r="AT160" s="33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O160" s="2"/>
      <c r="BP160" s="2"/>
      <c r="BQ160" s="2"/>
      <c r="BR160" s="2"/>
      <c r="BS160" s="2">
        <v>44</v>
      </c>
      <c r="BT160" s="2">
        <v>50</v>
      </c>
      <c r="BU160" s="2">
        <v>49</v>
      </c>
      <c r="BV160" s="2">
        <v>153</v>
      </c>
      <c r="BW160" s="2">
        <v>184</v>
      </c>
      <c r="BX160" s="2">
        <v>184</v>
      </c>
      <c r="BZ160" s="546">
        <f t="shared" si="1"/>
        <v>0</v>
      </c>
      <c r="CA160" s="559">
        <f t="shared" si="2"/>
        <v>0</v>
      </c>
    </row>
    <row r="161" spans="1:97" x14ac:dyDescent="0.3">
      <c r="B161" s="333" t="s">
        <v>16</v>
      </c>
      <c r="AP161" s="332"/>
      <c r="AQ161" s="332"/>
      <c r="AR161" s="332"/>
      <c r="AS161" s="332"/>
      <c r="AT161" s="33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O161" s="2"/>
      <c r="BP161" s="2"/>
      <c r="BQ161" s="2"/>
      <c r="BR161" s="2"/>
      <c r="BS161" s="2"/>
      <c r="BT161" s="2">
        <v>96</v>
      </c>
      <c r="BU161" s="2">
        <v>524</v>
      </c>
      <c r="BV161" s="2">
        <v>2811</v>
      </c>
      <c r="BW161" s="2">
        <v>3066</v>
      </c>
      <c r="BX161" s="2">
        <v>3037</v>
      </c>
      <c r="BZ161" s="546">
        <f t="shared" si="1"/>
        <v>-9.4585779517286361E-3</v>
      </c>
      <c r="CA161" s="559">
        <f t="shared" si="2"/>
        <v>-29</v>
      </c>
    </row>
    <row r="162" spans="1:97" s="31" customFormat="1" x14ac:dyDescent="0.3">
      <c r="A162" s="9"/>
      <c r="B162" s="333" t="s">
        <v>35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332"/>
      <c r="AQ162" s="332"/>
      <c r="AR162" s="332"/>
      <c r="AS162" s="332"/>
      <c r="AT162" s="33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9"/>
      <c r="BN162" s="9"/>
      <c r="BO162" s="2"/>
      <c r="BP162" s="2"/>
      <c r="BQ162" s="2"/>
      <c r="BR162" s="2"/>
      <c r="BS162" s="2"/>
      <c r="BT162" s="2">
        <v>27</v>
      </c>
      <c r="BU162" s="2">
        <v>27</v>
      </c>
      <c r="BV162" s="2">
        <v>57</v>
      </c>
      <c r="BW162" s="2">
        <v>75</v>
      </c>
      <c r="BX162" s="2">
        <v>77</v>
      </c>
      <c r="BZ162" s="546">
        <f t="shared" si="1"/>
        <v>2.6666666666666668E-2</v>
      </c>
      <c r="CA162" s="559">
        <f t="shared" si="2"/>
        <v>2</v>
      </c>
    </row>
    <row r="163" spans="1:97" s="31" customFormat="1" x14ac:dyDescent="0.3">
      <c r="A163" s="9"/>
      <c r="B163" s="117" t="s">
        <v>56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332"/>
      <c r="AQ163" s="332"/>
      <c r="AR163" s="332"/>
      <c r="AS163" s="332"/>
      <c r="AT163" s="33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12"/>
      <c r="BN163" s="12"/>
      <c r="BO163" s="514"/>
      <c r="BP163" s="514"/>
      <c r="BQ163" s="514"/>
      <c r="BR163" s="514"/>
      <c r="BS163" s="514"/>
      <c r="BT163" s="514"/>
      <c r="BU163" s="514"/>
      <c r="BV163" s="514">
        <f>SUM(BV156:BV162)</f>
        <v>2464021</v>
      </c>
      <c r="BW163" s="514">
        <f>SUM(BW156:BW162)</f>
        <v>2566425</v>
      </c>
      <c r="BX163" s="514">
        <f>SUM(BX156:BX162)</f>
        <v>2734898</v>
      </c>
      <c r="BZ163" s="445">
        <f t="shared" si="1"/>
        <v>6.5645012030353514E-2</v>
      </c>
      <c r="CA163" s="566">
        <f t="shared" si="2"/>
        <v>168473</v>
      </c>
    </row>
    <row r="165" spans="1:97" ht="17.25" thickBot="1" x14ac:dyDescent="0.35">
      <c r="CH165" s="129" t="s">
        <v>21</v>
      </c>
      <c r="CI165" s="237">
        <v>149457</v>
      </c>
      <c r="CJ165" s="129" t="s">
        <v>19</v>
      </c>
      <c r="CK165" s="237">
        <v>167768</v>
      </c>
    </row>
    <row r="166" spans="1:97" x14ac:dyDescent="0.3">
      <c r="A166" s="31"/>
      <c r="B166" s="31"/>
      <c r="C166" s="31"/>
      <c r="D166" s="32" t="s">
        <v>138</v>
      </c>
      <c r="E166" s="30" t="s">
        <v>0</v>
      </c>
      <c r="F166" s="30" t="s">
        <v>1</v>
      </c>
      <c r="G166" s="30" t="s">
        <v>4</v>
      </c>
      <c r="H166" s="30" t="s">
        <v>5</v>
      </c>
      <c r="I166" s="30" t="s">
        <v>6</v>
      </c>
      <c r="J166" s="30" t="s">
        <v>7</v>
      </c>
      <c r="K166" s="30" t="s">
        <v>8</v>
      </c>
      <c r="L166" s="30" t="s">
        <v>9</v>
      </c>
      <c r="M166" s="30" t="s">
        <v>10</v>
      </c>
      <c r="N166" s="30" t="s">
        <v>11</v>
      </c>
      <c r="O166" s="30" t="s">
        <v>12</v>
      </c>
      <c r="P166" s="30" t="s">
        <v>3</v>
      </c>
      <c r="Q166" s="30" t="s">
        <v>2</v>
      </c>
      <c r="R166" s="30" t="s">
        <v>63</v>
      </c>
      <c r="S166" s="30" t="s">
        <v>64</v>
      </c>
      <c r="T166" s="30" t="s">
        <v>65</v>
      </c>
      <c r="U166" s="30" t="s">
        <v>66</v>
      </c>
      <c r="V166" s="30" t="s">
        <v>68</v>
      </c>
      <c r="W166" s="30" t="s">
        <v>69</v>
      </c>
      <c r="X166" s="30" t="s">
        <v>70</v>
      </c>
      <c r="Y166" s="30" t="s">
        <v>71</v>
      </c>
      <c r="Z166" s="30" t="s">
        <v>72</v>
      </c>
      <c r="AA166" s="30" t="s">
        <v>73</v>
      </c>
      <c r="AB166" s="30" t="s">
        <v>75</v>
      </c>
      <c r="AC166" s="30" t="s">
        <v>77</v>
      </c>
      <c r="AD166" s="30" t="s">
        <v>81</v>
      </c>
      <c r="AE166" s="30" t="s">
        <v>84</v>
      </c>
      <c r="AF166" s="30" t="s">
        <v>85</v>
      </c>
      <c r="AG166" s="30" t="s">
        <v>86</v>
      </c>
      <c r="AH166" s="30" t="s">
        <v>99</v>
      </c>
      <c r="AI166" s="30" t="s">
        <v>101</v>
      </c>
      <c r="AJ166" s="30" t="s">
        <v>102</v>
      </c>
      <c r="AK166" s="30" t="s">
        <v>105</v>
      </c>
      <c r="AL166" s="30" t="s">
        <v>106</v>
      </c>
      <c r="AM166" s="30" t="s">
        <v>108</v>
      </c>
      <c r="AN166" s="30" t="s">
        <v>109</v>
      </c>
      <c r="AO166" s="30" t="s">
        <v>110</v>
      </c>
      <c r="AP166" s="30" t="s">
        <v>117</v>
      </c>
      <c r="AQ166" s="30" t="s">
        <v>127</v>
      </c>
      <c r="AR166" s="30" t="s">
        <v>129</v>
      </c>
      <c r="AS166" s="30" t="s">
        <v>131</v>
      </c>
      <c r="AT166" s="30" t="s">
        <v>142</v>
      </c>
      <c r="AU166" s="30" t="s">
        <v>143</v>
      </c>
      <c r="AV166" s="30" t="s">
        <v>151</v>
      </c>
      <c r="AW166" s="30" t="s">
        <v>156</v>
      </c>
      <c r="AX166" s="30" t="s">
        <v>157</v>
      </c>
      <c r="AY166" s="30" t="s">
        <v>163</v>
      </c>
      <c r="AZ166" s="30" t="s">
        <v>164</v>
      </c>
      <c r="BA166" s="30" t="s">
        <v>177</v>
      </c>
      <c r="BB166" s="30" t="s">
        <v>179</v>
      </c>
      <c r="BC166" s="30" t="s">
        <v>183</v>
      </c>
      <c r="BD166" s="30" t="s">
        <v>184</v>
      </c>
      <c r="BE166" s="30" t="s">
        <v>186</v>
      </c>
      <c r="BF166" s="30" t="s">
        <v>188</v>
      </c>
      <c r="BG166" s="30" t="s">
        <v>200</v>
      </c>
      <c r="BH166" s="30" t="s">
        <v>201</v>
      </c>
      <c r="BI166" s="30" t="s">
        <v>203</v>
      </c>
      <c r="BJ166" s="30" t="s">
        <v>207</v>
      </c>
      <c r="BK166" s="30" t="s">
        <v>208</v>
      </c>
      <c r="BL166" s="206" t="s">
        <v>209</v>
      </c>
      <c r="BM166" s="206" t="s">
        <v>212</v>
      </c>
      <c r="BN166" s="206" t="s">
        <v>213</v>
      </c>
      <c r="BO166" s="206" t="s">
        <v>210</v>
      </c>
      <c r="BP166" s="206" t="s">
        <v>211</v>
      </c>
      <c r="BQ166" s="450" t="s">
        <v>214</v>
      </c>
      <c r="BR166" s="450" t="s">
        <v>328</v>
      </c>
      <c r="BS166" s="450" t="s">
        <v>272</v>
      </c>
      <c r="BT166" s="450" t="s">
        <v>330</v>
      </c>
      <c r="BU166" s="450" t="s">
        <v>331</v>
      </c>
      <c r="BV166" s="450" t="s">
        <v>333</v>
      </c>
      <c r="BW166" s="450" t="s">
        <v>389</v>
      </c>
      <c r="BX166" s="450" t="s">
        <v>406</v>
      </c>
      <c r="BZ166" s="253" t="s">
        <v>217</v>
      </c>
      <c r="CA166" s="253" t="s">
        <v>217</v>
      </c>
      <c r="CH166" s="129" t="s">
        <v>19</v>
      </c>
      <c r="CI166" s="237">
        <v>167768</v>
      </c>
      <c r="CJ166" s="129" t="s">
        <v>21</v>
      </c>
      <c r="CK166" s="237">
        <v>149457</v>
      </c>
    </row>
    <row r="167" spans="1:97" x14ac:dyDescent="0.3">
      <c r="D167" s="127" t="s">
        <v>28</v>
      </c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46"/>
      <c r="AU167" s="46">
        <f t="shared" ref="AU167:AU178" si="3">VLOOKUP(D167,$B$1:$CB$44,46,0)+VLOOKUP(D167,$B$49:$BF$105,46,0)+VLOOKUP(D167,$B$109:$BD$139,46,0)</f>
        <v>6595734</v>
      </c>
      <c r="AV167" s="46">
        <f>VLOOKUP($D$167,$B$1:$CB$44,47,0)+VLOOKUP($D$167,$B$49:$BF$105,47,0)+VLOOKUP($D$167,$B$109:$BD$139,47,0)</f>
        <v>6612337</v>
      </c>
      <c r="AW167" s="46">
        <f t="shared" ref="AW167:AW178" si="4">VLOOKUP($D167,$B$2:$CB$44,48,0)+VLOOKUP($D167,$B$51:$CB$105,48,0)+VLOOKUP($D167,$B$112:$BZ$140,48,0)</f>
        <v>6606130</v>
      </c>
      <c r="AX167" s="46">
        <f t="shared" ref="AX167:AX178" si="5">VLOOKUP($D167,$B$2:$CB$44,49,0)+VLOOKUP($D167,$B$51:$CB$105,49,0)+VLOOKUP($D167,$B$112:$BZ$147,49,0)</f>
        <v>6611169</v>
      </c>
      <c r="AY167" s="46">
        <f t="shared" ref="AY167:AY178" si="6">VLOOKUP($D167,$B$2:$CB$44,50,0)+VLOOKUP($D167,$B$51:$CB$105,50,0)+VLOOKUP($D167,$B$112:$BZ$147,50,0)</f>
        <v>6610533</v>
      </c>
      <c r="AZ167" s="46">
        <f t="shared" ref="AZ167:AZ178" si="7">VLOOKUP($D167,$B$2:$CB$44,51,0)+VLOOKUP($D167,$B$51:$CB$105,51,0)+VLOOKUP($D167,$B$112:$BZ$147,51,0)</f>
        <v>6608246</v>
      </c>
      <c r="BA167" s="46">
        <f t="shared" ref="BA167:BA178" si="8">VLOOKUP($D167,$B$2:$CB$44,52,0)+VLOOKUP($D167,$B$51:$CB$105,52,0)+VLOOKUP($D167,$B$112:$BZ$147,52,0)</f>
        <v>6605509</v>
      </c>
      <c r="BB167" s="46">
        <f t="shared" ref="BB167:BB184" si="9">VLOOKUP($D167,$B$2:$CB$44,53,0)+VLOOKUP($D167,$B$51:$CB$105,53,0)+VLOOKUP($D167,$B$112:$BZ$147,53,0)</f>
        <v>6600715</v>
      </c>
      <c r="BC167" s="46">
        <f t="shared" ref="BC167:BC184" si="10">VLOOKUP($D167,$B$2:$CB$44,54,0)+VLOOKUP($D167,$B$51:$CB$105,54,0)+VLOOKUP($D167,$B$112:$BZ$147,54,0)</f>
        <v>6601465</v>
      </c>
      <c r="BD167" s="46">
        <f t="shared" ref="BD167:BD185" si="11">VLOOKUP($D167,$B$2:$CB$44,55,0)+VLOOKUP($D167,$B$51:$CB$105,55,0)+VLOOKUP($D167,$B$112:$BZ$147,55,0)</f>
        <v>6601847</v>
      </c>
      <c r="BE167" s="46">
        <f>VLOOKUP($D167,$B$2:$BM$44,56,0)+VLOOKUP($D167,$B$51:$BN$85,56,0)+VLOOKUP($D167,$B$112:$BN$148,56,0)</f>
        <v>6614489</v>
      </c>
      <c r="BF167" s="46">
        <f t="shared" ref="BF167:BF183" si="12">VLOOKUP($D167,$B$2:$BM$44,57,0)+VLOOKUP($D167,$B$51:$BN$85,57,0)+VLOOKUP($D167,$B$112:$BN$148,57,0)</f>
        <v>6647746</v>
      </c>
      <c r="BG167" s="46">
        <f t="shared" ref="BG167:BG184" si="13">VLOOKUP($D167,$B$2:$BM$44,58,0)+VLOOKUP($D167,$B$51:$BM$93,58,0)+VLOOKUP($D167,$B$112:$BN$148,58,0)</f>
        <v>7019042</v>
      </c>
      <c r="BH167" s="336">
        <f t="shared" ref="BH167:BH184" si="14">VLOOKUP($D167,$B$2:$BM$44,59,0)+VLOOKUP($D167,$B$51:$BM$107,59,0)+VLOOKUP($D167,$B$112:$BM$148,59,0)</f>
        <v>7050406</v>
      </c>
      <c r="BI167" s="336">
        <f t="shared" ref="BI167:BI184" si="15">VLOOKUP($D167,$B$2:$BM$44,60,0)+VLOOKUP($D167,$B$51:$BM$107,60,0)+VLOOKUP($D167,$B$112:$BM$148,60,0)</f>
        <v>7046119</v>
      </c>
      <c r="BJ167" s="336">
        <f t="shared" ref="BJ167:BJ184" si="16">VLOOKUP($D167,$B$2:$BM$44,61,0)+VLOOKUP($D167,$B$51:$BM$107,61,0)+VLOOKUP($D167,$B$112:$BM$148,61,0)</f>
        <v>7047431</v>
      </c>
      <c r="BK167" s="336">
        <f t="shared" ref="BK167:BK184" si="17">VLOOKUP($D167,$B$2:$BM$44,62,0)+VLOOKUP($D167,$B$51:$BM$107,62,0)+VLOOKUP($D167,$B$112:$BM$148,62,0)</f>
        <v>7046836</v>
      </c>
      <c r="BL167" s="336">
        <f t="shared" ref="BL167:BN183" si="18">VLOOKUP($D167,$B$2:$BM$44,63,0)+VLOOKUP($D167,$B$51:$BM$107,63,0)+VLOOKUP($D167,$B$112:$BM$148,63,0)</f>
        <v>7030189</v>
      </c>
      <c r="BM167" s="336">
        <f t="shared" si="18"/>
        <v>7030189</v>
      </c>
      <c r="BN167" s="515">
        <f t="shared" si="18"/>
        <v>7030189</v>
      </c>
      <c r="BO167" s="515">
        <f t="shared" ref="BO167:BO184" si="19">VLOOKUP($D167,$B$2:$BO$44,66,0)+VLOOKUP($D167,$B$51:$BO$107,66,0)+VLOOKUP($D167,$B$112:$BO$148,66,0)</f>
        <v>7626394</v>
      </c>
      <c r="BP167" s="515">
        <f>VLOOKUP($D167,$B$2:$BP$46,67,0)+VLOOKUP($D167,$B$51:$BP$107,67,0)+VLOOKUP($D167,$B$112:$BP$151,67,0)</f>
        <v>7410291</v>
      </c>
      <c r="BQ167" s="449" t="e">
        <f>BQ86+BQ25+#REF!</f>
        <v>#REF!</v>
      </c>
      <c r="BR167" s="449" t="e">
        <f>BR86+BR25+#REF!</f>
        <v>#REF!</v>
      </c>
      <c r="BS167" s="449">
        <f>VLOOKUP(D167,Tableau1[[FACEBOOK]:[sept-22]],70,0)+VLOOKUP(Tableau12[[#This Row],[Epreuves]],$B$51:$BT$105,70,0)+VLOOKUP(Tableau12[[#This Row],[Epreuves]],Tableau7[[INSTAGRAM]:[sept-22]],70,0)</f>
        <v>7787078</v>
      </c>
      <c r="BT167" s="449">
        <f>VLOOKUP(D167,Tableau1[[FACEBOOK]:[sept-22]],71,0)+VLOOKUP(Tableau12[[#This Row],[Epreuves]],B25:BT81,71,0)+VLOOKUP(Tableau12[[#This Row],[Epreuves]],Tableau7[[INSTAGRAM]:[sept-22]],71,0)</f>
        <v>8207651</v>
      </c>
      <c r="BU167" s="449">
        <f>VLOOKUP(D167,Tableau1[[FACEBOOK]:[nov-22]],72,0)+VLOOKUP(Tableau12[[#This Row],[Epreuves]],B25:BU81,72,0)+VLOOKUP(Tableau12[[#This Row],[Epreuves]],Tableau7[[INSTAGRAM]:[nov-22]],72,0)</f>
        <v>8178046</v>
      </c>
      <c r="BV167" s="449">
        <f>BV2+BV112+BV51+BV157</f>
        <v>9257741</v>
      </c>
      <c r="BW167" s="449">
        <f>BW2+BW112+BW51+BW157</f>
        <v>9270959</v>
      </c>
      <c r="BX167" s="449">
        <f>BX2+BX51+BX112+BX157</f>
        <v>9484445</v>
      </c>
      <c r="BZ167" s="563">
        <f>(Tableau12[[#This Row],[avr-25]]-Tableau12[[#This Row],[avr-24]])/Tableau12[[#This Row],[avr-24]]</f>
        <v>2.3027391233204676E-2</v>
      </c>
      <c r="CA167" s="547">
        <f>Tableau12[[#This Row],[avr-25]]-Tableau12[[#This Row],[avr-24]]</f>
        <v>213486</v>
      </c>
      <c r="CB167" s="579"/>
      <c r="CH167" s="147" t="s">
        <v>241</v>
      </c>
      <c r="CI167" s="237">
        <v>77399</v>
      </c>
      <c r="CJ167" s="127" t="s">
        <v>25</v>
      </c>
      <c r="CK167" s="237">
        <v>92979</v>
      </c>
    </row>
    <row r="168" spans="1:97" x14ac:dyDescent="0.3">
      <c r="D168" s="129" t="s">
        <v>125</v>
      </c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1">
        <f t="shared" si="3"/>
        <v>2335187</v>
      </c>
      <c r="AV168" s="131">
        <f>VLOOKUP($D$168,$B$1:$CB$44,47,0)+VLOOKUP($D$168,$B$49:$BF$105,47,0)+VLOOKUP($D$168,$B$109:$BD$139,47,0)</f>
        <v>2339232</v>
      </c>
      <c r="AW168" s="131">
        <f t="shared" si="4"/>
        <v>2339137</v>
      </c>
      <c r="AX168" s="131">
        <f t="shared" si="5"/>
        <v>2347899</v>
      </c>
      <c r="AY168" s="131">
        <f t="shared" si="6"/>
        <v>2358584</v>
      </c>
      <c r="AZ168" s="131">
        <f t="shared" si="7"/>
        <v>2359933</v>
      </c>
      <c r="BA168" s="131">
        <f t="shared" si="8"/>
        <v>2362130</v>
      </c>
      <c r="BB168" s="131">
        <f t="shared" si="9"/>
        <v>2368826</v>
      </c>
      <c r="BC168" s="46">
        <f t="shared" si="10"/>
        <v>2373595</v>
      </c>
      <c r="BD168" s="46">
        <f t="shared" si="11"/>
        <v>2388696</v>
      </c>
      <c r="BE168" s="46">
        <f t="shared" ref="BE168:BE183" si="20">VLOOKUP($D168,$B$2:$CB$44,56,0)+VLOOKUP($D168,$B$49:$BM$82,56,0)+VLOOKUP($D168,$B$110:$BM$141,56,0)</f>
        <v>2594775</v>
      </c>
      <c r="BF168" s="46">
        <f t="shared" si="12"/>
        <v>2697479</v>
      </c>
      <c r="BG168" s="46">
        <f t="shared" si="13"/>
        <v>2720867</v>
      </c>
      <c r="BH168" s="336">
        <f t="shared" si="14"/>
        <v>2727711</v>
      </c>
      <c r="BI168" s="336">
        <f t="shared" si="15"/>
        <v>2727221</v>
      </c>
      <c r="BJ168" s="336">
        <f t="shared" si="16"/>
        <v>2752338</v>
      </c>
      <c r="BK168" s="336">
        <f t="shared" si="17"/>
        <v>2752043</v>
      </c>
      <c r="BL168" s="336">
        <f t="shared" si="18"/>
        <v>2760944</v>
      </c>
      <c r="BM168" s="336">
        <f t="shared" si="18"/>
        <v>2760944</v>
      </c>
      <c r="BN168" s="337">
        <f t="shared" si="18"/>
        <v>2760944</v>
      </c>
      <c r="BO168" s="337">
        <f t="shared" si="19"/>
        <v>2839514</v>
      </c>
      <c r="BP168" s="159" t="e">
        <f>BP97+BP35+#REF!</f>
        <v>#REF!</v>
      </c>
      <c r="BQ168" s="159" t="e">
        <f>BQ97+BQ35+#REF!</f>
        <v>#REF!</v>
      </c>
      <c r="BR168" s="159" t="e">
        <f>BR97+BR35+#REF!</f>
        <v>#REF!</v>
      </c>
      <c r="BS168" s="159">
        <f>VLOOKUP(D168,Tableau1[[FACEBOOK]:[sept-22]],70,0)+VLOOKUP(Tableau12[[#This Row],[Epreuves]],$B$52:$BT$105,70,0)+VLOOKUP(Tableau12[[#This Row],[Epreuves]],Tableau7[[INSTAGRAM]:[sept-22]],70,0)</f>
        <v>3359865</v>
      </c>
      <c r="BT168" s="159">
        <f>VLOOKUP(D168,Tableau1[[FACEBOOK]:[sept-22]],71,0)+VLOOKUP(Tableau12[[#This Row],[Epreuves]],$B$52:$BT$105,71,0)+VLOOKUP(Tableau12[[#This Row],[Epreuves]],Tableau7[[INSTAGRAM]:[sept-22]],71,0)</f>
        <v>3641155</v>
      </c>
      <c r="BU168" s="159">
        <f>VLOOKUP(D168,Tableau1[[FACEBOOK]:[nov-22]],72,0)+VLOOKUP(Tableau12[[#This Row],[Epreuves]],B26:BU82,72,0)+VLOOKUP(Tableau12[[#This Row],[Epreuves]],Tableau7[[INSTAGRAM]:[nov-22]],72,0)</f>
        <v>3631832</v>
      </c>
      <c r="BV168" s="159">
        <f>BV3+BV52+BV113+BV156</f>
        <v>4545810</v>
      </c>
      <c r="BW168" s="159">
        <f>BW3+BW52+BW113+BW156</f>
        <v>4561837</v>
      </c>
      <c r="BX168" s="159">
        <f>BX3+BX52+BX113+BX156</f>
        <v>4914720</v>
      </c>
      <c r="BZ168" s="563">
        <f>(Tableau12[[#This Row],[avr-25]]-Tableau12[[#This Row],[avr-24]])/Tableau12[[#This Row],[avr-24]]</f>
        <v>7.7355460092063788E-2</v>
      </c>
      <c r="CA168" s="547">
        <f>Tableau12[[#This Row],[avr-25]]-Tableau12[[#This Row],[avr-24]]</f>
        <v>352883</v>
      </c>
      <c r="CB168" s="579"/>
      <c r="CH168" s="127" t="s">
        <v>25</v>
      </c>
      <c r="CI168" s="237">
        <v>92979</v>
      </c>
      <c r="CJ168" s="147" t="s">
        <v>241</v>
      </c>
      <c r="CK168" s="237">
        <v>77399</v>
      </c>
    </row>
    <row r="169" spans="1:97" x14ac:dyDescent="0.3">
      <c r="D169" s="143" t="s">
        <v>74</v>
      </c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1">
        <f t="shared" si="3"/>
        <v>1221126</v>
      </c>
      <c r="AV169" s="131">
        <f>VLOOKUP($D$169,$B$1:$CB$44,47,0)+VLOOKUP($D$169,$B$49:$BF$105,47,0)+VLOOKUP($D$169,$B$109:$BD$139,47,0)</f>
        <v>1242388</v>
      </c>
      <c r="AW169" s="131">
        <f t="shared" si="4"/>
        <v>1276499</v>
      </c>
      <c r="AX169" s="131">
        <f t="shared" si="5"/>
        <v>1305637</v>
      </c>
      <c r="AY169" s="131">
        <f t="shared" si="6"/>
        <v>1329334</v>
      </c>
      <c r="AZ169" s="131">
        <f t="shared" si="7"/>
        <v>1346672</v>
      </c>
      <c r="BA169" s="131">
        <f t="shared" si="8"/>
        <v>1364305</v>
      </c>
      <c r="BB169" s="131">
        <f t="shared" si="9"/>
        <v>1383647</v>
      </c>
      <c r="BC169" s="46">
        <f t="shared" si="10"/>
        <v>1398705</v>
      </c>
      <c r="BD169" s="46">
        <f t="shared" si="11"/>
        <v>1413138</v>
      </c>
      <c r="BE169" s="46">
        <f t="shared" si="20"/>
        <v>1432567</v>
      </c>
      <c r="BF169" s="46">
        <f t="shared" si="12"/>
        <v>1445267</v>
      </c>
      <c r="BG169" s="46">
        <f t="shared" si="13"/>
        <v>1463065</v>
      </c>
      <c r="BH169" s="336">
        <f t="shared" si="14"/>
        <v>1479233</v>
      </c>
      <c r="BI169" s="336">
        <f t="shared" si="15"/>
        <v>1513144</v>
      </c>
      <c r="BJ169" s="336">
        <f t="shared" si="16"/>
        <v>1525107</v>
      </c>
      <c r="BK169" s="336">
        <f t="shared" si="17"/>
        <v>1530624</v>
      </c>
      <c r="BL169" s="336">
        <f t="shared" si="18"/>
        <v>1564163</v>
      </c>
      <c r="BM169" s="336">
        <f t="shared" si="18"/>
        <v>1564163</v>
      </c>
      <c r="BN169" s="337">
        <f t="shared" si="18"/>
        <v>1564163</v>
      </c>
      <c r="BO169" s="337">
        <f t="shared" si="19"/>
        <v>1669200</v>
      </c>
      <c r="BP169" s="159" t="e">
        <f>#REF!+BP48+BP106</f>
        <v>#REF!</v>
      </c>
      <c r="BQ169" s="159" t="e">
        <f>#REF!+BQ48+BQ106</f>
        <v>#REF!</v>
      </c>
      <c r="BR169" s="159" t="e">
        <f>#REF!+BR48+BR106</f>
        <v>#REF!</v>
      </c>
      <c r="BS169" s="159">
        <f>VLOOKUP(D169,Tableau1[[FACEBOOK]:[sept-22]],70,0)+VLOOKUP(Tableau12[[#This Row],[Epreuves]],$B$52:$BT$105,70,0)+VLOOKUP(Tableau12[[#This Row],[Epreuves]],Tableau7[[INSTAGRAM]:[sept-22]],70,0)</f>
        <v>2069799</v>
      </c>
      <c r="BT169" s="159">
        <f>VLOOKUP(D169,Tableau1[[FACEBOOK]:[sept-22]],71,0)+VLOOKUP(Tableau12[[#This Row],[Epreuves]],$B$52:$BT$105,71,0)+VLOOKUP(Tableau12[[#This Row],[Epreuves]],Tableau7[[INSTAGRAM]:[sept-22]],71,0)</f>
        <v>2172207</v>
      </c>
      <c r="BU169" s="159">
        <f>VLOOKUP(D169,Tableau1[[FACEBOOK]:[nov-22]],72,0)+VLOOKUP(Tableau12[[#This Row],[Epreuves]],B27:BU83,72,0)+VLOOKUP(Tableau12[[#This Row],[Epreuves]],Tableau7[[INSTAGRAM]:[nov-22]],72,0)</f>
        <v>2176600</v>
      </c>
      <c r="BV169" s="159">
        <f>BV4+BV54+BV114+BV158</f>
        <v>2564000</v>
      </c>
      <c r="BW169" s="159">
        <f>BW4+BW54+BW114+BW158</f>
        <v>2780810</v>
      </c>
      <c r="BX169" s="159">
        <f>BX4+BX54+BX114+BX158</f>
        <v>2824333</v>
      </c>
      <c r="BZ169" s="563">
        <f>(Tableau12[[#This Row],[avr-25]]-Tableau12[[#This Row],[avr-24]])/Tableau12[[#This Row],[avr-24]]</f>
        <v>1.5651195155368398E-2</v>
      </c>
      <c r="CA169" s="547">
        <f>Tableau12[[#This Row],[avr-25]]-Tableau12[[#This Row],[avr-24]]</f>
        <v>43523</v>
      </c>
    </row>
    <row r="170" spans="1:97" x14ac:dyDescent="0.3">
      <c r="D170" s="127" t="s">
        <v>126</v>
      </c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46">
        <f t="shared" si="3"/>
        <v>804391</v>
      </c>
      <c r="AV170" s="46">
        <f>VLOOKUP($D$170,$B$1:$CB$44,47,0)+VLOOKUP($D$170,$B$49:$BF$105,47,0)+VLOOKUP($D170,$B$109:$BD$139,47,0)</f>
        <v>855331</v>
      </c>
      <c r="AW170" s="46">
        <f t="shared" si="4"/>
        <v>892579</v>
      </c>
      <c r="AX170" s="46">
        <f t="shared" si="5"/>
        <v>896907</v>
      </c>
      <c r="AY170" s="46">
        <f t="shared" si="6"/>
        <v>898248</v>
      </c>
      <c r="AZ170" s="46">
        <f t="shared" si="7"/>
        <v>901898</v>
      </c>
      <c r="BA170" s="46">
        <f t="shared" si="8"/>
        <v>903302</v>
      </c>
      <c r="BB170" s="46">
        <f t="shared" si="9"/>
        <v>903351</v>
      </c>
      <c r="BC170" s="46">
        <f t="shared" si="10"/>
        <v>903360</v>
      </c>
      <c r="BD170" s="46">
        <f t="shared" si="11"/>
        <v>903393</v>
      </c>
      <c r="BE170" s="46">
        <f t="shared" si="20"/>
        <v>907418</v>
      </c>
      <c r="BF170" s="46">
        <f t="shared" si="12"/>
        <v>909499</v>
      </c>
      <c r="BG170" s="46">
        <f t="shared" si="13"/>
        <v>917828</v>
      </c>
      <c r="BH170" s="336">
        <f t="shared" si="14"/>
        <v>986479</v>
      </c>
      <c r="BI170" s="336">
        <f t="shared" si="15"/>
        <v>1011136</v>
      </c>
      <c r="BJ170" s="336">
        <f t="shared" si="16"/>
        <v>1011250</v>
      </c>
      <c r="BK170" s="336">
        <f t="shared" si="17"/>
        <v>1010866</v>
      </c>
      <c r="BL170" s="336">
        <f t="shared" si="18"/>
        <v>1013328</v>
      </c>
      <c r="BM170" s="336">
        <f t="shared" si="18"/>
        <v>1013328</v>
      </c>
      <c r="BN170" s="337">
        <f t="shared" si="18"/>
        <v>1013328</v>
      </c>
      <c r="BO170" s="337">
        <f t="shared" si="19"/>
        <v>1011395</v>
      </c>
      <c r="BP170" s="159" t="e">
        <f>BP96+BP34+#REF!</f>
        <v>#REF!</v>
      </c>
      <c r="BQ170" s="159" t="e">
        <f>BQ96+BQ34+#REF!</f>
        <v>#REF!</v>
      </c>
      <c r="BR170" s="159" t="e">
        <f>BR96+BR34+#REF!</f>
        <v>#REF!</v>
      </c>
      <c r="BS170" s="159">
        <f>VLOOKUP(D170,Tableau1[[FACEBOOK]:[sept-22]],70,0)+VLOOKUP(Tableau12[[#This Row],[Epreuves]],$B$52:$BT$105,70,0)+VLOOKUP(Tableau12[[#This Row],[Epreuves]],Tableau7[[INSTAGRAM]:[sept-22]],70,0)</f>
        <v>1321186</v>
      </c>
      <c r="BT170" s="159">
        <f>VLOOKUP(D170,Tableau1[[FACEBOOK]:[sept-22]],71,0)+VLOOKUP(Tableau12[[#This Row],[Epreuves]],$B$52:$BT$105,71,0)+VLOOKUP(Tableau12[[#This Row],[Epreuves]],Tableau7[[INSTAGRAM]:[sept-22]],71,0)</f>
        <v>1428725</v>
      </c>
      <c r="BU170" s="159">
        <f>VLOOKUP(D170,Tableau1[[FACEBOOK]:[nov-22]],72,0)+VLOOKUP(Tableau12[[#This Row],[Epreuves]],B28:BU84,72,0)+VLOOKUP(Tableau12[[#This Row],[Epreuves]],Tableau7[[INSTAGRAM]:[nov-22]],72,0)</f>
        <v>1437864</v>
      </c>
      <c r="BV170" s="159">
        <f>BV5+BV53+BV115+BV159</f>
        <v>1692814</v>
      </c>
      <c r="BW170" s="159">
        <f>BW5+BW53+BW115+BW159</f>
        <v>1778986</v>
      </c>
      <c r="BX170" s="159">
        <f>BX5+BX53+BX115+BX159</f>
        <v>1783772</v>
      </c>
      <c r="BZ170" s="563">
        <f>(Tableau12[[#This Row],[avr-25]]-Tableau12[[#This Row],[avr-24]])/Tableau12[[#This Row],[avr-24]]</f>
        <v>2.6902966071683534E-3</v>
      </c>
      <c r="CA170" s="547">
        <f>Tableau12[[#This Row],[avr-25]]-Tableau12[[#This Row],[avr-24]]</f>
        <v>4786</v>
      </c>
      <c r="CH170" s="340"/>
      <c r="CI170" s="341"/>
      <c r="CJ170" s="341"/>
      <c r="CK170" s="340"/>
      <c r="CL170" s="341"/>
      <c r="CM170" s="341"/>
    </row>
    <row r="171" spans="1:97" x14ac:dyDescent="0.3">
      <c r="D171" s="127" t="s">
        <v>22</v>
      </c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46">
        <f t="shared" si="3"/>
        <v>211223</v>
      </c>
      <c r="AV171" s="46">
        <f>VLOOKUP($D$173,$B$1:$CB$44,47,0)+VLOOKUP($D$173,$B$49:$BF$105,47,0)+VLOOKUP($D$173,$B$109:$BD$139,47,0)</f>
        <v>158275</v>
      </c>
      <c r="AW171" s="46">
        <f t="shared" si="4"/>
        <v>210597</v>
      </c>
      <c r="AX171" s="46">
        <f t="shared" si="5"/>
        <v>210588</v>
      </c>
      <c r="AY171" s="46">
        <f t="shared" si="6"/>
        <v>210298</v>
      </c>
      <c r="AZ171" s="46">
        <f t="shared" si="7"/>
        <v>210189</v>
      </c>
      <c r="BA171" s="46">
        <f t="shared" si="8"/>
        <v>210590</v>
      </c>
      <c r="BB171" s="46">
        <f t="shared" si="9"/>
        <v>211035</v>
      </c>
      <c r="BC171" s="46">
        <f t="shared" si="10"/>
        <v>212855</v>
      </c>
      <c r="BD171" s="46">
        <f t="shared" si="11"/>
        <v>237395</v>
      </c>
      <c r="BE171" s="46">
        <f t="shared" si="20"/>
        <v>238413</v>
      </c>
      <c r="BF171" s="46">
        <f t="shared" si="12"/>
        <v>238496</v>
      </c>
      <c r="BG171" s="46">
        <f t="shared" si="13"/>
        <v>238877</v>
      </c>
      <c r="BH171" s="336">
        <f t="shared" si="14"/>
        <v>238652</v>
      </c>
      <c r="BI171" s="336">
        <f t="shared" si="15"/>
        <v>238341</v>
      </c>
      <c r="BJ171" s="336">
        <f t="shared" si="16"/>
        <v>238023</v>
      </c>
      <c r="BK171" s="336">
        <f t="shared" si="17"/>
        <v>237850</v>
      </c>
      <c r="BL171" s="336">
        <f t="shared" si="18"/>
        <v>239480</v>
      </c>
      <c r="BM171" s="336">
        <f t="shared" si="18"/>
        <v>239480</v>
      </c>
      <c r="BN171" s="337">
        <f t="shared" si="18"/>
        <v>239480</v>
      </c>
      <c r="BO171" s="337">
        <f t="shared" si="19"/>
        <v>245686</v>
      </c>
      <c r="BP171" s="159" t="e">
        <f>BP109+BP49+#REF!</f>
        <v>#REF!</v>
      </c>
      <c r="BQ171" s="159" t="e">
        <f>BQ109+BQ49+#REF!</f>
        <v>#REF!</v>
      </c>
      <c r="BR171" s="159" t="e">
        <f>BR109+BR49+#REF!</f>
        <v>#REF!</v>
      </c>
      <c r="BS171" s="159">
        <f>VLOOKUP(D171,Tableau1[[FACEBOOK]:[sept-22]],70,0)+VLOOKUP(Tableau12[[#This Row],[Epreuves]],$B$52:$BT$105,70,0)+VLOOKUP(Tableau12[[#This Row],[Epreuves]],Tableau7[[INSTAGRAM]:[sept-22]],70,0)</f>
        <v>319062</v>
      </c>
      <c r="BT171" s="159">
        <f>VLOOKUP(D171,Tableau1[[FACEBOOK]:[sept-22]],71,0)+VLOOKUP(Tableau12[[#This Row],[Epreuves]],$B$52:$BT$105,71,0)+VLOOKUP(Tableau12[[#This Row],[Epreuves]],Tableau7[[INSTAGRAM]:[sept-22]],71,0)</f>
        <v>333152</v>
      </c>
      <c r="BU171" s="159">
        <f>VLOOKUP(D171,Tableau1[[FACEBOOK]:[nov-22]],72,0)+VLOOKUP(Tableau12[[#This Row],[Epreuves]],B29:BU85,72,0)+VLOOKUP(Tableau12[[#This Row],[Epreuves]],Tableau7[[INSTAGRAM]:[nov-22]],72,0)</f>
        <v>333977</v>
      </c>
      <c r="BV171" s="159">
        <f>BV6+BV57+BV116</f>
        <v>371951</v>
      </c>
      <c r="BW171" s="159">
        <f>BW6+BW57+BW116</f>
        <v>426036</v>
      </c>
      <c r="BX171" s="159">
        <f>BX6+BX57+BX116</f>
        <v>426040</v>
      </c>
      <c r="BZ171" s="563">
        <f>(Tableau12[[#This Row],[avr-25]]-Tableau12[[#This Row],[avr-24]])/Tableau12[[#This Row],[avr-24]]</f>
        <v>9.3888779351979653E-6</v>
      </c>
      <c r="CA171" s="547">
        <f>Tableau12[[#This Row],[avr-25]]-Tableau12[[#This Row],[avr-24]]</f>
        <v>4</v>
      </c>
      <c r="CI171"/>
      <c r="CJ171" s="341"/>
      <c r="CK171"/>
      <c r="CL171" s="341"/>
      <c r="CM171" s="341"/>
    </row>
    <row r="172" spans="1:97" x14ac:dyDescent="0.3">
      <c r="D172" s="127" t="s">
        <v>58</v>
      </c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46">
        <f t="shared" si="3"/>
        <v>264139</v>
      </c>
      <c r="AV172" s="46">
        <f>VLOOKUP($D$171,$B$1:$CB$44,47,0)+VLOOKUP($D$171,$B$49:$BF$105,47,0)+VLOOKUP($D$171,$B$109:$BD$139,47,0)</f>
        <v>210911</v>
      </c>
      <c r="AW172" s="46">
        <f t="shared" si="4"/>
        <v>264120</v>
      </c>
      <c r="AX172" s="46">
        <f t="shared" si="5"/>
        <v>264848</v>
      </c>
      <c r="AY172" s="46">
        <f t="shared" si="6"/>
        <v>264567</v>
      </c>
      <c r="AZ172" s="46">
        <f t="shared" si="7"/>
        <v>265465</v>
      </c>
      <c r="BA172" s="46">
        <f t="shared" si="8"/>
        <v>265706</v>
      </c>
      <c r="BB172" s="46">
        <f t="shared" si="9"/>
        <v>266063</v>
      </c>
      <c r="BC172" s="46">
        <f t="shared" si="10"/>
        <v>266950</v>
      </c>
      <c r="BD172" s="46">
        <f t="shared" si="11"/>
        <v>269079</v>
      </c>
      <c r="BE172" s="46">
        <f t="shared" si="20"/>
        <v>279769</v>
      </c>
      <c r="BF172" s="46">
        <f t="shared" si="12"/>
        <v>279977</v>
      </c>
      <c r="BG172" s="46">
        <f t="shared" si="13"/>
        <v>280015</v>
      </c>
      <c r="BH172" s="336">
        <f t="shared" si="14"/>
        <v>279760</v>
      </c>
      <c r="BI172" s="336">
        <f t="shared" si="15"/>
        <v>280156</v>
      </c>
      <c r="BJ172" s="336">
        <f t="shared" si="16"/>
        <v>279797</v>
      </c>
      <c r="BK172" s="336">
        <f t="shared" si="17"/>
        <v>279741</v>
      </c>
      <c r="BL172" s="336">
        <f t="shared" si="18"/>
        <v>279927</v>
      </c>
      <c r="BM172" s="336">
        <f t="shared" si="18"/>
        <v>279927</v>
      </c>
      <c r="BN172" s="337">
        <f t="shared" si="18"/>
        <v>279927</v>
      </c>
      <c r="BO172" s="337">
        <f t="shared" si="19"/>
        <v>277318</v>
      </c>
      <c r="BP172" s="337">
        <f>VLOOKUP($D172,$B$2:$BP$46,67,0)+VLOOKUP($D172,$B$51:$BP$107,67,0)+VLOOKUP($D172,$B$112:$BP$151,67,0)</f>
        <v>276628</v>
      </c>
      <c r="BQ172" s="159" t="e">
        <f>#REF!+BQ37+BQ104</f>
        <v>#REF!</v>
      </c>
      <c r="BR172" s="159" t="e">
        <f>#REF!+BR37+BR104</f>
        <v>#REF!</v>
      </c>
      <c r="BS172" s="159">
        <f>VLOOKUP(D172,Tableau1[[FACEBOOK]:[sept-22]],70,0)+VLOOKUP(Tableau12[[#This Row],[Epreuves]],$B$52:$BT$105,70,0)+VLOOKUP(Tableau12[[#This Row],[Epreuves]],Tableau7[[INSTAGRAM]:[sept-22]],70,0)</f>
        <v>269854</v>
      </c>
      <c r="BT172" s="159">
        <f>VLOOKUP(D172,Tableau1[[FACEBOOK]:[sept-22]],71,0)+VLOOKUP(Tableau12[[#This Row],[Epreuves]],$B$52:$BT$105,71,0)+VLOOKUP(Tableau12[[#This Row],[Epreuves]],Tableau7[[INSTAGRAM]:[sept-22]],71,0)</f>
        <v>269747</v>
      </c>
      <c r="BU172" s="159">
        <f>VLOOKUP(D172,Tableau1[[FACEBOOK]:[nov-22]],72,0)+VLOOKUP(Tableau12[[#This Row],[Epreuves]],B30:BU86,72,0)+VLOOKUP(Tableau12[[#This Row],[Epreuves]],Tableau7[[INSTAGRAM]:[nov-22]],72,0)</f>
        <v>269572</v>
      </c>
      <c r="BV172" s="159">
        <f>BV11+BV55+BV129</f>
        <v>264654</v>
      </c>
      <c r="BW172" s="159">
        <f>BW11+BW55+BW129</f>
        <v>261176</v>
      </c>
      <c r="BX172" s="159">
        <f>BX11+BX55+BX129</f>
        <v>280633</v>
      </c>
      <c r="BZ172" s="563">
        <f>(Tableau12[[#This Row],[avr-25]]-Tableau12[[#This Row],[avr-24]])/Tableau12[[#This Row],[avr-24]]</f>
        <v>7.4497656752534683E-2</v>
      </c>
      <c r="CA172" s="547">
        <f>Tableau12[[#This Row],[avr-25]]-Tableau12[[#This Row],[avr-24]]</f>
        <v>19457</v>
      </c>
      <c r="CB172" s="579"/>
      <c r="CH172"/>
      <c r="CI172" s="341"/>
      <c r="CJ172" s="341"/>
      <c r="CK172"/>
      <c r="CL172" s="341"/>
      <c r="CM172" s="341"/>
    </row>
    <row r="173" spans="1:97" x14ac:dyDescent="0.3">
      <c r="D173" s="129" t="s">
        <v>216</v>
      </c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1">
        <f t="shared" si="3"/>
        <v>154090</v>
      </c>
      <c r="AV173" s="131">
        <f>VLOOKUP($D$176,$B$1:$CB$44,47,0)+VLOOKUP($D$176,$B$49:$BF$105,47,0)+VLOOKUP($D$176,$B$109:$BD$139,47,0)</f>
        <v>97539</v>
      </c>
      <c r="AW173" s="131">
        <f t="shared" si="4"/>
        <v>165566</v>
      </c>
      <c r="AX173" s="131">
        <f t="shared" si="5"/>
        <v>165865</v>
      </c>
      <c r="AY173" s="131">
        <f t="shared" si="6"/>
        <v>165652</v>
      </c>
      <c r="AZ173" s="131">
        <f t="shared" si="7"/>
        <v>167231</v>
      </c>
      <c r="BA173" s="131">
        <f t="shared" si="8"/>
        <v>167270</v>
      </c>
      <c r="BB173" s="131">
        <f t="shared" si="9"/>
        <v>168386</v>
      </c>
      <c r="BC173" s="46">
        <f t="shared" si="10"/>
        <v>167645</v>
      </c>
      <c r="BD173" s="46">
        <f t="shared" si="11"/>
        <v>167878</v>
      </c>
      <c r="BE173" s="46">
        <f t="shared" si="20"/>
        <v>168859</v>
      </c>
      <c r="BF173" s="46">
        <f t="shared" si="12"/>
        <v>169575</v>
      </c>
      <c r="BG173" s="46">
        <f t="shared" si="13"/>
        <v>170442</v>
      </c>
      <c r="BH173" s="336">
        <f t="shared" si="14"/>
        <v>172721</v>
      </c>
      <c r="BI173" s="336">
        <f t="shared" si="15"/>
        <v>180633</v>
      </c>
      <c r="BJ173" s="336">
        <f t="shared" si="16"/>
        <v>180522</v>
      </c>
      <c r="BK173" s="336">
        <f t="shared" si="17"/>
        <v>180528</v>
      </c>
      <c r="BL173" s="336">
        <f t="shared" si="18"/>
        <v>182235</v>
      </c>
      <c r="BM173" s="336">
        <f t="shared" si="18"/>
        <v>182235</v>
      </c>
      <c r="BN173" s="337">
        <f t="shared" si="18"/>
        <v>182235</v>
      </c>
      <c r="BO173" s="337">
        <f t="shared" si="19"/>
        <v>185803</v>
      </c>
      <c r="BP173" s="159">
        <f>BP128+BP51+BP10</f>
        <v>3204519</v>
      </c>
      <c r="BQ173" s="159">
        <f>BQ128+BQ51+BQ10</f>
        <v>3247413</v>
      </c>
      <c r="BR173" s="159">
        <f>BR128+BR51+BR10</f>
        <v>3245671</v>
      </c>
      <c r="BS173" s="159">
        <f>VLOOKUP(D173,Tableau1[[FACEBOOK]:[sept-22]],70,0)+VLOOKUP(Tableau12[[#This Row],[Epreuves]],$B$52:$BT$105,70,0)+VLOOKUP(Tableau12[[#This Row],[Epreuves]],Tableau7[[INSTAGRAM]:[sept-22]],70,0)</f>
        <v>249993</v>
      </c>
      <c r="BT173" s="159">
        <f>VLOOKUP(D173,Tableau1[[FACEBOOK]:[sept-22]],71,0)+VLOOKUP(Tableau12[[#This Row],[Epreuves]],$B$52:$BT$105,71,0)+VLOOKUP(Tableau12[[#This Row],[Epreuves]],Tableau7[[INSTAGRAM]:[sept-22]],71,0)</f>
        <v>259700</v>
      </c>
      <c r="BU173" s="159">
        <f>VLOOKUP(D173,Tableau1[[FACEBOOK]:[nov-22]],72,0)+VLOOKUP(Tableau12[[#This Row],[Epreuves]],B31:BU87,72,0)+VLOOKUP(Tableau12[[#This Row],[Epreuves]],Tableau7[[INSTAGRAM]:[nov-22]],72,0)</f>
        <v>258200</v>
      </c>
      <c r="BV173" s="159">
        <f>BV7+BV56+BV131</f>
        <v>271400</v>
      </c>
      <c r="BW173" s="159">
        <f>BW7+BW56+BW131</f>
        <v>270233</v>
      </c>
      <c r="BX173" s="159">
        <f>BX7+BX56+BX131</f>
        <v>268602</v>
      </c>
      <c r="BZ173" s="563">
        <f>(Tableau12[[#This Row],[avr-25]]-Tableau12[[#This Row],[avr-24]])/Tableau12[[#This Row],[avr-24]]</f>
        <v>-6.0355322999041568E-3</v>
      </c>
      <c r="CA173" s="547">
        <f>Tableau12[[#This Row],[avr-25]]-Tableau12[[#This Row],[avr-24]]</f>
        <v>-1631</v>
      </c>
      <c r="CH173" s="342"/>
      <c r="CI173" s="341"/>
      <c r="CJ173" s="341"/>
      <c r="CK173" s="340"/>
      <c r="CL173" s="341"/>
      <c r="CM173" s="341"/>
    </row>
    <row r="174" spans="1:97" x14ac:dyDescent="0.3">
      <c r="D174" s="129" t="s">
        <v>35</v>
      </c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1">
        <f t="shared" si="3"/>
        <v>83205</v>
      </c>
      <c r="AV174" s="131">
        <f>VLOOKUP($D$182,$B$1:$CB$44,47,0)+VLOOKUP($D$182,$B$49:$BF$105,47,0)+VLOOKUP($D$182,$B$109:$BD$139,47,0)</f>
        <v>96643</v>
      </c>
      <c r="AW174" s="131">
        <f t="shared" si="4"/>
        <v>83564</v>
      </c>
      <c r="AX174" s="131">
        <f t="shared" si="5"/>
        <v>84061</v>
      </c>
      <c r="AY174" s="131">
        <f t="shared" si="6"/>
        <v>84308</v>
      </c>
      <c r="AZ174" s="131">
        <f t="shared" si="7"/>
        <v>84617</v>
      </c>
      <c r="BA174" s="131">
        <f t="shared" si="8"/>
        <v>85005</v>
      </c>
      <c r="BB174" s="131">
        <f t="shared" si="9"/>
        <v>87054</v>
      </c>
      <c r="BC174" s="46">
        <f t="shared" si="10"/>
        <v>102075</v>
      </c>
      <c r="BD174" s="46">
        <f t="shared" si="11"/>
        <v>102708</v>
      </c>
      <c r="BE174" s="46">
        <f t="shared" si="20"/>
        <v>102596</v>
      </c>
      <c r="BF174" s="46">
        <f t="shared" si="12"/>
        <v>102489</v>
      </c>
      <c r="BG174" s="46">
        <f t="shared" si="13"/>
        <v>102528</v>
      </c>
      <c r="BH174" s="336">
        <f t="shared" si="14"/>
        <v>102513</v>
      </c>
      <c r="BI174" s="336">
        <f t="shared" si="15"/>
        <v>102676</v>
      </c>
      <c r="BJ174" s="336">
        <f t="shared" si="16"/>
        <v>102811</v>
      </c>
      <c r="BK174" s="336">
        <f t="shared" si="17"/>
        <v>102754</v>
      </c>
      <c r="BL174" s="336">
        <f t="shared" si="18"/>
        <v>107264</v>
      </c>
      <c r="BM174" s="336">
        <f t="shared" si="18"/>
        <v>107264</v>
      </c>
      <c r="BN174" s="337">
        <f t="shared" si="18"/>
        <v>107264</v>
      </c>
      <c r="BO174" s="337">
        <f t="shared" si="19"/>
        <v>155188</v>
      </c>
      <c r="BP174" s="159">
        <f>BP123+BP71+BP21</f>
        <v>87411</v>
      </c>
      <c r="BQ174" s="159">
        <f>BQ123+BQ71+BQ21</f>
        <v>100003</v>
      </c>
      <c r="BR174" s="159">
        <f>BR123+BR71+BR21</f>
        <v>106029</v>
      </c>
      <c r="BS174" s="159">
        <f>VLOOKUP(D174,Tableau1[[FACEBOOK]:[sept-22]],70,0)+VLOOKUP(Tableau12[[#This Row],[Epreuves]],$B$52:$BT$105,70,0)+VLOOKUP(Tableau12[[#This Row],[Epreuves]],Tableau7[[INSTAGRAM]:[sept-22]],70,0)</f>
        <v>214876</v>
      </c>
      <c r="BT174" s="159">
        <f>VLOOKUP(D174,Tableau1[[FACEBOOK]:[sept-22]],71,0)+VLOOKUP(Tableau12[[#This Row],[Epreuves]],$B$52:$BT$105,71,0)+VLOOKUP(Tableau12[[#This Row],[Epreuves]],Tableau7[[INSTAGRAM]:[sept-22]],71,0)</f>
        <v>218977</v>
      </c>
      <c r="BU174" s="159">
        <f>VLOOKUP(D174,Tableau1[[FACEBOOK]:[nov-22]],72,0)+VLOOKUP(Tableau12[[#This Row],[Epreuves]],B32:BU88,72,0)+VLOOKUP(Tableau12[[#This Row],[Epreuves]],Tableau7[[INSTAGRAM]:[nov-22]],72,0)</f>
        <v>218562</v>
      </c>
      <c r="BV174" s="159">
        <f>BV9+BV65+BV117+BV162</f>
        <v>231780</v>
      </c>
      <c r="BW174" s="159">
        <f>BW9+BW65+BW117+BW162</f>
        <v>257799</v>
      </c>
      <c r="BX174" s="159">
        <f>BX9+BX65+BX117+BX162</f>
        <v>256322</v>
      </c>
      <c r="BZ174" s="563">
        <f>(Tableau12[[#This Row],[avr-25]]-Tableau12[[#This Row],[avr-24]])/Tableau12[[#This Row],[avr-24]]</f>
        <v>-5.7292697023650207E-3</v>
      </c>
      <c r="CA174" s="547">
        <f>Tableau12[[#This Row],[avr-25]]-Tableau12[[#This Row],[avr-24]]</f>
        <v>-1477</v>
      </c>
      <c r="CH174" s="340"/>
      <c r="CI174" s="341"/>
      <c r="CJ174" s="341"/>
      <c r="CK174" s="342"/>
      <c r="CL174" s="341"/>
      <c r="CM174" s="341"/>
    </row>
    <row r="175" spans="1:97" x14ac:dyDescent="0.3">
      <c r="D175" s="129" t="s">
        <v>16</v>
      </c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1">
        <f t="shared" si="3"/>
        <v>183936</v>
      </c>
      <c r="AV175" s="131">
        <f>VLOOKUP($D$174,$B$1:$CB$44,47,0)+VLOOKUP($D$174,$B$49:$BF$105,47,0)+VLOOKUP($D$174,$B$109:$BD$139,47,0)</f>
        <v>83435</v>
      </c>
      <c r="AW175" s="131">
        <f t="shared" si="4"/>
        <v>184642</v>
      </c>
      <c r="AX175" s="131">
        <f t="shared" si="5"/>
        <v>184797</v>
      </c>
      <c r="AY175" s="131">
        <f t="shared" si="6"/>
        <v>184598</v>
      </c>
      <c r="AZ175" s="131">
        <f t="shared" si="7"/>
        <v>187745</v>
      </c>
      <c r="BA175" s="131">
        <f t="shared" si="8"/>
        <v>205052</v>
      </c>
      <c r="BB175" s="131">
        <f t="shared" si="9"/>
        <v>205152</v>
      </c>
      <c r="BC175" s="46">
        <f t="shared" si="10"/>
        <v>204945</v>
      </c>
      <c r="BD175" s="46">
        <f t="shared" si="11"/>
        <v>204409</v>
      </c>
      <c r="BE175" s="46">
        <f t="shared" si="20"/>
        <v>203914</v>
      </c>
      <c r="BF175" s="46">
        <f t="shared" si="12"/>
        <v>203578</v>
      </c>
      <c r="BG175" s="46">
        <f t="shared" si="13"/>
        <v>203220</v>
      </c>
      <c r="BH175" s="336">
        <f t="shared" si="14"/>
        <v>202855</v>
      </c>
      <c r="BI175" s="336">
        <f t="shared" si="15"/>
        <v>202564</v>
      </c>
      <c r="BJ175" s="336">
        <f t="shared" si="16"/>
        <v>202427</v>
      </c>
      <c r="BK175" s="336">
        <f t="shared" si="17"/>
        <v>202227</v>
      </c>
      <c r="BL175" s="336">
        <f t="shared" si="18"/>
        <v>215150</v>
      </c>
      <c r="BM175" s="336">
        <f t="shared" si="18"/>
        <v>215150</v>
      </c>
      <c r="BN175" s="337">
        <f t="shared" si="18"/>
        <v>215150</v>
      </c>
      <c r="BO175" s="337">
        <f t="shared" si="19"/>
        <v>211206</v>
      </c>
      <c r="BP175" s="159">
        <f>BP125+BP14+BP64</f>
        <v>117677</v>
      </c>
      <c r="BQ175" s="159">
        <f>BQ125+BQ14+BQ64</f>
        <v>153346</v>
      </c>
      <c r="BR175" s="159">
        <f>BR125+BR14+BR64</f>
        <v>161591</v>
      </c>
      <c r="BS175" s="159">
        <f>VLOOKUP(D175,Tableau1[[FACEBOOK]:[sept-22]],70,0)+VLOOKUP(Tableau12[[#This Row],[Epreuves]],$B$52:$BT$105,70,0)+VLOOKUP(Tableau12[[#This Row],[Epreuves]],Tableau7[[INSTAGRAM]:[sept-22]],70,0)</f>
        <v>209272</v>
      </c>
      <c r="BT175" s="159">
        <f>VLOOKUP(D175,Tableau1[[FACEBOOK]:[sept-22]],71,0)+VLOOKUP(Tableau12[[#This Row],[Epreuves]],$B$52:$BT$105,71,0)+VLOOKUP(Tableau12[[#This Row],[Epreuves]],Tableau7[[INSTAGRAM]:[sept-22]],71,0)</f>
        <v>214719</v>
      </c>
      <c r="BU175" s="159">
        <f>VLOOKUP(D175,Tableau1[[FACEBOOK]:[nov-22]],72,0)+VLOOKUP(Tableau12[[#This Row],[Epreuves]],B33:BU89,72,0)+VLOOKUP(Tableau12[[#This Row],[Epreuves]],Tableau7[[INSTAGRAM]:[nov-22]],72,0)</f>
        <v>214018</v>
      </c>
      <c r="BV175" s="159">
        <f>BV8+BV60+BV124+BV161</f>
        <v>229311</v>
      </c>
      <c r="BW175" s="159">
        <f>BW8+BW60+BW124+BW161</f>
        <v>255688</v>
      </c>
      <c r="BX175" s="159">
        <f>BX8+BX60+BX124+BX161</f>
        <v>255165</v>
      </c>
      <c r="BZ175" s="563">
        <f>(Tableau12[[#This Row],[avr-25]]-Tableau12[[#This Row],[avr-24]])/Tableau12[[#This Row],[avr-24]]</f>
        <v>-2.0454616563937299E-3</v>
      </c>
      <c r="CA175" s="547">
        <f>Tableau12[[#This Row],[avr-25]]-Tableau12[[#This Row],[avr-24]]</f>
        <v>-523</v>
      </c>
    </row>
    <row r="176" spans="1:97" x14ac:dyDescent="0.3">
      <c r="D176" s="129" t="s">
        <v>18</v>
      </c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1">
        <f t="shared" si="3"/>
        <v>97670</v>
      </c>
      <c r="AV176" s="131">
        <f>VLOOKUP($D$179,$B$1:$CB$44,47,0)+VLOOKUP($D$179,$B$49:$BF$105,47,0)+VLOOKUP($D$179,$B$109:$BD$139,47,0)</f>
        <v>70469</v>
      </c>
      <c r="AW176" s="131">
        <f t="shared" si="4"/>
        <v>97416</v>
      </c>
      <c r="AX176" s="131">
        <f t="shared" si="5"/>
        <v>97519</v>
      </c>
      <c r="AY176" s="131">
        <f t="shared" si="6"/>
        <v>97345</v>
      </c>
      <c r="AZ176" s="131">
        <f t="shared" si="7"/>
        <v>97389</v>
      </c>
      <c r="BA176" s="131">
        <f t="shared" si="8"/>
        <v>97564</v>
      </c>
      <c r="BB176" s="131">
        <f t="shared" si="9"/>
        <v>98129</v>
      </c>
      <c r="BC176" s="46">
        <f t="shared" si="10"/>
        <v>118150</v>
      </c>
      <c r="BD176" s="46">
        <f t="shared" si="11"/>
        <v>118685</v>
      </c>
      <c r="BE176" s="46">
        <f t="shared" si="20"/>
        <v>117863</v>
      </c>
      <c r="BF176" s="46">
        <f t="shared" si="12"/>
        <v>118549</v>
      </c>
      <c r="BG176" s="46">
        <f t="shared" si="13"/>
        <v>118514</v>
      </c>
      <c r="BH176" s="336">
        <f t="shared" si="14"/>
        <v>118363</v>
      </c>
      <c r="BI176" s="336">
        <f t="shared" si="15"/>
        <v>118145</v>
      </c>
      <c r="BJ176" s="336">
        <f t="shared" si="16"/>
        <v>118005</v>
      </c>
      <c r="BK176" s="336">
        <f t="shared" si="17"/>
        <v>117792</v>
      </c>
      <c r="BL176" s="336">
        <f t="shared" si="18"/>
        <v>120504</v>
      </c>
      <c r="BM176" s="336">
        <f t="shared" si="18"/>
        <v>120504</v>
      </c>
      <c r="BN176" s="337">
        <f t="shared" si="18"/>
        <v>120504</v>
      </c>
      <c r="BO176" s="337">
        <f t="shared" si="19"/>
        <v>150488</v>
      </c>
      <c r="BP176" s="159">
        <f>BP128+BP64+BP18</f>
        <v>108950</v>
      </c>
      <c r="BQ176" s="159">
        <f>BQ128+BQ64+BQ18</f>
        <v>131556</v>
      </c>
      <c r="BR176" s="159">
        <f>BR128+BR64+BR18</f>
        <v>137296</v>
      </c>
      <c r="BS176" s="159">
        <f>VLOOKUP(D176,Tableau1[[FACEBOOK]:[sept-22]],70,0)+VLOOKUP(Tableau12[[#This Row],[Epreuves]],$B$52:$BT$105,70,0)+VLOOKUP(Tableau12[[#This Row],[Epreuves]],Tableau7[[INSTAGRAM]:[sept-22]],70,0)</f>
        <v>203139</v>
      </c>
      <c r="BT176" s="159">
        <f>VLOOKUP(D176,Tableau1[[FACEBOOK]:[sept-22]],71,0)+VLOOKUP(Tableau12[[#This Row],[Epreuves]],$B$52:$BT$105,71,0)+VLOOKUP(Tableau12[[#This Row],[Epreuves]],Tableau7[[INSTAGRAM]:[sept-22]],71,0)</f>
        <v>205414</v>
      </c>
      <c r="BU176" s="159">
        <f>VLOOKUP(D176,Tableau1[[FACEBOOK]:[nov-22]],72,0)+VLOOKUP(Tableau12[[#This Row],[Epreuves]],B34:BU90,72,0)+VLOOKUP(Tableau12[[#This Row],[Epreuves]],Tableau7[[INSTAGRAM]:[nov-22]],72,0)</f>
        <v>204811</v>
      </c>
      <c r="BV176" s="159">
        <f>BV10+BV61+BV120</f>
        <v>215984</v>
      </c>
      <c r="BW176" s="159">
        <f>BW10+BW61+BW120</f>
        <v>232857</v>
      </c>
      <c r="BX176" s="159">
        <f>BX10+BX61+BX120</f>
        <v>231763</v>
      </c>
      <c r="BZ176" s="563">
        <f>(Tableau12[[#This Row],[avr-25]]-Tableau12[[#This Row],[avr-24]])/Tableau12[[#This Row],[avr-24]]</f>
        <v>-4.6981623915106699E-3</v>
      </c>
      <c r="CA176" s="547">
        <f>Tableau12[[#This Row],[avr-25]]-Tableau12[[#This Row],[avr-24]]</f>
        <v>-1094</v>
      </c>
      <c r="CO176" s="9" t="s">
        <v>390</v>
      </c>
      <c r="CP176" s="531">
        <f>BS167</f>
        <v>7787078</v>
      </c>
      <c r="CQ176" s="531">
        <f>BW167</f>
        <v>9270959</v>
      </c>
      <c r="CR176" s="15">
        <f>(CQ176-CP176)/CP176</f>
        <v>0.19055684301608383</v>
      </c>
      <c r="CS176" s="531">
        <f>CQ176-CP176</f>
        <v>1483881</v>
      </c>
    </row>
    <row r="177" spans="3:103" x14ac:dyDescent="0.3">
      <c r="C177" s="9" t="s">
        <v>394</v>
      </c>
      <c r="D177" s="127" t="s">
        <v>34</v>
      </c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46">
        <f t="shared" si="3"/>
        <v>123150</v>
      </c>
      <c r="AV177" s="46">
        <f>VLOOKUP($D$177,$B$1:$CB$44,47,0)+VLOOKUP($D$177,$B$49:$BF$105,47,0)+VLOOKUP($D$177,$B$109:$BD$139,47,0)</f>
        <v>123008</v>
      </c>
      <c r="AW177" s="46">
        <f t="shared" si="4"/>
        <v>122673</v>
      </c>
      <c r="AX177" s="46">
        <f t="shared" si="5"/>
        <v>122418</v>
      </c>
      <c r="AY177" s="46">
        <f t="shared" si="6"/>
        <v>122068</v>
      </c>
      <c r="AZ177" s="46">
        <f t="shared" si="7"/>
        <v>121850</v>
      </c>
      <c r="BA177" s="46">
        <f t="shared" si="8"/>
        <v>122027</v>
      </c>
      <c r="BB177" s="46">
        <f t="shared" si="9"/>
        <v>122105</v>
      </c>
      <c r="BC177" s="46">
        <f t="shared" si="10"/>
        <v>122970</v>
      </c>
      <c r="BD177" s="46">
        <f t="shared" si="11"/>
        <v>123238</v>
      </c>
      <c r="BE177" s="46">
        <f t="shared" si="20"/>
        <v>123362</v>
      </c>
      <c r="BF177" s="46">
        <f t="shared" si="12"/>
        <v>138921</v>
      </c>
      <c r="BG177" s="46">
        <f t="shared" si="13"/>
        <v>139503</v>
      </c>
      <c r="BH177" s="336">
        <f t="shared" si="14"/>
        <v>139307</v>
      </c>
      <c r="BI177" s="336">
        <f t="shared" si="15"/>
        <v>138926</v>
      </c>
      <c r="BJ177" s="336">
        <f t="shared" si="16"/>
        <v>138593</v>
      </c>
      <c r="BK177" s="336">
        <f t="shared" si="17"/>
        <v>138493</v>
      </c>
      <c r="BL177" s="336">
        <f t="shared" si="18"/>
        <v>138099</v>
      </c>
      <c r="BM177" s="336">
        <f t="shared" si="18"/>
        <v>138099</v>
      </c>
      <c r="BN177" s="337">
        <f t="shared" si="18"/>
        <v>138099</v>
      </c>
      <c r="BO177" s="337">
        <f t="shared" si="19"/>
        <v>161207</v>
      </c>
      <c r="BP177" s="337">
        <f>VLOOKUP($D177,$B$2:$BP$46,67,0)+VLOOKUP($D177,$B$51:$BP$107,67,0)+VLOOKUP($D177,$B$112:$BP$148,67,0)</f>
        <v>161027</v>
      </c>
      <c r="BQ177" s="159" t="e">
        <f>#REF!+BQ43+#REF!</f>
        <v>#REF!</v>
      </c>
      <c r="BR177" s="159" t="e">
        <f>#REF!+BR43+#REF!</f>
        <v>#REF!</v>
      </c>
      <c r="BS177" s="159">
        <f>VLOOKUP(D177,Tableau1[[FACEBOOK]:[sept-22]],70,0)+VLOOKUP(Tableau12[[#This Row],[Epreuves]],$B$52:$BT$105,70,0)+VLOOKUP(Tableau12[[#This Row],[Epreuves]],Tableau7[[INSTAGRAM]:[sept-22]],70,0)</f>
        <v>174184</v>
      </c>
      <c r="BT177" s="159">
        <f>VLOOKUP(D177,Tableau1[[FACEBOOK]:[sept-22]],71,0)+VLOOKUP(Tableau12[[#This Row],[Epreuves]],$B$52:$BT$105,71,0)+VLOOKUP(Tableau12[[#This Row],[Epreuves]],Tableau7[[INSTAGRAM]:[sept-22]],71,0)</f>
        <v>197718</v>
      </c>
      <c r="BU177" s="159">
        <f>VLOOKUP(D177,Tableau1[[FACEBOOK]:[nov-22]],72,0)+VLOOKUP(Tableau12[[#This Row],[Epreuves]],B35:BU91,72,0)+VLOOKUP(Tableau12[[#This Row],[Epreuves]],Tableau7[[INSTAGRAM]:[nov-22]],72,0)</f>
        <v>197206</v>
      </c>
      <c r="BV177" s="159">
        <f>BV12+BV59+BV122</f>
        <v>206537</v>
      </c>
      <c r="BW177" s="159">
        <f>BW12+BW59+BW122</f>
        <v>217188</v>
      </c>
      <c r="BX177" s="159">
        <f>BX12+BX59+BX122</f>
        <v>232768</v>
      </c>
      <c r="BZ177" s="563">
        <f>(Tableau12[[#This Row],[avr-25]]-Tableau12[[#This Row],[avr-24]])/Tableau12[[#This Row],[avr-24]]</f>
        <v>7.1735086653037919E-2</v>
      </c>
      <c r="CA177" s="547">
        <f>Tableau12[[#This Row],[avr-25]]-Tableau12[[#This Row],[avr-24]]</f>
        <v>15580</v>
      </c>
      <c r="CB177" s="579"/>
      <c r="CO177" s="9" t="s">
        <v>391</v>
      </c>
      <c r="CP177" s="531">
        <f>BS168</f>
        <v>3359865</v>
      </c>
      <c r="CQ177" s="531">
        <f>BW168</f>
        <v>4561837</v>
      </c>
      <c r="CR177" s="15">
        <f>(CQ177-CP177)/CP177</f>
        <v>0.35774413555306539</v>
      </c>
      <c r="CS177" s="531">
        <f>CQ177-CP177</f>
        <v>1201972</v>
      </c>
    </row>
    <row r="178" spans="3:103" x14ac:dyDescent="0.3">
      <c r="C178" s="9" t="s">
        <v>394</v>
      </c>
      <c r="D178" s="127" t="s">
        <v>17</v>
      </c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46">
        <f t="shared" si="3"/>
        <v>110804</v>
      </c>
      <c r="AV178" s="46">
        <f>VLOOKUP($D$178,$B$1:$CB$44,47,0)+VLOOKUP($D$178,$B$49:$BF$105,47,0)+VLOOKUP($D178,$B$109:$BD$139,47,0)</f>
        <v>110859</v>
      </c>
      <c r="AW178" s="46">
        <f t="shared" si="4"/>
        <v>110712</v>
      </c>
      <c r="AX178" s="46">
        <f t="shared" si="5"/>
        <v>110553</v>
      </c>
      <c r="AY178" s="46">
        <f t="shared" si="6"/>
        <v>110475</v>
      </c>
      <c r="AZ178" s="46">
        <f t="shared" si="7"/>
        <v>110353</v>
      </c>
      <c r="BA178" s="46">
        <f t="shared" si="8"/>
        <v>110690</v>
      </c>
      <c r="BB178" s="46">
        <f t="shared" si="9"/>
        <v>111773</v>
      </c>
      <c r="BC178" s="46">
        <f t="shared" si="10"/>
        <v>129125</v>
      </c>
      <c r="BD178" s="46">
        <f t="shared" si="11"/>
        <v>130046</v>
      </c>
      <c r="BE178" s="46">
        <f t="shared" si="20"/>
        <v>129782</v>
      </c>
      <c r="BF178" s="46">
        <f t="shared" si="12"/>
        <v>129966</v>
      </c>
      <c r="BG178" s="46">
        <f t="shared" si="13"/>
        <v>130124</v>
      </c>
      <c r="BH178" s="336">
        <f t="shared" si="14"/>
        <v>130161</v>
      </c>
      <c r="BI178" s="336">
        <f t="shared" si="15"/>
        <v>129896</v>
      </c>
      <c r="BJ178" s="336">
        <f t="shared" si="16"/>
        <v>130586</v>
      </c>
      <c r="BK178" s="336">
        <f t="shared" si="17"/>
        <v>129353</v>
      </c>
      <c r="BL178" s="336">
        <f t="shared" si="18"/>
        <v>129961</v>
      </c>
      <c r="BM178" s="336">
        <f t="shared" si="18"/>
        <v>129961</v>
      </c>
      <c r="BN178" s="337">
        <f t="shared" si="18"/>
        <v>129961</v>
      </c>
      <c r="BO178" s="337">
        <f t="shared" si="19"/>
        <v>143228</v>
      </c>
      <c r="BP178" s="159">
        <f>BP119+BP53+BP11</f>
        <v>551373</v>
      </c>
      <c r="BQ178" s="159">
        <f>BQ119+BQ53+BQ11</f>
        <v>588650</v>
      </c>
      <c r="BR178" s="159">
        <f>BR119+BR53+BR11</f>
        <v>589238</v>
      </c>
      <c r="BS178" s="159">
        <f>VLOOKUP(D178,Tableau1[[FACEBOOK]:[sept-22]],70,0)+VLOOKUP(Tableau12[[#This Row],[Epreuves]],$B$52:$BT$105,70,0)+VLOOKUP(Tableau12[[#This Row],[Epreuves]],Tableau7[[INSTAGRAM]:[sept-22]],70,0)</f>
        <v>180283</v>
      </c>
      <c r="BT178" s="159">
        <f>VLOOKUP(D178,Tableau1[[FACEBOOK]:[sept-22]],71,0)+VLOOKUP(Tableau12[[#This Row],[Epreuves]],$B$52:$BT$105,71,0)+VLOOKUP(Tableau12[[#This Row],[Epreuves]],Tableau7[[INSTAGRAM]:[sept-22]],71,0)</f>
        <v>187676</v>
      </c>
      <c r="BU178" s="159">
        <f>VLOOKUP(D178,Tableau1[[FACEBOOK]:[nov-22]],72,0)+VLOOKUP(Tableau12[[#This Row],[Epreuves]],B36:BU92,72,0)+VLOOKUP(Tableau12[[#This Row],[Epreuves]],Tableau7[[INSTAGRAM]:[nov-22]],72,0)</f>
        <v>187187</v>
      </c>
      <c r="BV178" s="159">
        <f>BV16+BV58+BV123</f>
        <v>194207</v>
      </c>
      <c r="BW178" s="159">
        <f>BW16+BW58+BW123</f>
        <v>227001</v>
      </c>
      <c r="BX178" s="159">
        <f>BX16+BX58+BX123</f>
        <v>228607</v>
      </c>
      <c r="BZ178" s="563">
        <f>(Tableau12[[#This Row],[avr-25]]-Tableau12[[#This Row],[avr-24]])/Tableau12[[#This Row],[avr-24]]</f>
        <v>7.0748587010629905E-3</v>
      </c>
      <c r="CA178" s="547">
        <f>Tableau12[[#This Row],[avr-25]]-Tableau12[[#This Row],[avr-24]]</f>
        <v>1606</v>
      </c>
      <c r="CO178" s="9" t="s">
        <v>392</v>
      </c>
      <c r="CP178" s="531">
        <f>BS170</f>
        <v>1321186</v>
      </c>
      <c r="CQ178" s="531">
        <f>BW170</f>
        <v>1778986</v>
      </c>
      <c r="CR178" s="15">
        <f>(CQ178-CP178)/CP178</f>
        <v>0.34650685066296494</v>
      </c>
      <c r="CS178" s="531">
        <f>CQ178-CP178</f>
        <v>457800</v>
      </c>
    </row>
    <row r="179" spans="3:103" x14ac:dyDescent="0.3">
      <c r="D179" s="129" t="s">
        <v>19</v>
      </c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1">
        <f>VLOOKUP(D179,$B$1:$CB$44,46,0)+VLOOKUP(D179,$B$49:$BF$105,46,0)</f>
        <v>70443</v>
      </c>
      <c r="AV179" s="131">
        <f>VLOOKUP($D$186,$B$1:$CB$44,47,0)+VLOOKUP($D$186,$B$49:$BF$105,47,0)</f>
        <v>58172</v>
      </c>
      <c r="AW179" s="131">
        <f>VLOOKUP($D179,$B$1:$CB$44,48,0)+VLOOKUP($D179,$B$49:$BF$105,48,0)</f>
        <v>70462</v>
      </c>
      <c r="AX179" s="131">
        <f>VLOOKUP($D179,$B$1:$CB$44,49,0)+VLOOKUP($D179,$B$49:$BF$105,49,0)</f>
        <v>70558</v>
      </c>
      <c r="AY179" s="131">
        <f>VLOOKUP($D179,$B$1:$CB$44,50,0)+VLOOKUP($D179,$B$49:$BF$105,50,0)</f>
        <v>70452</v>
      </c>
      <c r="AZ179" s="131">
        <f>VLOOKUP($D179,$B$1:$CB$44,52,0)+VLOOKUP($D179,$B$49:$BF$105,52,0)</f>
        <v>70641</v>
      </c>
      <c r="BA179" s="131">
        <f>VLOOKUP($D179,$B$1:$CB$44,51,0)+VLOOKUP($D179,$B$49:$BF$105,51,0)</f>
        <v>70488</v>
      </c>
      <c r="BB179" s="131">
        <f t="shared" si="9"/>
        <v>72773</v>
      </c>
      <c r="BC179" s="46">
        <f t="shared" si="10"/>
        <v>90775</v>
      </c>
      <c r="BD179" s="46">
        <f t="shared" si="11"/>
        <v>92154</v>
      </c>
      <c r="BE179" s="46">
        <f t="shared" si="20"/>
        <v>92265</v>
      </c>
      <c r="BF179" s="46">
        <f t="shared" si="12"/>
        <v>92314</v>
      </c>
      <c r="BG179" s="46">
        <f t="shared" si="13"/>
        <v>92367</v>
      </c>
      <c r="BH179" s="336">
        <f t="shared" si="14"/>
        <v>92371</v>
      </c>
      <c r="BI179" s="336">
        <f t="shared" si="15"/>
        <v>92296</v>
      </c>
      <c r="BJ179" s="336">
        <f t="shared" si="16"/>
        <v>92299</v>
      </c>
      <c r="BK179" s="336">
        <f t="shared" si="17"/>
        <v>92182</v>
      </c>
      <c r="BL179" s="336">
        <f t="shared" si="18"/>
        <v>92660</v>
      </c>
      <c r="BM179" s="336">
        <f t="shared" si="18"/>
        <v>92660</v>
      </c>
      <c r="BN179" s="337">
        <f t="shared" si="18"/>
        <v>92660</v>
      </c>
      <c r="BO179" s="337">
        <f t="shared" si="19"/>
        <v>123830</v>
      </c>
      <c r="BP179" s="159">
        <f>BP134+BP63+BP17</f>
        <v>124247</v>
      </c>
      <c r="BQ179" s="159">
        <f>BQ134+BQ63+BQ17</f>
        <v>131376</v>
      </c>
      <c r="BR179" s="159">
        <f>BR134+BR63+BR17</f>
        <v>134641</v>
      </c>
      <c r="BS179" s="159">
        <f>VLOOKUP(D179,Tableau1[[FACEBOOK]:[sept-22]],70,0)+VLOOKUP(Tableau12[[#This Row],[Epreuves]],$B$52:$BT$105,70,0)+VLOOKUP(Tableau12[[#This Row],[Epreuves]],Tableau7[[INSTAGRAM]:[sept-22]],70,0)</f>
        <v>167768</v>
      </c>
      <c r="BT179" s="159">
        <f>VLOOKUP(D179,Tableau1[[FACEBOOK]:[sept-22]],71,0)+VLOOKUP(Tableau12[[#This Row],[Epreuves]],$B$52:$BT$105,71,0)+VLOOKUP(Tableau12[[#This Row],[Epreuves]],Tableau7[[INSTAGRAM]:[sept-22]],71,0)</f>
        <v>171466</v>
      </c>
      <c r="BU179" s="159">
        <f>VLOOKUP(D179,Tableau1[[FACEBOOK]:[nov-22]],72,0)+VLOOKUP(Tableau12[[#This Row],[Epreuves]],B37:BU93,72,0)+VLOOKUP(Tableau12[[#This Row],[Epreuves]],Tableau7[[INSTAGRAM]:[nov-22]],72,0)</f>
        <v>171506</v>
      </c>
      <c r="BV179" s="159">
        <f>BV14+BV63+BV125</f>
        <v>190200</v>
      </c>
      <c r="BW179" s="159">
        <f>BW14+BW63+BW125</f>
        <v>208156</v>
      </c>
      <c r="BX179" s="159">
        <f>BX14+BX63+BX125</f>
        <v>208760</v>
      </c>
      <c r="BZ179" s="563">
        <f>(Tableau12[[#This Row],[avr-25]]-Tableau12[[#This Row],[avr-24]])/Tableau12[[#This Row],[avr-24]]</f>
        <v>2.9016699014200887E-3</v>
      </c>
      <c r="CA179" s="547">
        <f>Tableau12[[#This Row],[avr-25]]-Tableau12[[#This Row],[avr-24]]</f>
        <v>604</v>
      </c>
    </row>
    <row r="180" spans="3:103" x14ac:dyDescent="0.3">
      <c r="D180" s="129" t="s">
        <v>21</v>
      </c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1">
        <f>VLOOKUP(D180,$B$1:$CB$44,46,0)+VLOOKUP(D180,$B$49:$BF$105,46,0)+VLOOKUP(D180,$B$109:$BD$139,46,0)</f>
        <v>82376</v>
      </c>
      <c r="AV180" s="131">
        <f>VLOOKUP($D$184,$B$1:$CB$44,47,0)+VLOOKUP($D$184,$B$49:$BF$105,47,0)+VLOOKUP($D$184,$B$109:$BD$139,47,0)</f>
        <v>58509</v>
      </c>
      <c r="AW180" s="131">
        <f>VLOOKUP($D180,$B$2:$CB$44,48,0)+VLOOKUP($D180,$B$51:$CB$105,48,0)+VLOOKUP($D180,$B$112:$BZ$140,48,0)</f>
        <v>82148</v>
      </c>
      <c r="AX180" s="131">
        <f>VLOOKUP($D180,$B$2:$CB$44,49,0)+VLOOKUP($D180,$B$51:$CB$105,49,0)+VLOOKUP($D180,$B$112:$BZ$147,49,0)</f>
        <v>82296</v>
      </c>
      <c r="AY180" s="131">
        <f>VLOOKUP($D180,$B$2:$CB$44,50,0)+VLOOKUP($D180,$B$51:$CB$105,50,0)+VLOOKUP($D180,$B$112:$BZ$147,50,0)</f>
        <v>82297</v>
      </c>
      <c r="AZ180" s="131">
        <f>VLOOKUP($D180,$B$2:$CB$44,51,0)+VLOOKUP($D180,$B$51:$CB$105,51,0)+VLOOKUP($D180,$B$112:$BZ$147,51,0)</f>
        <v>82572</v>
      </c>
      <c r="BA180" s="131">
        <f>VLOOKUP($D180,$B$2:$CB$44,52,0)+VLOOKUP($D180,$B$51:$CB$105,52,0)+VLOOKUP($D180,$B$112:$BZ$147,52,0)</f>
        <v>82810</v>
      </c>
      <c r="BB180" s="131">
        <f t="shared" si="9"/>
        <v>83834</v>
      </c>
      <c r="BC180" s="46">
        <f t="shared" si="10"/>
        <v>85675</v>
      </c>
      <c r="BD180" s="46">
        <f t="shared" si="11"/>
        <v>100740</v>
      </c>
      <c r="BE180" s="46">
        <f t="shared" si="20"/>
        <v>100451</v>
      </c>
      <c r="BF180" s="46">
        <f t="shared" si="12"/>
        <v>100423</v>
      </c>
      <c r="BG180" s="46">
        <f t="shared" si="13"/>
        <v>101032</v>
      </c>
      <c r="BH180" s="336">
        <f t="shared" si="14"/>
        <v>100946</v>
      </c>
      <c r="BI180" s="336">
        <f t="shared" si="15"/>
        <v>100811</v>
      </c>
      <c r="BJ180" s="336">
        <f t="shared" si="16"/>
        <v>100771</v>
      </c>
      <c r="BK180" s="336">
        <f t="shared" si="17"/>
        <v>100799</v>
      </c>
      <c r="BL180" s="336">
        <f t="shared" si="18"/>
        <v>101423</v>
      </c>
      <c r="BM180" s="336">
        <f t="shared" si="18"/>
        <v>101423</v>
      </c>
      <c r="BN180" s="337">
        <f t="shared" si="18"/>
        <v>101423</v>
      </c>
      <c r="BO180" s="337">
        <f t="shared" si="19"/>
        <v>110929</v>
      </c>
      <c r="BP180" s="159">
        <f>BP120+BP64+BP26</f>
        <v>85323</v>
      </c>
      <c r="BQ180" s="159">
        <f>BQ120+BQ64+BQ26</f>
        <v>113479</v>
      </c>
      <c r="BR180" s="159">
        <f>BR120+BR64+BR26</f>
        <v>119970</v>
      </c>
      <c r="BS180" s="159">
        <f>VLOOKUP(D180,Tableau1[[FACEBOOK]:[sept-22]],70,0)+VLOOKUP(Tableau12[[#This Row],[Epreuves]],$B$52:$BT$105,70,0)+VLOOKUP(Tableau12[[#This Row],[Epreuves]],Tableau7[[INSTAGRAM]:[sept-22]],70,0)</f>
        <v>149457</v>
      </c>
      <c r="BT180" s="159">
        <f>VLOOKUP(D180,Tableau1[[FACEBOOK]:[sept-22]],71,0)+VLOOKUP(Tableau12[[#This Row],[Epreuves]],$B$52:$BT$105,71,0)+VLOOKUP(Tableau12[[#This Row],[Epreuves]],Tableau7[[INSTAGRAM]:[sept-22]],71,0)</f>
        <v>153414</v>
      </c>
      <c r="BU180" s="159">
        <f>VLOOKUP(D180,Tableau1[[FACEBOOK]:[nov-22]],72,0)+VLOOKUP(Tableau12[[#This Row],[Epreuves]],B38:BU94,72,0)+VLOOKUP(Tableau12[[#This Row],[Epreuves]],Tableau7[[INSTAGRAM]:[nov-22]],72,0)</f>
        <v>153345</v>
      </c>
      <c r="BV180" s="159">
        <f>BV19+BV62+BV119</f>
        <v>169300</v>
      </c>
      <c r="BW180" s="159">
        <f>BW19+BW62+BW119</f>
        <v>181209</v>
      </c>
      <c r="BX180" s="159">
        <f>BX19+BX62+BX119</f>
        <v>181450</v>
      </c>
      <c r="BZ180" s="563">
        <f>(Tableau12[[#This Row],[avr-25]]-Tableau12[[#This Row],[avr-24]])/Tableau12[[#This Row],[avr-24]]</f>
        <v>1.3299560176370932E-3</v>
      </c>
      <c r="CA180" s="547">
        <f>Tableau12[[#This Row],[avr-25]]-Tableau12[[#This Row],[avr-24]]</f>
        <v>241</v>
      </c>
    </row>
    <row r="181" spans="3:103" x14ac:dyDescent="0.3">
      <c r="D181" s="147" t="s">
        <v>180</v>
      </c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1"/>
      <c r="AV181" s="131"/>
      <c r="AW181" s="131"/>
      <c r="AX181" s="131"/>
      <c r="AY181" s="131"/>
      <c r="AZ181" s="131"/>
      <c r="BA181" s="131"/>
      <c r="BB181" s="131">
        <f t="shared" si="9"/>
        <v>102515</v>
      </c>
      <c r="BC181" s="46">
        <f t="shared" si="10"/>
        <v>103235</v>
      </c>
      <c r="BD181" s="46">
        <f t="shared" si="11"/>
        <v>102866</v>
      </c>
      <c r="BE181" s="46">
        <f t="shared" si="20"/>
        <v>102663</v>
      </c>
      <c r="BF181" s="46">
        <f t="shared" si="12"/>
        <v>102594</v>
      </c>
      <c r="BG181" s="46">
        <f t="shared" si="13"/>
        <v>104482</v>
      </c>
      <c r="BH181" s="336">
        <f t="shared" si="14"/>
        <v>105739</v>
      </c>
      <c r="BI181" s="336">
        <f t="shared" si="15"/>
        <v>106305</v>
      </c>
      <c r="BJ181" s="336">
        <f t="shared" si="16"/>
        <v>107203</v>
      </c>
      <c r="BK181" s="336">
        <f t="shared" si="17"/>
        <v>107556</v>
      </c>
      <c r="BL181" s="336">
        <f t="shared" si="18"/>
        <v>147096</v>
      </c>
      <c r="BM181" s="336">
        <f t="shared" si="18"/>
        <v>147096</v>
      </c>
      <c r="BN181" s="337">
        <f t="shared" si="18"/>
        <v>147096</v>
      </c>
      <c r="BO181" s="337">
        <f t="shared" si="19"/>
        <v>146892</v>
      </c>
      <c r="BP181" s="159">
        <f>BP35+BP79+BP130</f>
        <v>36450</v>
      </c>
      <c r="BQ181" s="159">
        <f>BQ35+BQ79+BQ130</f>
        <v>39059</v>
      </c>
      <c r="BR181" s="159">
        <f>BR35+BR79+BR130</f>
        <v>39811</v>
      </c>
      <c r="BS181" s="159">
        <f>VLOOKUP(D181,Tableau1[[FACEBOOK]:[sept-22]],70,0)+VLOOKUP(Tableau12[[#This Row],[Epreuves]],$B$52:$BT$105,70,0)+VLOOKUP(Tableau12[[#This Row],[Epreuves]],Tableau7[[INSTAGRAM]:[sept-22]],70,0)</f>
        <v>140907</v>
      </c>
      <c r="BT181" s="159">
        <f>VLOOKUP(D181,Tableau1[[FACEBOOK]:[sept-22]],71,0)+VLOOKUP(Tableau12[[#This Row],[Epreuves]],$B$52:$BT$105,71,0)+VLOOKUP(Tableau12[[#This Row],[Epreuves]],Tableau7[[INSTAGRAM]:[sept-22]],71,0)</f>
        <v>141877</v>
      </c>
      <c r="BU181" s="159">
        <f>VLOOKUP(D181,Tableau1[[FACEBOOK]:[nov-22]],72,0)+VLOOKUP(Tableau12[[#This Row],[Epreuves]],B39:BU95,72,0)+VLOOKUP(Tableau12[[#This Row],[Epreuves]],Tableau7[[INSTAGRAM]:[nov-22]],72,0)</f>
        <v>140700</v>
      </c>
      <c r="BV181" s="159">
        <f>BV21+BV68+BV118</f>
        <v>136400</v>
      </c>
      <c r="BW181" s="159">
        <f>BW21+BW68+BW118</f>
        <v>158101</v>
      </c>
      <c r="BX181" s="159">
        <f>BX21+BX68+BX118</f>
        <v>157517</v>
      </c>
      <c r="BZ181" s="563">
        <f>(Tableau12[[#This Row],[avr-25]]-Tableau12[[#This Row],[avr-24]])/Tableau12[[#This Row],[avr-24]]</f>
        <v>-3.6938412786762893E-3</v>
      </c>
      <c r="CA181" s="547">
        <f>Tableau12[[#This Row],[avr-25]]-Tableau12[[#This Row],[avr-24]]</f>
        <v>-584</v>
      </c>
    </row>
    <row r="182" spans="3:103" x14ac:dyDescent="0.3">
      <c r="D182" s="129" t="s">
        <v>111</v>
      </c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1">
        <f>VLOOKUP(D182,$B$1:$CB$44,46,0)+VLOOKUP(D182,$B$49:$BF$105,46,0)+VLOOKUP(D182,$B$109:$BD$139,46,0)</f>
        <v>89798</v>
      </c>
      <c r="AV182" s="131">
        <f>VLOOKUP($D$180,$B$1:$CB$44,47,0)+VLOOKUP($D$180,$B$49:$BF$105,47,0)+VLOOKUP($D$180,$B$109:$BD$139,47,0)</f>
        <v>82247</v>
      </c>
      <c r="AW182" s="131">
        <f>VLOOKUP($D182,$B$2:$CB$44,48,0)+VLOOKUP($D182,$B$51:$CB$105,48,0)+VLOOKUP($D182,$B$112:$BZ$140,48,0)</f>
        <v>96507</v>
      </c>
      <c r="AX182" s="131">
        <f>VLOOKUP($D182,$B$2:$CB$44,49,0)+VLOOKUP($D182,$B$51:$CB$105,49,0)+VLOOKUP($D182,$B$112:$BZ$147,49,0)</f>
        <v>96394</v>
      </c>
      <c r="AY182" s="131">
        <f>VLOOKUP($D182,$B$2:$CB$44,50,0)+VLOOKUP($D182,$B$51:$CB$105,50,0)+VLOOKUP($D182,$B$112:$BZ$147,50,0)</f>
        <v>96104</v>
      </c>
      <c r="AZ182" s="131">
        <f>VLOOKUP($D182,$B$2:$CB$44,51,0)+VLOOKUP($D182,$B$51:$CB$105,51,0)+VLOOKUP($D182,$B$112:$BZ$147,51,0)</f>
        <v>95937</v>
      </c>
      <c r="BA182" s="131">
        <f>VLOOKUP($D182,$B$2:$CB$44,52,0)+VLOOKUP($D182,$B$51:$CB$105,52,0)+VLOOKUP($D182,$B$112:$BZ$147,52,0)</f>
        <v>95872</v>
      </c>
      <c r="BB182" s="131">
        <f t="shared" si="9"/>
        <v>95795</v>
      </c>
      <c r="BC182" s="46">
        <f t="shared" si="10"/>
        <v>95770</v>
      </c>
      <c r="BD182" s="46">
        <f t="shared" si="11"/>
        <v>95860</v>
      </c>
      <c r="BE182" s="46">
        <f t="shared" si="20"/>
        <v>95916</v>
      </c>
      <c r="BF182" s="46">
        <f t="shared" si="12"/>
        <v>96077</v>
      </c>
      <c r="BG182" s="46">
        <f t="shared" si="13"/>
        <v>96761</v>
      </c>
      <c r="BH182" s="336">
        <f t="shared" si="14"/>
        <v>107557</v>
      </c>
      <c r="BI182" s="336">
        <f t="shared" si="15"/>
        <v>107315</v>
      </c>
      <c r="BJ182" s="336">
        <f t="shared" si="16"/>
        <v>107120</v>
      </c>
      <c r="BK182" s="336">
        <f t="shared" si="17"/>
        <v>106971</v>
      </c>
      <c r="BL182" s="336">
        <f t="shared" si="18"/>
        <v>106406</v>
      </c>
      <c r="BM182" s="336">
        <f t="shared" si="18"/>
        <v>106406</v>
      </c>
      <c r="BN182" s="337">
        <f t="shared" si="18"/>
        <v>106406</v>
      </c>
      <c r="BO182" s="337">
        <f t="shared" si="19"/>
        <v>116230</v>
      </c>
      <c r="BP182" s="337">
        <f>VLOOKUP($D182,$B$2:$BP$44,67,0)+VLOOKUP($D182,$B$51:$BP$107,67,0)+VLOOKUP($D182,$B$112:$BP$148,67,0)</f>
        <v>115985</v>
      </c>
      <c r="BQ182" s="159" t="e">
        <f>BQ113+BQ60+#REF!</f>
        <v>#REF!</v>
      </c>
      <c r="BR182" s="159" t="e">
        <f>BR113+BR60+#REF!</f>
        <v>#REF!</v>
      </c>
      <c r="BS182" s="159">
        <f>VLOOKUP(D182,Tableau1[[FACEBOOK]:[sept-22]],70,0)+VLOOKUP(Tableau12[[#This Row],[Epreuves]],$B$52:$BT$105,70,0)+VLOOKUP(Tableau12[[#This Row],[Epreuves]],Tableau7[[INSTAGRAM]:[sept-22]],70,0)</f>
        <v>120656</v>
      </c>
      <c r="BT182" s="159">
        <f>VLOOKUP(D182,Tableau1[[FACEBOOK]:[sept-22]],71,0)+VLOOKUP(Tableau12[[#This Row],[Epreuves]],$B$52:$BT$105,71,0)+VLOOKUP(Tableau12[[#This Row],[Epreuves]],Tableau7[[INSTAGRAM]:[sept-22]],71,0)</f>
        <v>127259</v>
      </c>
      <c r="BU182" s="159">
        <f>VLOOKUP(D182,Tableau1[[FACEBOOK]:[nov-22]],72,0)+VLOOKUP(Tableau12[[#This Row],[Epreuves]],B40:BU96,72,0)+VLOOKUP(Tableau12[[#This Row],[Epreuves]],Tableau7[[INSTAGRAM]:[nov-22]],72,0)</f>
        <v>126862</v>
      </c>
      <c r="BV182" s="159">
        <f>BV17+BV72+BV130</f>
        <v>134500</v>
      </c>
      <c r="BW182" s="159">
        <f>BW17+BW72+BW130</f>
        <v>142388</v>
      </c>
      <c r="BX182" s="159">
        <f>BX17+BX72+BX130</f>
        <v>155264</v>
      </c>
      <c r="BZ182" s="563">
        <f>(Tableau12[[#This Row],[avr-25]]-Tableau12[[#This Row],[avr-24]])/Tableau12[[#This Row],[avr-24]]</f>
        <v>9.0428968733320222E-2</v>
      </c>
      <c r="CA182" s="547">
        <f>Tableau12[[#This Row],[avr-25]]-Tableau12[[#This Row],[avr-24]]</f>
        <v>12876</v>
      </c>
      <c r="CB182" s="579"/>
    </row>
    <row r="183" spans="3:103" x14ac:dyDescent="0.3">
      <c r="C183" s="9" t="s">
        <v>394</v>
      </c>
      <c r="D183" s="132" t="s">
        <v>30</v>
      </c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46" t="e">
        <f>VLOOKUP(D183,$B$1:$CB$44,46,0)+VLOOKUP(D183,$B$49:$BF$105,46,0)+VLOOKUP(D183,$B$109:$BD$139,46,0)</f>
        <v>#N/A</v>
      </c>
      <c r="AV183" s="46">
        <f>VLOOKUP($D$181,$B$1:$CB$44,47,0)+VLOOKUP($D$181,$B$49:$BF$105,47,0)+VLOOKUP($D$181,$B$109:$BD$139,47,0)</f>
        <v>0</v>
      </c>
      <c r="AW183" s="46" t="e">
        <f>VLOOKUP($D183,$B$2:$CB$44,48,0)+VLOOKUP($D183,$B$51:$CB$105,48,0)+VLOOKUP($D183,$B$112:$BZ$140,48,0)</f>
        <v>#N/A</v>
      </c>
      <c r="AX183" s="46">
        <f>VLOOKUP($D183,$B$2:$CB$44,49,0)+VLOOKUP($D183,$B$51:$CB$105,49,0)+VLOOKUP($D183,$B$112:$BZ$147,49,0)</f>
        <v>83398</v>
      </c>
      <c r="AY183" s="46">
        <f>VLOOKUP($D183,$B$2:$CB$44,50,0)+VLOOKUP($D183,$B$51:$CB$105,50,0)+VLOOKUP($D183,$B$112:$BZ$147,50,0)</f>
        <v>84139</v>
      </c>
      <c r="AZ183" s="46">
        <f>VLOOKUP($D183,$B$2:$CB$44,51,0)+VLOOKUP($D183,$B$51:$CB$105,51,0)+VLOOKUP($D183,$B$112:$BZ$147,51,0)</f>
        <v>84072</v>
      </c>
      <c r="BA183" s="46">
        <f>VLOOKUP($D183,$B$2:$CB$44,52,0)+VLOOKUP($D183,$B$51:$CB$105,52,0)+VLOOKUP($D183,$B$112:$BZ$147,52,0)</f>
        <v>83989</v>
      </c>
      <c r="BB183" s="46">
        <f t="shared" si="9"/>
        <v>83914</v>
      </c>
      <c r="BC183" s="46">
        <f t="shared" si="10"/>
        <v>83890</v>
      </c>
      <c r="BD183" s="46">
        <f t="shared" si="11"/>
        <v>83882</v>
      </c>
      <c r="BE183" s="46" t="e">
        <f t="shared" si="20"/>
        <v>#N/A</v>
      </c>
      <c r="BF183" s="46" t="e">
        <f t="shared" si="12"/>
        <v>#N/A</v>
      </c>
      <c r="BG183" s="46">
        <f t="shared" si="13"/>
        <v>84282</v>
      </c>
      <c r="BH183" s="336">
        <f t="shared" si="14"/>
        <v>114610</v>
      </c>
      <c r="BI183" s="336">
        <f t="shared" si="15"/>
        <v>114326</v>
      </c>
      <c r="BJ183" s="336">
        <f t="shared" si="16"/>
        <v>114041</v>
      </c>
      <c r="BK183" s="336">
        <f t="shared" si="17"/>
        <v>114021</v>
      </c>
      <c r="BL183" s="336">
        <f t="shared" si="18"/>
        <v>115612</v>
      </c>
      <c r="BM183" s="336">
        <f t="shared" si="18"/>
        <v>115612</v>
      </c>
      <c r="BN183" s="337">
        <f t="shared" si="18"/>
        <v>115612</v>
      </c>
      <c r="BO183" s="337">
        <f t="shared" si="19"/>
        <v>115085</v>
      </c>
      <c r="BP183" s="159">
        <f>BP142+BP88+BP18</f>
        <v>87130</v>
      </c>
      <c r="BQ183" s="159">
        <f>BQ142+BQ88+BQ18</f>
        <v>94465</v>
      </c>
      <c r="BR183" s="159">
        <f>BR142+BR88+BR18</f>
        <v>95713</v>
      </c>
      <c r="BS183" s="159">
        <f>VLOOKUP(D183,Tableau1[[FACEBOOK]:[sept-22]],70,0)+VLOOKUP(Tableau12[[#This Row],[Epreuves]],$B$52:$BT$105,70,0)+VLOOKUP(Tableau12[[#This Row],[Epreuves]],Tableau7[[INSTAGRAM]:[sept-22]],70,0)</f>
        <v>116056</v>
      </c>
      <c r="BT183" s="159">
        <f>VLOOKUP(D183,Tableau1[[FACEBOOK]:[sept-22]],71,0)+VLOOKUP(Tableau12[[#This Row],[Epreuves]],$B$52:$BT$105,71,0)+VLOOKUP(Tableau12[[#This Row],[Epreuves]],Tableau7[[INSTAGRAM]:[sept-22]],71,0)</f>
        <v>126041</v>
      </c>
      <c r="BU183" s="159">
        <f>VLOOKUP(D183,Tableau1[[FACEBOOK]:[nov-22]],72,0)+VLOOKUP(Tableau12[[#This Row],[Epreuves]],B41:BU97,72,0)+VLOOKUP(Tableau12[[#This Row],[Epreuves]],Tableau7[[INSTAGRAM]:[nov-22]],72,0)</f>
        <v>125740</v>
      </c>
      <c r="BV183" s="159">
        <f>BV13+BV88+BV143</f>
        <v>126750</v>
      </c>
      <c r="BW183" s="159">
        <f>BW13+BW88+BW143</f>
        <v>127411</v>
      </c>
      <c r="BX183" s="159">
        <f>BX13+BX88+BX143</f>
        <v>126369</v>
      </c>
      <c r="BZ183" s="563">
        <f>(Tableau12[[#This Row],[avr-25]]-Tableau12[[#This Row],[avr-24]])/Tableau12[[#This Row],[avr-24]]</f>
        <v>-8.1782577642432758E-3</v>
      </c>
      <c r="CA183" s="547">
        <f>Tableau12[[#This Row],[avr-25]]-Tableau12[[#This Row],[avr-24]]</f>
        <v>-1042</v>
      </c>
    </row>
    <row r="184" spans="3:103" x14ac:dyDescent="0.3">
      <c r="D184" s="133" t="s">
        <v>165</v>
      </c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1">
        <f>VLOOKUP(D184,$B$1:$CB$44,46,0)+VLOOKUP(D184,$B$49:$BF$105,46,0)+VLOOKUP(D184,$B$109:$BD$139,46,0)</f>
        <v>58819</v>
      </c>
      <c r="AV184" s="131" t="e">
        <f>VLOOKUP($D$189,$B$1:$CB$44,47,0)+VLOOKUP($D$189,$B$49:$BF$105,47,0)+VLOOKUP($D$189,$B$109:$BD$139,47,0)</f>
        <v>#N/A</v>
      </c>
      <c r="AW184" s="131">
        <f>VLOOKUP($D184,$B$1:$CB$44,48,0)+VLOOKUP($D184,$B$49:$BF$105,48,0)+VLOOKUP($D184,$B$109:$BD$139,48,0)</f>
        <v>58406</v>
      </c>
      <c r="AX184" s="131">
        <f>VLOOKUP($D184,$B$2:$CB$44,49,0)+VLOOKUP($D184,$B$51:$CB$105,49,0)+VLOOKUP($D184,$B$112:$BZ$147,49,0)</f>
        <v>58264</v>
      </c>
      <c r="AY184" s="131">
        <f>VLOOKUP($D184,$B$2:$CB$44,50,0)+VLOOKUP($D184,$B$51:$CB$105,50,0)+VLOOKUP($D184,$B$112:$BZ$147,50,0)</f>
        <v>58151</v>
      </c>
      <c r="AZ184" s="131">
        <f>VLOOKUP($D184,$B$2:$CB$44,51,0)+VLOOKUP($D184,$B$51:$CB$105,51,0)+VLOOKUP($D184,$B$112:$BZ$147,51,0)</f>
        <v>58203</v>
      </c>
      <c r="BA184" s="131">
        <f>VLOOKUP($D184,$B$2:$CB$44,52,0)+VLOOKUP($D184,$B$51:$CB$105,52,0)+VLOOKUP($D184,$B$112:$BZ$147,52,0)</f>
        <v>58478</v>
      </c>
      <c r="BB184" s="131">
        <f t="shared" si="9"/>
        <v>76050</v>
      </c>
      <c r="BC184" s="46">
        <f t="shared" si="10"/>
        <v>77600</v>
      </c>
      <c r="BD184" s="46">
        <f t="shared" si="11"/>
        <v>77378</v>
      </c>
      <c r="BE184" s="46">
        <f>VLOOKUP($D184,$B$2:$CB$44,57,0)+VLOOKUP($D184,$B$110:$BM$141,57,0)</f>
        <v>77010</v>
      </c>
      <c r="BF184" s="46">
        <f>VLOOKUP($D184,$B$2:$CB$44,56,0)+VLOOKUP($D184,$B$110:$BM$141,56,0)</f>
        <v>76309</v>
      </c>
      <c r="BG184" s="46">
        <f t="shared" si="13"/>
        <v>79729</v>
      </c>
      <c r="BH184" s="336">
        <f t="shared" si="14"/>
        <v>76670</v>
      </c>
      <c r="BI184" s="336">
        <f t="shared" si="15"/>
        <v>76455</v>
      </c>
      <c r="BJ184" s="336">
        <f t="shared" si="16"/>
        <v>76304</v>
      </c>
      <c r="BK184" s="336">
        <f t="shared" si="17"/>
        <v>76226</v>
      </c>
      <c r="BL184" s="46">
        <f>VLOOKUP($D184,$B$2:$BM$44,63,0)+VLOOKUP($D184,$B$112:$BM$148,63,0)</f>
        <v>85064</v>
      </c>
      <c r="BM184" s="46">
        <f>VLOOKUP($D184,$B$2:$BM$44,63,0)+VLOOKUP($D184,$B$112:$BM$148,63,0)</f>
        <v>85064</v>
      </c>
      <c r="BN184" s="159">
        <f>VLOOKUP($D184,$B$2:$BM$44,63,0)+VLOOKUP($D184,$B$112:$BM$148,63,0)</f>
        <v>85064</v>
      </c>
      <c r="BO184" s="337">
        <f t="shared" si="19"/>
        <v>84761</v>
      </c>
      <c r="BP184" s="159">
        <f>BP30+BP139</f>
        <v>29439</v>
      </c>
      <c r="BQ184" s="159">
        <f>BQ30+BQ139</f>
        <v>36262</v>
      </c>
      <c r="BR184" s="159">
        <f>BR30+BR139</f>
        <v>24555</v>
      </c>
      <c r="BS184" s="159">
        <f>VLOOKUP(D184,Tableau1[[FACEBOOK]:[sept-22]],70,0)+VLOOKUP(Tableau12[[#This Row],[Epreuves]],$B$52:$BT$105,70,0)+VLOOKUP(Tableau12[[#This Row],[Epreuves]],Tableau7[[INSTAGRAM]:[sept-22]],70,0)</f>
        <v>114369</v>
      </c>
      <c r="BT184" s="159">
        <f>VLOOKUP(D184,Tableau1[[FACEBOOK]:[sept-22]],71,0)+VLOOKUP(Tableau12[[#This Row],[Epreuves]],$B$52:$BT$105,71,0)+VLOOKUP(Tableau12[[#This Row],[Epreuves]],Tableau7[[INSTAGRAM]:[sept-22]],71,0)</f>
        <v>116425</v>
      </c>
      <c r="BU184" s="159">
        <f>VLOOKUP(D184,Tableau1[[FACEBOOK]:[nov-22]],72,0)+VLOOKUP(Tableau12[[#This Row],[Epreuves]],B42:BU98,72,0)+VLOOKUP(Tableau12[[#This Row],[Epreuves]],Tableau7[[INSTAGRAM]:[nov-22]],72,0)</f>
        <v>116262</v>
      </c>
      <c r="BV184" s="159">
        <f>BV18+BV89+BV126+BV160</f>
        <v>121253</v>
      </c>
      <c r="BW184" s="159">
        <f>BW18+BW89+BW126+BW160</f>
        <v>132728</v>
      </c>
      <c r="BX184" s="159">
        <f>BX18+BX89+BX126+BX160</f>
        <v>132802</v>
      </c>
      <c r="BZ184" s="563">
        <f>(Tableau12[[#This Row],[avr-25]]-Tableau12[[#This Row],[avr-24]])/Tableau12[[#This Row],[avr-24]]</f>
        <v>5.5753119160990904E-4</v>
      </c>
      <c r="CA184" s="547">
        <f>Tableau12[[#This Row],[avr-25]]-Tableau12[[#This Row],[avr-24]]</f>
        <v>74</v>
      </c>
    </row>
    <row r="185" spans="3:103" x14ac:dyDescent="0.3">
      <c r="D185" s="147" t="s">
        <v>277</v>
      </c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59"/>
      <c r="AV185" s="159"/>
      <c r="AW185" s="159" t="e">
        <f>VLOOKUP(E185,$B$1:$CB$44,47,0)+VLOOKUP(E185,$B$49:$BF$105,47,0)+VLOOKUP(E185,$B$109:$BD$139,47,0)</f>
        <v>#N/A</v>
      </c>
      <c r="AX185" s="159" t="e">
        <f>VLOOKUP($D185,$B$2:$CB$44,49,0)+VLOOKUP($D185,$B$51:$CB$105,49,0)+VLOOKUP($D185,$B$112:$BZ$147,49,0)</f>
        <v>#N/A</v>
      </c>
      <c r="AY185" s="159"/>
      <c r="AZ185" s="159" t="e">
        <f>VLOOKUP($D185,$B$2:$CB$44,51,0)+VLOOKUP($D185,$B$51:$CB$105,51,0)+VLOOKUP($D185,$B$112:$BZ$147,51,0)</f>
        <v>#N/A</v>
      </c>
      <c r="BA185" s="159"/>
      <c r="BB185" s="160"/>
      <c r="BC185" s="131"/>
      <c r="BD185" s="46" t="e">
        <f t="shared" si="11"/>
        <v>#N/A</v>
      </c>
      <c r="BE185" s="46" t="e">
        <f>VLOOKUP($D185,$B$2:$CB$44,56,0)+VLOOKUP($D185,$B$49:$BM$82,56,0)+VLOOKUP($D185,$B$110:$BM$141,56,0)</f>
        <v>#N/A</v>
      </c>
      <c r="BF185" s="46" t="e">
        <f>VLOOKUP($D185,$B$2:$BM$46,57,0)+VLOOKUP($D185,$B$51:$BN$85,57,0)+VLOOKUP($D185,$B$112:$BN$148,57,0)</f>
        <v>#N/A</v>
      </c>
      <c r="BG185" s="46" t="e">
        <f>VLOOKUP($D185,$B$2:$BM$46,58,0)+VLOOKUP($D185,$B$51:$BM$93,58,0)+VLOOKUP($D185,$B$112:$BN$148,58,0)</f>
        <v>#N/A</v>
      </c>
      <c r="BH185" s="336" t="e">
        <f>VLOOKUP($D185,$B$2:$BM$46,59,0)+VLOOKUP($D185,$B$51:$BM$107,59,0)+VLOOKUP($D185,$B$112:$BM$151,59,0)</f>
        <v>#N/A</v>
      </c>
      <c r="BI185" s="336" t="e">
        <f>VLOOKUP($D185,$B$2:$BM$46,60,0)+VLOOKUP($D185,$B$51:$BM$107,60,0)+VLOOKUP($D185,$B$112:$BM$151,60,0)</f>
        <v>#N/A</v>
      </c>
      <c r="BJ185" s="336" t="e">
        <f>VLOOKUP($D185,$B$2:$BM$46,61,0)+VLOOKUP($D185,$B$51:$BM$107,61,0)+VLOOKUP($D185,$B$112:$BM$151,61,0)</f>
        <v>#N/A</v>
      </c>
      <c r="BK185" s="336" t="e">
        <f>VLOOKUP($D185,$B$2:$BM$46,62,0)+VLOOKUP($D185,$B$51:$BM$107,62,0)+VLOOKUP($D185,$B$112:$BM$151,62,0)</f>
        <v>#N/A</v>
      </c>
      <c r="BL185" s="337" t="e">
        <f>VLOOKUP($D185,$B$2:$BM$46,63,0)+VLOOKUP($D185,$B$51:$BM$107,63,0)+VLOOKUP($D185,$B$112:$BM$151,63,0)</f>
        <v>#N/A</v>
      </c>
      <c r="BM185" s="312"/>
      <c r="BN185" s="159"/>
      <c r="BO185" s="159"/>
      <c r="BP185" s="159"/>
      <c r="BQ185" s="159"/>
      <c r="BR185" s="159"/>
      <c r="BS185" s="159" t="e">
        <f>VLOOKUP(D185,Tableau1[[FACEBOOK]:[sept-22]],70,0)+VLOOKUP(Tableau12[[#This Row],[Epreuves]],$B$52:$BT$105,70,0)+VLOOKUP(Tableau12[[#This Row],[Epreuves]],Tableau7[[INSTAGRAM]:[sept-22]],70,0)</f>
        <v>#N/A</v>
      </c>
      <c r="BT185" s="159" t="e">
        <f>VLOOKUP(D185,Tableau1[[FACEBOOK]:[sept-22]],71,0)+VLOOKUP(Tableau12[[#This Row],[Epreuves]],$B$52:$BT$105,71,0)+VLOOKUP(Tableau12[[#This Row],[Epreuves]],Tableau7[[INSTAGRAM]:[sept-22]],71,0)</f>
        <v>#N/A</v>
      </c>
      <c r="BU185" s="159" t="e">
        <f>VLOOKUP(D185,Tableau1[[FACEBOOK]:[nov-22]],72,0)+VLOOKUP(Tableau12[[#This Row],[Epreuves]],B43:BU99,72,0)+VLOOKUP(Tableau12[[#This Row],[Epreuves]],Tableau7[[INSTAGRAM]:[nov-22]],72,0)</f>
        <v>#N/A</v>
      </c>
      <c r="BV185" s="159">
        <f>BV15+BV99+BV146</f>
        <v>105663</v>
      </c>
      <c r="BW185" s="159">
        <f>BW15+BW99+BW146</f>
        <v>0</v>
      </c>
      <c r="BX185" s="159">
        <f>BX15+BX99+BX146</f>
        <v>110393</v>
      </c>
      <c r="BZ185" s="563" t="e">
        <f>(Tableau12[[#This Row],[avr-25]]-Tableau12[[#This Row],[avr-24]])/Tableau12[[#This Row],[avr-24]]</f>
        <v>#DIV/0!</v>
      </c>
      <c r="CA185" s="547">
        <f>Tableau12[[#This Row],[avr-25]]-Tableau12[[#This Row],[avr-24]]</f>
        <v>110393</v>
      </c>
    </row>
    <row r="186" spans="3:103" x14ac:dyDescent="0.3">
      <c r="C186" s="9" t="s">
        <v>394</v>
      </c>
      <c r="D186" s="127" t="s">
        <v>25</v>
      </c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46">
        <f>VLOOKUP(D186,$B$1:$CB$44,46,0)+VLOOKUP(D186,$B$49:$BF$105,46,0)+AU139</f>
        <v>68223</v>
      </c>
      <c r="AV186" s="46">
        <f>VLOOKUP($D$188,$B$1:$CB$44,47,0)+VLOOKUP($D$188,$B$49:$BF$105,47,0)+AV139</f>
        <v>55369</v>
      </c>
      <c r="AW186" s="46">
        <f>VLOOKUP($D186,$B$1:$CB$44,48,0)+VLOOKUP($D186,$B$49:$BF$105,48,0)+AW139</f>
        <v>69762</v>
      </c>
      <c r="AX186" s="46">
        <f>VLOOKUP($D186,$B$1:$CB$44,49,0)+VLOOKUP($D186,$B$49:$BF$105,49,0)+AX139</f>
        <v>69793</v>
      </c>
      <c r="AY186" s="46">
        <f>VLOOKUP($D186,$B$1:$CB$44,50,0)+VLOOKUP($D186,$B$49:$BF$105,50,0)+AY139</f>
        <v>69723</v>
      </c>
      <c r="AZ186" s="46">
        <f>VLOOKUP($D186,$B$1:$CB$44,51,0)+VLOOKUP($D186,$B$49:$BF$105,51,0)+AZ139</f>
        <v>69660</v>
      </c>
      <c r="BA186" s="46">
        <f>VLOOKUP($D186,$B$1:$CB$44,52,0)+VLOOKUP($D186,$B$49:$BF$105,52,0)+BA139</f>
        <v>69909</v>
      </c>
      <c r="BB186" s="46">
        <f>VLOOKUP($D186,$B$1:$CB$44,53,0)+VLOOKUP($D186,$B$49:$BF$105,53,0)+BB139</f>
        <v>70143</v>
      </c>
      <c r="BC186" s="46">
        <f>VLOOKUP($D186,$B$2:$CB$44,54,0)+VLOOKUP($D186,$B$51:$CB$105,54,0)+BC139</f>
        <v>70810</v>
      </c>
      <c r="BD186" s="46">
        <f>VLOOKUP($D186,$B$2:$CB$44,55,0)+VLOOKUP($D186,$B$51:$CB$105,55,0)</f>
        <v>61992</v>
      </c>
      <c r="BE186" s="46">
        <f>VLOOKUP($D186,$B$2:$CB$44,57,0)+VLOOKUP($D186,$B$49:$BM$82,57,0)</f>
        <v>62263</v>
      </c>
      <c r="BF186" s="46">
        <f>VLOOKUP($D186,$B$2:$CB$44,56,0)+VLOOKUP($D186,$B$49:$BM$82,56,0)</f>
        <v>61820</v>
      </c>
      <c r="BG186" s="46">
        <f>VLOOKUP($D186,$B$2:$BM$44,58,0)+VLOOKUP($D186,$B$51:$BM$93,58,0)</f>
        <v>62407</v>
      </c>
      <c r="BH186" s="336">
        <f>VLOOKUP($D186,$B$2:$BM$44,59,0)+VLOOKUP($D186,$B$51:$BM$107,59,0)+VLOOKUP($D186,$B$112:$BM$148,59,0)</f>
        <v>67667</v>
      </c>
      <c r="BI186" s="336">
        <f>VLOOKUP($D186,$B$2:$BM$44,60,0)+VLOOKUP($D186,$B$51:$BM$107,60,0)+VLOOKUP($D186,$B$112:$BM$148,60,0)</f>
        <v>67621</v>
      </c>
      <c r="BJ186" s="336">
        <f>VLOOKUP($D186,$B$2:$BM$44,61,0)+VLOOKUP($D186,$B$51:$BM$107,61,0)+VLOOKUP($D186,$B$112:$BM$148,61,0)</f>
        <v>67603</v>
      </c>
      <c r="BK186" s="336">
        <f>VLOOKUP($D186,$B$2:$BM$44,62,0)+VLOOKUP($D186,$B$51:$BM$107,62,0)+VLOOKUP($D186,$B$112:$BM$148,62,0)</f>
        <v>67553</v>
      </c>
      <c r="BL186" s="336">
        <f t="shared" ref="BL186:BN188" si="21">VLOOKUP($D186,$B$2:$BM$44,63,0)+VLOOKUP($D186,$B$51:$BM$107,63,0)+VLOOKUP($D186,$B$112:$BM$148,63,0)</f>
        <v>67975</v>
      </c>
      <c r="BM186" s="336">
        <f t="shared" si="21"/>
        <v>67975</v>
      </c>
      <c r="BN186" s="337">
        <f t="shared" si="21"/>
        <v>67975</v>
      </c>
      <c r="BO186" s="337">
        <f>VLOOKUP($D186,$B$2:$BO$44,66,0)+VLOOKUP($D186,$B$51:$BO$107,66,0)+VLOOKUP($D186,$B$112:$BO$148,66,0)</f>
        <v>70861</v>
      </c>
      <c r="BP186" s="159">
        <f>BP68+BP24</f>
        <v>70484</v>
      </c>
      <c r="BQ186" s="159">
        <f>BQ68+BQ24</f>
        <v>72030</v>
      </c>
      <c r="BR186" s="159">
        <f>BR68+BR24+BR141</f>
        <v>71547</v>
      </c>
      <c r="BS186" s="159">
        <f>VLOOKUP(D186,Tableau1[[FACEBOOK]:[sept-22]],70,0)+VLOOKUP(Tableau12[[#This Row],[Epreuves]],$B$52:$BT$105,70,0)+VLOOKUP(Tableau12[[#This Row],[Epreuves]],Tableau7[[INSTAGRAM]:[sept-22]],70,0)</f>
        <v>92979</v>
      </c>
      <c r="BT186" s="159">
        <f>VLOOKUP(D186,Tableau1[[FACEBOOK]:[sept-22]],71,0)+VLOOKUP(Tableau12[[#This Row],[Epreuves]],$B$52:$BT$105,71,0)+VLOOKUP(Tableau12[[#This Row],[Epreuves]],Tableau7[[INSTAGRAM]:[sept-22]],71,0)</f>
        <v>96931</v>
      </c>
      <c r="BU186" s="159">
        <f>VLOOKUP(D186,Tableau1[[FACEBOOK]:[nov-22]],72,0)+VLOOKUP(Tableau12[[#This Row],[Epreuves]],B44:BU100,72,0)+VLOOKUP(Tableau12[[#This Row],[Epreuves]],Tableau7[[INSTAGRAM]:[nov-22]],72,0)</f>
        <v>97101</v>
      </c>
      <c r="BV186" s="159">
        <f>BV20+BV67+BV135</f>
        <v>111057</v>
      </c>
      <c r="BW186" s="159">
        <f>BW20+BW67+BW135</f>
        <v>123149</v>
      </c>
      <c r="BX186" s="159">
        <f>BX20+BX67+BX135</f>
        <v>126044</v>
      </c>
      <c r="BZ186" s="563">
        <f>(Tableau12[[#This Row],[avr-25]]-Tableau12[[#This Row],[avr-24]])/Tableau12[[#This Row],[avr-24]]</f>
        <v>2.3508108064214894E-2</v>
      </c>
      <c r="CA186" s="547">
        <f>Tableau12[[#This Row],[avr-25]]-Tableau12[[#This Row],[avr-24]]</f>
        <v>2895</v>
      </c>
      <c r="CB186" s="579"/>
      <c r="CP186" s="9">
        <v>2022</v>
      </c>
      <c r="CQ186" s="9">
        <v>2023</v>
      </c>
      <c r="CR186" s="9">
        <v>2024</v>
      </c>
      <c r="CV186" s="9">
        <v>2022</v>
      </c>
      <c r="CW186" s="9">
        <v>2023</v>
      </c>
      <c r="CX186" s="9">
        <v>2024</v>
      </c>
    </row>
    <row r="187" spans="3:103" x14ac:dyDescent="0.3">
      <c r="D187" s="129" t="s">
        <v>41</v>
      </c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1">
        <f>VLOOKUP(D187,$B$1:$CB$44,46,0)+VLOOKUP(D187,$B$49:$BF$105,46,0)</f>
        <v>66533</v>
      </c>
      <c r="AV187" s="131">
        <f>VLOOKUP($D$187,$B$1:$CB$44,47,0)+VLOOKUP($D$187,$B$49:$BF$105,47,0)</f>
        <v>67570</v>
      </c>
      <c r="AW187" s="131">
        <f>VLOOKUP($D187,$B$1:$CB$44,48,0)+VLOOKUP($D187,$B$49:$BF$105,48,0)</f>
        <v>67674</v>
      </c>
      <c r="AX187" s="131">
        <f>VLOOKUP($D187,$B$1:$CB$44,49,0)+VLOOKUP($D187,$B$49:$BF$105,49,0)</f>
        <v>67828</v>
      </c>
      <c r="AY187" s="131">
        <f>VLOOKUP($D187,$B$1:$CB$44,50,0)+VLOOKUP($D187,$B$49:$BF$105,50,0)</f>
        <v>67833</v>
      </c>
      <c r="AZ187" s="131">
        <f>VLOOKUP($D187,$B$1:$CB$44,51,0)+VLOOKUP($D187,$B$49:$BF$105,51,0)</f>
        <v>68015</v>
      </c>
      <c r="BA187" s="131">
        <f>VLOOKUP($D187,$B$1:$CB$44,52,0)+VLOOKUP($D187,$B$49:$BF$105,52,0)</f>
        <v>68087</v>
      </c>
      <c r="BB187" s="131">
        <f>VLOOKUP($D187,$B$1:$CB$44,53,0)+VLOOKUP($D187,$B$49:$BF$105,53,0)</f>
        <v>68841</v>
      </c>
      <c r="BC187" s="46">
        <f>VLOOKUP($D187,$B$2:$CB$44,54,0)+VLOOKUP($D187,$B$51:$CB$105,54,0)</f>
        <v>69195</v>
      </c>
      <c r="BD187" s="46">
        <f>VLOOKUP($D187,$B$2:$CB$44,55,0)+VLOOKUP($D187,$B$51:$CB$105,55,0)+VLOOKUP($D187,$B$112:$BZ$147,55,0)</f>
        <v>79545</v>
      </c>
      <c r="BE187" s="46">
        <f>VLOOKUP($D187,$B$2:$CB$44,56,0)+VLOOKUP($D187,$B$49:$BM$82,56,0)+VLOOKUP($D187,$B$110:$BM$141,56,0)</f>
        <v>79615</v>
      </c>
      <c r="BF187" s="46">
        <f>VLOOKUP($D187,$B$2:$BM$44,57,0)+VLOOKUP($D187,$B$51:$BN$85,57,0)+VLOOKUP($D187,$B$112:$BN$148,57,0)</f>
        <v>80663</v>
      </c>
      <c r="BG187" s="46">
        <f>VLOOKUP($D187,$B$2:$BM$44,58,0)+VLOOKUP($D187,$B$51:$BM$93,58,0)+VLOOKUP($D187,$B$112:$BN$148,58,0)</f>
        <v>81746</v>
      </c>
      <c r="BH187" s="336">
        <f>VLOOKUP($D187,$B$2:$BM$44,59,0)+VLOOKUP($D187,$B$51:$BM$107,59,0)+VLOOKUP($D187,$B$112:$BM$148,59,0)</f>
        <v>86480</v>
      </c>
      <c r="BI187" s="336">
        <f>VLOOKUP($D187,$B$2:$BM$44,60,0)+VLOOKUP($D187,$B$51:$BM$107,60,0)+VLOOKUP($D187,$B$112:$BM$148,60,0)</f>
        <v>86384</v>
      </c>
      <c r="BJ187" s="336">
        <f>VLOOKUP($D187,$B$2:$BM$44,61,0)+VLOOKUP($D187,$B$51:$BM$107,61,0)+VLOOKUP($D187,$B$112:$BM$148,61,0)</f>
        <v>86239</v>
      </c>
      <c r="BK187" s="336">
        <f>VLOOKUP($D187,$B$2:$BM$44,62,0)+VLOOKUP($D187,$B$51:$BM$107,62,0)+VLOOKUP($D187,$B$112:$BM$148,62,0)</f>
        <v>86111</v>
      </c>
      <c r="BL187" s="336">
        <f t="shared" si="21"/>
        <v>87228</v>
      </c>
      <c r="BM187" s="336">
        <f t="shared" si="21"/>
        <v>87228</v>
      </c>
      <c r="BN187" s="337">
        <f t="shared" si="21"/>
        <v>87228</v>
      </c>
      <c r="BO187" s="337">
        <f>VLOOKUP($D187,$B$2:$BO$44,66,0)+VLOOKUP($D187,$B$51:$BO$107,66,0)+VLOOKUP($D187,$B$112:$BO$148,66,0)</f>
        <v>87351</v>
      </c>
      <c r="BP187" s="159">
        <f>BP138+BP73+BP32</f>
        <v>45651</v>
      </c>
      <c r="BQ187" s="159">
        <f>BQ138+BQ73+BQ32</f>
        <v>54843</v>
      </c>
      <c r="BR187" s="159">
        <f>BR138+BR73+BR32</f>
        <v>54092</v>
      </c>
      <c r="BS187" s="159">
        <f>VLOOKUP(D187,Tableau1[[FACEBOOK]:[sept-22]],70,0)+VLOOKUP(Tableau12[[#This Row],[Epreuves]],$B$52:$BT$105,70,0)+VLOOKUP(Tableau12[[#This Row],[Epreuves]],Tableau7[[INSTAGRAM]:[sept-22]],70,0)</f>
        <v>89440</v>
      </c>
      <c r="BT187" s="159">
        <f>VLOOKUP(D187,Tableau1[[FACEBOOK]:[sept-22]],71,0)+VLOOKUP(Tableau12[[#This Row],[Epreuves]],$B$52:$BT$105,71,0)+VLOOKUP(Tableau12[[#This Row],[Epreuves]],Tableau7[[INSTAGRAM]:[sept-22]],71,0)</f>
        <v>96661</v>
      </c>
      <c r="BU187" s="159">
        <f>VLOOKUP(D187,Tableau1[[FACEBOOK]:[nov-22]],72,0)+VLOOKUP(Tableau12[[#This Row],[Epreuves]],B45:BU101,72,0)+VLOOKUP(Tableau12[[#This Row],[Epreuves]],Tableau7[[INSTAGRAM]:[nov-22]],72,0)</f>
        <v>97327</v>
      </c>
      <c r="BV187" s="159">
        <f>BV22+BV66+BV134</f>
        <v>100600</v>
      </c>
      <c r="BW187" s="159">
        <f>BW22+BW66+BW134</f>
        <v>101885</v>
      </c>
      <c r="BX187" s="159">
        <f>BX22+BX66+BX134</f>
        <v>104125</v>
      </c>
      <c r="BZ187" s="563">
        <f>(Tableau12[[#This Row],[avr-25]]-Tableau12[[#This Row],[avr-24]])/Tableau12[[#This Row],[avr-24]]</f>
        <v>2.1985571968395741E-2</v>
      </c>
      <c r="CA187" s="547">
        <f>Tableau12[[#This Row],[avr-25]]-Tableau12[[#This Row],[avr-24]]</f>
        <v>2240</v>
      </c>
      <c r="CB187" s="579"/>
      <c r="CO187" s="9" t="s">
        <v>37</v>
      </c>
      <c r="CP187" s="531">
        <f>BS197</f>
        <v>40177</v>
      </c>
      <c r="CQ187" s="531">
        <f>BV197</f>
        <v>59086</v>
      </c>
      <c r="CR187" s="531">
        <f>BW197</f>
        <v>78067</v>
      </c>
      <c r="CU187" s="9" t="str">
        <f>D167</f>
        <v>Tour de France</v>
      </c>
      <c r="CV187" s="531">
        <f>BS167</f>
        <v>7787078</v>
      </c>
      <c r="CW187" s="531">
        <f>BV167</f>
        <v>9257741</v>
      </c>
      <c r="CX187" s="531">
        <f>BW167</f>
        <v>9270959</v>
      </c>
      <c r="CY187" s="531">
        <f>CX187-CV187</f>
        <v>1483881</v>
      </c>
    </row>
    <row r="188" spans="3:103" x14ac:dyDescent="0.3">
      <c r="D188" s="129" t="s">
        <v>27</v>
      </c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1">
        <f>VLOOKUP(D188,$B$1:$CB$44,46,0)+VLOOKUP(D188,$B$49:$BF$105,46,0)+VLOOKUP(D188,$B$109:$BD$139,46,0)</f>
        <v>50294</v>
      </c>
      <c r="AV188" s="131">
        <f>VLOOKUP($D$190,$B$1:$CB$44,47,0)+VLOOKUP($D$190,$B$49:$BF$105,47,0)+VLOOKUP($D$190,$B$109:$BD$139,47,0)</f>
        <v>0</v>
      </c>
      <c r="AW188" s="131">
        <f>VLOOKUP($D188,$B$1:$CB$44,48,0)+VLOOKUP($D188,$B$49:$BF$105,48,0)+VLOOKUP($D188,$B$109:$BD$139,48,0)</f>
        <v>50095</v>
      </c>
      <c r="AX188" s="131">
        <f>VLOOKUP($D188,$B$2:$CB$44,49,0)+VLOOKUP($D188,$B$51:$CB$105,49,0)+VLOOKUP($D188,$B$112:$BZ$147,49,0)</f>
        <v>50035</v>
      </c>
      <c r="AY188" s="131">
        <f>VLOOKUP($D188,$B$2:$CB$44,50,0)+VLOOKUP($D188,$B$51:$CB$105,50,0)+VLOOKUP($D188,$B$112:$BZ$147,50,0)</f>
        <v>50072</v>
      </c>
      <c r="AZ188" s="131">
        <f>VLOOKUP($D188,$B$2:$CB$44,51,0)+VLOOKUP($D188,$B$51:$CB$105,51,0)+VLOOKUP($D188,$B$112:$BZ$147,51,0)</f>
        <v>50158</v>
      </c>
      <c r="BA188" s="131">
        <f>VLOOKUP($D188,$B$2:$CB$44,52,0)+VLOOKUP($D188,$B$51:$CB$105,52,0)+VLOOKUP($D188,$B$112:$BZ$147,52,0)</f>
        <v>50223</v>
      </c>
      <c r="BB188" s="131">
        <f>VLOOKUP($D188,$B$2:$CB$44,53,0)+VLOOKUP($D188,$B$51:$CB$105,53,0)+VLOOKUP($D188,$B$112:$BZ$147,53,0)</f>
        <v>50396</v>
      </c>
      <c r="BC188" s="46">
        <f>VLOOKUP($D188,$B$2:$CB$44,54,0)+VLOOKUP($D188,$B$51:$CB$105,54,0)+VLOOKUP($D188,$B$112:$BZ$147,54,0)</f>
        <v>50550</v>
      </c>
      <c r="BD188" s="46">
        <f>VLOOKUP($D188,$B$2:$CB$44,55,0)+VLOOKUP($D188,$B$51:$CB$105,55,0)+VLOOKUP($D188,$B$112:$BZ$147,55,0)</f>
        <v>50803</v>
      </c>
      <c r="BE188" s="46">
        <f>VLOOKUP($D188,$B$2:$CB$44,56,0)+VLOOKUP($D188,$B$49:$BM$82,56,0)+VLOOKUP($D188,$B$110:$BM$141,56,0)</f>
        <v>51648</v>
      </c>
      <c r="BF188" s="46">
        <f>VLOOKUP($D188,$B$2:$BM$44,57,0)+VLOOKUP($D188,$B$51:$BN$85,57,0)+VLOOKUP($D188,$B$112:$BN$148,57,0)</f>
        <v>62067</v>
      </c>
      <c r="BG188" s="46">
        <f>VLOOKUP($D188,$B$2:$BM$44,58,0)+VLOOKUP($D188,$B$51:$BM$93,58,0)+VLOOKUP($D188,$B$112:$BN$148,58,0)</f>
        <v>62422</v>
      </c>
      <c r="BH188" s="336">
        <f>VLOOKUP($D188,$B$2:$BM$44,59,0)+VLOOKUP($D188,$B$51:$BM$107,59,0)+VLOOKUP($D188,$B$112:$BM$148,59,0)</f>
        <v>62505</v>
      </c>
      <c r="BI188" s="336">
        <f>VLOOKUP($D188,$B$2:$BM$44,60,0)+VLOOKUP($D188,$B$51:$BM$107,60,0)+VLOOKUP($D188,$B$112:$BM$148,60,0)</f>
        <v>62382</v>
      </c>
      <c r="BJ188" s="336">
        <f>VLOOKUP($D188,$B$2:$BM$44,61,0)+VLOOKUP($D188,$B$51:$BM$107,61,0)+VLOOKUP($D188,$B$112:$BM$148,61,0)</f>
        <v>62320</v>
      </c>
      <c r="BK188" s="336">
        <f>VLOOKUP($D188,$B$2:$BM$44,62,0)+VLOOKUP($D188,$B$51:$BM$107,62,0)+VLOOKUP($D188,$B$112:$BM$148,62,0)</f>
        <v>62296</v>
      </c>
      <c r="BL188" s="336">
        <f t="shared" si="21"/>
        <v>66232</v>
      </c>
      <c r="BM188" s="336">
        <f t="shared" si="21"/>
        <v>66232</v>
      </c>
      <c r="BN188" s="337">
        <f t="shared" si="21"/>
        <v>66232</v>
      </c>
      <c r="BO188" s="337">
        <f>VLOOKUP($D188,$B$2:$BO$44,66,0)+VLOOKUP($D188,$B$51:$BO$107,66,0)+VLOOKUP($D188,$B$112:$BO$148,66,0)</f>
        <v>63784</v>
      </c>
      <c r="BP188" s="159">
        <f>BP150+BP88+BP45</f>
        <v>15443</v>
      </c>
      <c r="BQ188" s="159">
        <f>BQ150+BQ88+BQ45</f>
        <v>16252</v>
      </c>
      <c r="BR188" s="159">
        <f>BR150+BR88+BR45</f>
        <v>11945</v>
      </c>
      <c r="BS188" s="159">
        <f>VLOOKUP(D188,Tableau1[[FACEBOOK]:[sept-22]],70,0)+VLOOKUP(Tableau12[[#This Row],[Epreuves]],$B$52:$BT$105,70,0)+VLOOKUP(Tableau12[[#This Row],[Epreuves]],Tableau7[[INSTAGRAM]:[sept-22]],70,0)</f>
        <v>80353</v>
      </c>
      <c r="BT188" s="159">
        <f>VLOOKUP(D188,Tableau1[[FACEBOOK]:[sept-22]],71,0)+VLOOKUP(Tableau12[[#This Row],[Epreuves]],$B$52:$BT$105,71,0)+VLOOKUP(Tableau12[[#This Row],[Epreuves]],Tableau7[[INSTAGRAM]:[sept-22]],71,0)</f>
        <v>92233</v>
      </c>
      <c r="BU188" s="159">
        <f>VLOOKUP(D188,Tableau1[[FACEBOOK]:[nov-22]],72,0)+VLOOKUP(Tableau12[[#This Row],[Epreuves]],B46:BU102,72,0)+VLOOKUP(Tableau12[[#This Row],[Epreuves]],Tableau7[[INSTAGRAM]:[nov-22]],72,0)</f>
        <v>90950</v>
      </c>
      <c r="BV188" s="159">
        <f>BV26+BV69+BV127</f>
        <v>109700</v>
      </c>
      <c r="BW188" s="159">
        <f>BW26+BW69+BW127</f>
        <v>109037</v>
      </c>
      <c r="BX188" s="159">
        <f>BX26+BX69+BX127</f>
        <v>121181</v>
      </c>
      <c r="BZ188" s="563">
        <f>(Tableau12[[#This Row],[avr-25]]-Tableau12[[#This Row],[avr-24]])/Tableau12[[#This Row],[avr-24]]</f>
        <v>0.11137503783119491</v>
      </c>
      <c r="CA188" s="547">
        <f>Tableau12[[#This Row],[avr-25]]-Tableau12[[#This Row],[avr-24]]</f>
        <v>12144</v>
      </c>
      <c r="CB188" s="579"/>
      <c r="CO188" s="9" t="s">
        <v>393</v>
      </c>
      <c r="CP188" s="531">
        <f>BS178</f>
        <v>180283</v>
      </c>
      <c r="CQ188" s="531">
        <f>BV178</f>
        <v>194207</v>
      </c>
      <c r="CR188" s="531">
        <f>BW178</f>
        <v>227001</v>
      </c>
      <c r="CU188" s="9" t="str">
        <f>D170</f>
        <v>La Vuelta</v>
      </c>
      <c r="CV188" s="531">
        <f>BS170</f>
        <v>1321186</v>
      </c>
      <c r="CW188" s="531">
        <f>BV170</f>
        <v>1692814</v>
      </c>
      <c r="CX188" s="531">
        <f>BW170</f>
        <v>1778986</v>
      </c>
      <c r="CY188" s="531">
        <f t="shared" ref="CY188:CY196" si="22">CX188-CV188</f>
        <v>457800</v>
      </c>
    </row>
    <row r="189" spans="3:103" x14ac:dyDescent="0.3">
      <c r="C189" s="9" t="s">
        <v>394</v>
      </c>
      <c r="D189" s="127" t="s">
        <v>24</v>
      </c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46">
        <f>VLOOKUP(D189,$B$1:$CB$44,46,0)+VLOOKUP(D189,$B$49:$BF$105,46,0)+AU136</f>
        <v>43313</v>
      </c>
      <c r="AV189" s="46">
        <f>VLOOKUP($D$192,$B$1:$CB$44,47,0)+VLOOKUP($D$192,$B$49:$BF$105,47,0)+AV140</f>
        <v>23154</v>
      </c>
      <c r="AW189" s="46">
        <f>VLOOKUP($D189,$B$1:$CB$44,48,0)+VLOOKUP($D189,$B$49:$BF$105,48,0)+AW140</f>
        <v>38492</v>
      </c>
      <c r="AX189" s="46">
        <f>VLOOKUP($D189,$B$1:$CB$44,49,0)+VLOOKUP($D189,$B$49:$BF$105,49,0)+AX140</f>
        <v>38589</v>
      </c>
      <c r="AY189" s="46">
        <f>VLOOKUP($D189,$B$1:$CB$44,50,0)+VLOOKUP($D189,$B$49:$BF$105,50,0)+AY140</f>
        <v>38549</v>
      </c>
      <c r="AZ189" s="46">
        <f>VLOOKUP($D189,$B$1:$CB$44,51,0)+VLOOKUP($D189,$B$49:$BF$105,51,0)+AZ140</f>
        <v>38529</v>
      </c>
      <c r="BA189" s="46">
        <f>VLOOKUP($D189,$B$1:$CB$44,52,0)+VLOOKUP($D189,$B$49:$BF$105,52,0)+BA140</f>
        <v>38673</v>
      </c>
      <c r="BB189" s="46">
        <f>VLOOKUP($D189,$B$1:$CB$44,53,0)+VLOOKUP($D189,$B$49:$BF$105,53,0)+BB140</f>
        <v>38899</v>
      </c>
      <c r="BC189" s="46">
        <f>VLOOKUP($D189,$B$2:$CB$44,54,0)+VLOOKUP($D189,$B$51:$CB$105,54,0)+BC141</f>
        <v>39565</v>
      </c>
      <c r="BD189" s="46">
        <f>VLOOKUP($D189,$B$2:$CB$44,55,0)+VLOOKUP($D189,$B$51:$CB$105,55,0)</f>
        <v>42168</v>
      </c>
      <c r="BE189" s="46">
        <f>VLOOKUP($D189,$B$2:$CB$44,57,0)+VLOOKUP($D189,$B$49:$BM$82,57,0)</f>
        <v>42348</v>
      </c>
      <c r="BF189" s="46">
        <f>VLOOKUP($D189,$B$2:$CB$44,56,0)+VLOOKUP($D189,$B$49:$BM$82,56,0)</f>
        <v>42211</v>
      </c>
      <c r="BG189" s="46">
        <f>VLOOKUP($D189,$B$2:$BM$44,58,0)+VLOOKUP($D189,$B$51:$BM$93,58,0)</f>
        <v>42436</v>
      </c>
      <c r="BH189" s="336">
        <f>VLOOKUP($D189,$B$2:$BM$44,59,0)+VLOOKUP($D189,$B$51:$BM$107,59,0)</f>
        <v>42518</v>
      </c>
      <c r="BI189" s="336">
        <f>VLOOKUP($D189,$B$2:$BM$44,60,0)+VLOOKUP($D189,$B$51:$BM$107,60,0)</f>
        <v>42485</v>
      </c>
      <c r="BJ189" s="336">
        <f>VLOOKUP($D189,$B$2:$BM$44,61,0)+VLOOKUP($D189,$B$51:$BM$107,61,0)</f>
        <v>42454</v>
      </c>
      <c r="BK189" s="336">
        <f>VLOOKUP($D189,$B$2:$BM$44,62,0)+VLOOKUP($D189,$B$51:$BM$107,62,0)</f>
        <v>42400</v>
      </c>
      <c r="BL189" s="336">
        <f>VLOOKUP($D189,$B$2:$BM$44,63,0)+VLOOKUP($D189,$B$51:$BM$107,63,0)</f>
        <v>42513</v>
      </c>
      <c r="BM189" s="336">
        <f>VLOOKUP($D189,$B$2:$BM$44,63,0)+VLOOKUP($D189,$B$51:$BM$107,63,0)</f>
        <v>42513</v>
      </c>
      <c r="BN189" s="337">
        <f>VLOOKUP($D189,$B$2:$BM$44,63,0)+VLOOKUP($D189,$B$51:$BM$107,63,0)</f>
        <v>42513</v>
      </c>
      <c r="BO189" s="337">
        <f>VLOOKUP($D189,$B$2:$BO$44,66,0)+VLOOKUP($D189,$B$51:$BO$107,66,0)</f>
        <v>44316</v>
      </c>
      <c r="BP189" s="159">
        <f>BP74+BP33</f>
        <v>41311</v>
      </c>
      <c r="BQ189" s="159">
        <f>BQ74+BQ33</f>
        <v>41204</v>
      </c>
      <c r="BR189" s="159">
        <f>BR74+BR33</f>
        <v>20171</v>
      </c>
      <c r="BS189" s="159">
        <f>VLOOKUP(D189,Tableau1[[FACEBOOK]:[sept-22]],70,0)+VLOOKUP(Tableau12[[#This Row],[Epreuves]],$B$52:$BT$105,70,0)+BS137</f>
        <v>67005</v>
      </c>
      <c r="BT189" s="159">
        <f>VLOOKUP(D189,Tableau1[[FACEBOOK]:[sept-22]],71,0)+VLOOKUP(Tableau12[[#This Row],[Epreuves]],$B$52:$BT$105,71,0)+BT137</f>
        <v>69799</v>
      </c>
      <c r="BU189" s="159">
        <f>BU28+BU70</f>
        <v>55572</v>
      </c>
      <c r="BV189" s="159">
        <f>BV28+BV70</f>
        <v>57680</v>
      </c>
      <c r="BW189" s="159">
        <f>BW28+BW70</f>
        <v>62390</v>
      </c>
      <c r="BX189" s="159">
        <f>BX28+BX70</f>
        <v>71383</v>
      </c>
      <c r="BZ189" s="563">
        <f>(Tableau12[[#This Row],[avr-25]]-Tableau12[[#This Row],[avr-24]])/Tableau12[[#This Row],[avr-24]]</f>
        <v>0.14414168937329699</v>
      </c>
      <c r="CA189" s="547">
        <f>Tableau12[[#This Row],[avr-25]]-Tableau12[[#This Row],[avr-24]]</f>
        <v>8993</v>
      </c>
      <c r="CB189" s="579"/>
      <c r="CU189" s="9" t="str">
        <f>D171</f>
        <v>Paris Roubaix</v>
      </c>
      <c r="CV189" s="531">
        <f>BS171</f>
        <v>319062</v>
      </c>
      <c r="CW189" s="531">
        <f>BV171</f>
        <v>371951</v>
      </c>
      <c r="CX189" s="531">
        <f>BW171</f>
        <v>426036</v>
      </c>
      <c r="CY189" s="531">
        <f t="shared" si="22"/>
        <v>106974</v>
      </c>
    </row>
    <row r="190" spans="3:103" x14ac:dyDescent="0.3">
      <c r="D190" s="147" t="s">
        <v>241</v>
      </c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59"/>
      <c r="AV190" s="159"/>
      <c r="AW190" s="159" t="e">
        <f>VLOOKUP(E190,$B$1:$CB$44,47,0)+VLOOKUP(E190,$B$49:$BF$105,47,0)+VLOOKUP(E190,$B$109:$BD$139,47,0)</f>
        <v>#N/A</v>
      </c>
      <c r="AX190" s="159">
        <f t="shared" ref="AX190:AX206" si="23">VLOOKUP($D190,$B$2:$CB$44,49,0)+VLOOKUP($D190,$B$51:$CB$105,49,0)+VLOOKUP($D190,$B$112:$BZ$147,49,0)</f>
        <v>0</v>
      </c>
      <c r="AY190" s="159"/>
      <c r="AZ190" s="159">
        <f t="shared" ref="AZ190:AZ206" si="24">VLOOKUP($D190,$B$2:$CB$44,51,0)+VLOOKUP($D190,$B$51:$CB$105,51,0)+VLOOKUP($D190,$B$112:$BZ$147,51,0)</f>
        <v>0</v>
      </c>
      <c r="BA190" s="159"/>
      <c r="BB190" s="160"/>
      <c r="BC190" s="131"/>
      <c r="BD190" s="46">
        <f>VLOOKUP($D190,$B$2:$CB$44,55,0)+VLOOKUP($D190,$B$51:$CB$105,55,0)+VLOOKUP($D190,$B$112:$BZ$147,55,0)</f>
        <v>0</v>
      </c>
      <c r="BE190" s="46">
        <f>VLOOKUP($D190,$B$2:$CB$44,56,0)+VLOOKUP($D190,$B$49:$BM$82,56,0)+VLOOKUP($D190,$B$110:$BM$141,56,0)</f>
        <v>0</v>
      </c>
      <c r="BF190" s="336">
        <f>VLOOKUP($D190,$B$2:$BM$46,57,0)+VLOOKUP($D190,$B$51:$BN$85,57,0)+VLOOKUP($D190,$B$112:$BN$148,57,0)</f>
        <v>0</v>
      </c>
      <c r="BG190" s="336">
        <f>VLOOKUP($D190,$B$2:$BM$46,58,0)+VLOOKUP($D190,$B$51:$BM$93,58,0)+VLOOKUP($D190,$B$112:$BN$148,58,0)</f>
        <v>0</v>
      </c>
      <c r="BH190" s="336">
        <f>VLOOKUP($D190,$B$2:$BM$46,59,0)+VLOOKUP($D190,$B$51:$BM$107,59,0)+VLOOKUP($D190,$B$112:$BM$151,59,0)</f>
        <v>0</v>
      </c>
      <c r="BI190" s="336">
        <f>VLOOKUP($D190,$B$2:$BM$46,60,0)+VLOOKUP($D190,$B$51:$BM$107,60,0)+VLOOKUP($D190,$B$112:$BM$151,60,0)</f>
        <v>0</v>
      </c>
      <c r="BJ190" s="336">
        <f>VLOOKUP($D190,$B$2:$BM$46,61,0)+VLOOKUP($D190,$B$51:$BM$107,61,0)+VLOOKUP($D190,$B$112:$BM$151,61,0)</f>
        <v>0</v>
      </c>
      <c r="BK190" s="336">
        <f>VLOOKUP($D190,$B$2:$BM$46,62,0)+VLOOKUP($D190,$B$51:$BM$107,62,0)+VLOOKUP($D190,$B$112:$BM$151,62,0)</f>
        <v>0</v>
      </c>
      <c r="BL190" s="337">
        <f>VLOOKUP($D190,$B$2:$BM$46,63,0)+VLOOKUP($D190,$B$51:$BM$107,63,0)+VLOOKUP($D190,$B$112:$BM$151,63,0)</f>
        <v>0</v>
      </c>
      <c r="BM190" s="312"/>
      <c r="BN190" s="159"/>
      <c r="BO190" s="159"/>
      <c r="BP190" s="159"/>
      <c r="BQ190" s="159"/>
      <c r="BR190" s="159">
        <f>BR52+BR93+BR156</f>
        <v>768547</v>
      </c>
      <c r="BS190" s="159">
        <f>VLOOKUP(D190,Tableau1[[FACEBOOK]:[sept-22]],70,0)+VLOOKUP(Tableau12[[#This Row],[Epreuves]],$B$52:$BT$105,70,0)+VLOOKUP(Tableau12[[#This Row],[Epreuves]],Tableau7[[INSTAGRAM]:[sept-22]],70,0)</f>
        <v>77399</v>
      </c>
      <c r="BT190" s="159">
        <f>VLOOKUP(D190,Tableau1[[FACEBOOK]:[sept-22]],71,0)+VLOOKUP(Tableau12[[#This Row],[Epreuves]],$B$52:$BT$105,71,0)+VLOOKUP(Tableau12[[#This Row],[Epreuves]],Tableau7[[INSTAGRAM]:[sept-22]],71,0)</f>
        <v>79228</v>
      </c>
      <c r="BU190" s="159">
        <f>VLOOKUP(D190,Tableau1[[FACEBOOK]:[nov-22]],72,0)+VLOOKUP(Tableau12[[#This Row],[Epreuves]],B48:BU104,72,0)+VLOOKUP(Tableau12[[#This Row],[Epreuves]],Tableau7[[INSTAGRAM]:[nov-22]],72,0)</f>
        <v>88422</v>
      </c>
      <c r="BV190" s="159">
        <f>BV23+BV76+BV133</f>
        <v>98245</v>
      </c>
      <c r="BW190" s="159">
        <f>BW23+BW76+BW133</f>
        <v>102170</v>
      </c>
      <c r="BX190" s="159">
        <f>BX23+BX76+BX133</f>
        <v>101175</v>
      </c>
      <c r="BZ190" s="563">
        <f>(Tableau12[[#This Row],[avr-25]]-Tableau12[[#This Row],[avr-24]])/Tableau12[[#This Row],[avr-24]]</f>
        <v>-9.7386708427131246E-3</v>
      </c>
      <c r="CA190" s="547">
        <f>Tableau12[[#This Row],[avr-25]]-Tableau12[[#This Row],[avr-24]]</f>
        <v>-995</v>
      </c>
      <c r="CU190" s="9" t="str">
        <f>D177</f>
        <v>Criterium du Dauphiné</v>
      </c>
      <c r="CV190" s="531">
        <f>BS177</f>
        <v>174184</v>
      </c>
      <c r="CW190" s="531">
        <f>BV177</f>
        <v>206537</v>
      </c>
      <c r="CX190" s="531">
        <f>BW177</f>
        <v>217188</v>
      </c>
      <c r="CY190" s="531">
        <f t="shared" si="22"/>
        <v>43004</v>
      </c>
    </row>
    <row r="191" spans="3:103" x14ac:dyDescent="0.3">
      <c r="D191" s="129" t="s">
        <v>76</v>
      </c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1">
        <f>VLOOKUP(D191,$B$1:$CB$44,46,0)+VLOOKUP(D191,$B$49:$BF$105,46,0)+VLOOKUP(D191,$B$109:$BD$139,46,0)</f>
        <v>39311</v>
      </c>
      <c r="AV191" s="131">
        <f>VLOOKUP($D$193,$B$1:$CB$44,47,0)+VLOOKUP($D$193,$B$49:$BF$105,47,0)+VLOOKUP($D$193,$B$109:$BD$139,47,0)</f>
        <v>18215</v>
      </c>
      <c r="AW191" s="131">
        <f>VLOOKUP($D191,$B$1:$CB$44,48,0)+VLOOKUP($D191,$B$49:$BF$105,48,0)+VLOOKUP($D191,$B$109:$BD$139,48,0)</f>
        <v>39138</v>
      </c>
      <c r="AX191" s="131">
        <f t="shared" si="23"/>
        <v>39071</v>
      </c>
      <c r="AY191" s="131">
        <f>VLOOKUP($D191,$B$2:$CB$44,50,0)+VLOOKUP($D191,$B$51:$CB$105,50,0)+VLOOKUP($D191,$B$112:$BZ$147,50,0)</f>
        <v>39011</v>
      </c>
      <c r="AZ191" s="131">
        <f t="shared" si="24"/>
        <v>38937</v>
      </c>
      <c r="BA191" s="131">
        <f>VLOOKUP($D191,$B$2:$CB$44,52,0)+VLOOKUP($D191,$B$51:$CB$105,52,0)+VLOOKUP($D191,$B$112:$BZ$147,52,0)</f>
        <v>38993</v>
      </c>
      <c r="BB191" s="131">
        <f>VLOOKUP($D191,$B$2:$CB$44,53,0)+VLOOKUP($D191,$B$51:$CB$105,53,0)+VLOOKUP($D191,$B$112:$BZ$147,53,0)</f>
        <v>38965</v>
      </c>
      <c r="BC191" s="46">
        <f>VLOOKUP($D191,$B$2:$CB$44,54,0)+VLOOKUP($D191,$B$51:$CB$105,54,0)+VLOOKUP($D191,$B$112:$BZ$147,54,0)</f>
        <v>38975</v>
      </c>
      <c r="BD191" s="46">
        <f>VLOOKUP($D191,$B$2:$CB$44,55,0)+VLOOKUP($D191,$B$51:$CB$105,55,0)+VLOOKUP($D191,$B$112:$BZ$147,55,0)</f>
        <v>42496</v>
      </c>
      <c r="BE191" s="46">
        <f>VLOOKUP($D191,$B$2:$CB$44,57,0)+VLOOKUP($D191,$B$110:$BM$141,57,0)</f>
        <v>42899</v>
      </c>
      <c r="BF191" s="46">
        <f>VLOOKUP($D191,$B$2:$CB$44,56,0)+VLOOKUP($D191,$B$110:$BM$141,56,0)</f>
        <v>42334</v>
      </c>
      <c r="BG191" s="46">
        <f t="shared" ref="BG191:BG198" si="25">VLOOKUP($D191,$B$2:$BM$44,58,0)+VLOOKUP($D191,$B$51:$BM$93,58,0)+VLOOKUP($D191,$B$112:$BN$148,58,0)</f>
        <v>42857</v>
      </c>
      <c r="BH191" s="336">
        <f t="shared" ref="BH191:BH198" si="26">VLOOKUP($D191,$B$2:$BM$44,59,0)+VLOOKUP($D191,$B$51:$BM$107,59,0)+VLOOKUP($D191,$B$112:$BM$148,59,0)</f>
        <v>42720</v>
      </c>
      <c r="BI191" s="336">
        <f t="shared" ref="BI191:BI198" si="27">VLOOKUP($D191,$B$2:$BM$44,60,0)+VLOOKUP($D191,$B$51:$BM$107,60,0)+VLOOKUP($D191,$B$112:$BM$148,60,0)</f>
        <v>42633</v>
      </c>
      <c r="BJ191" s="336">
        <f t="shared" ref="BJ191:BJ198" si="28">VLOOKUP($D191,$B$2:$BM$44,61,0)+VLOOKUP($D191,$B$51:$BM$107,61,0)+VLOOKUP($D191,$B$112:$BM$148,61,0)</f>
        <v>42604</v>
      </c>
      <c r="BK191" s="336">
        <f t="shared" ref="BK191:BK198" si="29">VLOOKUP($D191,$B$2:$BM$44,62,0)+VLOOKUP($D191,$B$51:$BM$107,62,0)+VLOOKUP($D191,$B$112:$BM$148,62,0)</f>
        <v>42565</v>
      </c>
      <c r="BL191" s="46">
        <f>VLOOKUP($D191,$B$2:$BM$44,63,0)+VLOOKUP($D191,$B$112:$BM$148,63,0)</f>
        <v>42572</v>
      </c>
      <c r="BM191" s="46">
        <f>VLOOKUP($D191,$B$2:$BM$44,63,0)+VLOOKUP($D191,$B$112:$BM$148,63,0)</f>
        <v>42572</v>
      </c>
      <c r="BN191" s="159">
        <f>VLOOKUP($D191,$B$2:$BM$44,63,0)+VLOOKUP($D191,$B$112:$BM$148,63,0)</f>
        <v>42572</v>
      </c>
      <c r="BO191" s="337">
        <f t="shared" ref="BO191:BO198" si="30">VLOOKUP($D191,$B$2:$BO$44,66,0)+VLOOKUP($D191,$B$51:$BO$107,66,0)+VLOOKUP($D191,$B$112:$BO$148,66,0)</f>
        <v>42594</v>
      </c>
      <c r="BP191" s="337">
        <f>VLOOKUP($D191,$B$2:$BP$46,67,0)+VLOOKUP($D191,$B$51:$BP$107,67,0)+VLOOKUP($D191,$B$112:$BP$151,67,0)</f>
        <v>42430</v>
      </c>
      <c r="BQ191" s="159">
        <f>BQ139+BQ89+BQ23</f>
        <v>12470</v>
      </c>
      <c r="BR191" s="159">
        <f>BR139+BR89+BR23</f>
        <v>49721</v>
      </c>
      <c r="BS191" s="159">
        <f>VLOOKUP(D191,Tableau1[[FACEBOOK]:[sept-22]],70,0)+VLOOKUP(Tableau12[[#This Row],[Epreuves]],$B$52:$BT$105,70,0)+VLOOKUP(Tableau12[[#This Row],[Epreuves]],Tableau7[[INSTAGRAM]:[sept-22]],70,0)</f>
        <v>67277</v>
      </c>
      <c r="BT191" s="159">
        <f>VLOOKUP(D191,Tableau1[[FACEBOOK]:[sept-22]],71,0)+VLOOKUP(Tableau12[[#This Row],[Epreuves]],$B$52:$BT$105,71,0)+VLOOKUP(Tableau12[[#This Row],[Epreuves]],Tableau7[[INSTAGRAM]:[sept-22]],71,0)</f>
        <v>67942</v>
      </c>
      <c r="BU191" s="159">
        <f>VLOOKUP(D191,Tableau1[[FACEBOOK]:[nov-22]],72,0)+VLOOKUP(Tableau12[[#This Row],[Epreuves]],B49:BU105,72,0)+VLOOKUP(Tableau12[[#This Row],[Epreuves]],Tableau7[[INSTAGRAM]:[nov-22]],72,0)</f>
        <v>67237</v>
      </c>
      <c r="BV191" s="159">
        <f>BV24+BV82+BV136</f>
        <v>69500</v>
      </c>
      <c r="BW191" s="159">
        <f>BW24+BW82+BW136</f>
        <v>73731</v>
      </c>
      <c r="BX191" s="159">
        <f>BX24+BX82+BX136</f>
        <v>74164</v>
      </c>
      <c r="BZ191" s="563">
        <f>(Tableau12[[#This Row],[avr-25]]-Tableau12[[#This Row],[avr-24]])/Tableau12[[#This Row],[avr-24]]</f>
        <v>5.8726994073049332E-3</v>
      </c>
      <c r="CA191" s="547">
        <f>Tableau12[[#This Row],[avr-25]]-Tableau12[[#This Row],[avr-24]]</f>
        <v>433</v>
      </c>
      <c r="CU191" s="9" t="str">
        <f>D178</f>
        <v>Paris Nice</v>
      </c>
      <c r="CV191" s="531">
        <f>BS178</f>
        <v>180283</v>
      </c>
      <c r="CW191" s="531">
        <f>BV178</f>
        <v>194207</v>
      </c>
      <c r="CX191" s="531">
        <f>BW178</f>
        <v>227001</v>
      </c>
      <c r="CY191" s="531">
        <f t="shared" si="22"/>
        <v>46718</v>
      </c>
    </row>
    <row r="192" spans="3:103" x14ac:dyDescent="0.3">
      <c r="D192" s="129" t="s">
        <v>23</v>
      </c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1">
        <f>VLOOKUP(D192,$B$1:$CB$44,46,0)+VLOOKUP(D192,$B$49:$BF$105,46,0)+VLOOKUP(D192,$B$109:$BD$139,46,0)</f>
        <v>30720</v>
      </c>
      <c r="AV192" s="131" t="e">
        <f>VLOOKUP(#REF!,$B$1:$CB$44,47,0)+VLOOKUP(#REF!,$B$49:$BF$105,47,0)+VLOOKUP(#REF!,$B$109:$BD$139,47,0)</f>
        <v>#REF!</v>
      </c>
      <c r="AW192" s="131">
        <f>VLOOKUP($D192,$B$1:$CB$44,48,0)+VLOOKUP($D192,$B$49:$BF$105,48,0)+VLOOKUP($D192,$B$109:$BD$139,48,0)</f>
        <v>30711</v>
      </c>
      <c r="AX192" s="131">
        <f t="shared" si="23"/>
        <v>30874</v>
      </c>
      <c r="AY192" s="131">
        <f>VLOOKUP($D192,$B$2:$CB$44,50,0)+VLOOKUP($D192,$B$51:$CB$105,50,0)+VLOOKUP($D192,$B$112:$BZ$147,50,0)</f>
        <v>31100</v>
      </c>
      <c r="AZ192" s="131">
        <f t="shared" si="24"/>
        <v>31303</v>
      </c>
      <c r="BA192" s="131">
        <f>VLOOKUP($D192,$B$2:$CB$44,52,0)+VLOOKUP($D192,$B$51:$CB$105,52,0)+VLOOKUP($D192,$B$112:$BZ$147,52,0)</f>
        <v>31390</v>
      </c>
      <c r="BB192" s="131">
        <f>VLOOKUP($D192,$B$2:$CB$44,53,0)+VLOOKUP($D192,$B$51:$CB$105,53,0)+VLOOKUP($D192,$B$112:$BZ$147,53,0)</f>
        <v>31534</v>
      </c>
      <c r="BC192" s="46">
        <f>VLOOKUP($D192,$B$2:$CB$44,54,0)+VLOOKUP($D192,$B$51:$CB$105,54,0)+VLOOKUP($D192,$B$112:$BZ$147,54,0)</f>
        <v>31750</v>
      </c>
      <c r="BD192" s="46">
        <f>VLOOKUP($D192,$B$2:$CB$44,55,0)+VLOOKUP($D192,$B$51:$CB$105,55,0)+VLOOKUP($D192,$B$112:$BZ$147,55,0)</f>
        <v>52405</v>
      </c>
      <c r="BE192" s="46" t="e">
        <f t="shared" ref="BE192:BE197" si="31">VLOOKUP($D192,$B$2:$CB$44,56,0)+VLOOKUP($D192,$B$49:$BM$82,56,0)+VLOOKUP($D192,$B$110:$BM$141,56,0)</f>
        <v>#N/A</v>
      </c>
      <c r="BF192" s="46">
        <f t="shared" ref="BF192:BF198" si="32">VLOOKUP($D192,$B$2:$BM$44,57,0)+VLOOKUP($D192,$B$51:$BN$85,57,0)+VLOOKUP($D192,$B$112:$BN$148,57,0)</f>
        <v>52563</v>
      </c>
      <c r="BG192" s="46">
        <f t="shared" si="25"/>
        <v>52550</v>
      </c>
      <c r="BH192" s="336">
        <f t="shared" si="26"/>
        <v>52473</v>
      </c>
      <c r="BI192" s="336">
        <f t="shared" si="27"/>
        <v>52634</v>
      </c>
      <c r="BJ192" s="336">
        <f t="shared" si="28"/>
        <v>52757</v>
      </c>
      <c r="BK192" s="336">
        <f t="shared" si="29"/>
        <v>52771</v>
      </c>
      <c r="BL192" s="336">
        <f t="shared" ref="BL192:BN198" si="33">VLOOKUP($D192,$B$2:$BM$44,63,0)+VLOOKUP($D192,$B$51:$BM$107,63,0)+VLOOKUP($D192,$B$112:$BM$148,63,0)</f>
        <v>52910</v>
      </c>
      <c r="BM192" s="336">
        <f t="shared" si="33"/>
        <v>52910</v>
      </c>
      <c r="BN192" s="337">
        <f t="shared" si="33"/>
        <v>52910</v>
      </c>
      <c r="BO192" s="337">
        <f t="shared" si="30"/>
        <v>53604</v>
      </c>
      <c r="BP192" s="159">
        <f>BP138+BP84+BP32</f>
        <v>25362</v>
      </c>
      <c r="BQ192" s="159">
        <f>BQ138+BQ84+BQ32</f>
        <v>47751</v>
      </c>
      <c r="BR192" s="159">
        <f>BR138+BR84+BR32</f>
        <v>48000</v>
      </c>
      <c r="BS192" s="159">
        <f>VLOOKUP(D192,Tableau1[[FACEBOOK]:[sept-22]],70,0)+VLOOKUP(Tableau12[[#This Row],[Epreuves]],$B$52:$BT$105,70,0)+VLOOKUP(Tableau12[[#This Row],[Epreuves]],Tableau7[[INSTAGRAM]:[sept-22]],70,0)</f>
        <v>62454</v>
      </c>
      <c r="BT192" s="159">
        <f>VLOOKUP(D192,Tableau1[[FACEBOOK]:[sept-22]],71,0)+VLOOKUP(Tableau12[[#This Row],[Epreuves]],$B$52:$BT$105,71,0)+VLOOKUP(Tableau12[[#This Row],[Epreuves]],Tableau7[[INSTAGRAM]:[sept-22]],71,0)</f>
        <v>63827</v>
      </c>
      <c r="BU192" s="159">
        <f>VLOOKUP(D192,Tableau1[[FACEBOOK]:[nov-22]],72,0)+VLOOKUP(Tableau12[[#This Row],[Epreuves]],B50:BU105,72,0)+VLOOKUP(Tableau12[[#This Row],[Epreuves]],Tableau7[[INSTAGRAM]:[nov-22]],72,0)</f>
        <v>63899</v>
      </c>
      <c r="BV192" s="159">
        <f>BV85+BV132+BV27</f>
        <v>68100</v>
      </c>
      <c r="BW192" s="159">
        <f>BW85+BW132+BW27</f>
        <v>72431</v>
      </c>
      <c r="BX192" s="159">
        <f>BX85+BX132+BX27</f>
        <v>41509</v>
      </c>
      <c r="BZ192" s="563">
        <f>(Tableau12[[#This Row],[avr-25]]-Tableau12[[#This Row],[avr-24]])/Tableau12[[#This Row],[avr-24]]</f>
        <v>-0.42691665170990323</v>
      </c>
      <c r="CA192" s="547">
        <f>Tableau12[[#This Row],[avr-25]]-Tableau12[[#This Row],[avr-24]]</f>
        <v>-30922</v>
      </c>
      <c r="CU192" s="9" t="str">
        <f>D183</f>
        <v>Arctic Race of Norway</v>
      </c>
      <c r="CV192" s="531">
        <f>BS183</f>
        <v>116056</v>
      </c>
      <c r="CW192" s="531">
        <f>BV183</f>
        <v>126750</v>
      </c>
      <c r="CX192" s="531">
        <f>BW183</f>
        <v>127411</v>
      </c>
      <c r="CY192" s="531">
        <f t="shared" si="22"/>
        <v>11355</v>
      </c>
    </row>
    <row r="193" spans="3:104" x14ac:dyDescent="0.3">
      <c r="D193" s="157" t="s">
        <v>26</v>
      </c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58"/>
      <c r="AV193" s="159"/>
      <c r="AW193" s="159" t="e">
        <f>VLOOKUP(E193,$B$1:$CB$44,47,0)+VLOOKUP(E193,$B$49:$BF$105,47,0)+VLOOKUP(E193,$B$109:$BD$139,47,0)</f>
        <v>#N/A</v>
      </c>
      <c r="AX193" s="159">
        <f t="shared" si="23"/>
        <v>18326</v>
      </c>
      <c r="AY193" s="159"/>
      <c r="AZ193" s="159">
        <f t="shared" si="24"/>
        <v>18280</v>
      </c>
      <c r="BA193" s="159"/>
      <c r="BB193" s="160"/>
      <c r="BC193" s="131"/>
      <c r="BD193" s="46">
        <f>VLOOKUP($D193,$B$51:$CB$105,55,0)</f>
        <v>19158</v>
      </c>
      <c r="BE193" s="46">
        <f t="shared" si="31"/>
        <v>45010</v>
      </c>
      <c r="BF193" s="46">
        <f t="shared" si="32"/>
        <v>45115</v>
      </c>
      <c r="BG193" s="46">
        <f t="shared" si="25"/>
        <v>45075</v>
      </c>
      <c r="BH193" s="336">
        <f t="shared" si="26"/>
        <v>44972</v>
      </c>
      <c r="BI193" s="336">
        <f t="shared" si="27"/>
        <v>44870</v>
      </c>
      <c r="BJ193" s="336">
        <f t="shared" si="28"/>
        <v>44795</v>
      </c>
      <c r="BK193" s="336">
        <f t="shared" si="29"/>
        <v>44711</v>
      </c>
      <c r="BL193" s="336">
        <f t="shared" si="33"/>
        <v>44642</v>
      </c>
      <c r="BM193" s="336">
        <f t="shared" si="33"/>
        <v>44642</v>
      </c>
      <c r="BN193" s="337">
        <f t="shared" si="33"/>
        <v>44642</v>
      </c>
      <c r="BO193" s="337">
        <f t="shared" si="30"/>
        <v>44629</v>
      </c>
      <c r="BP193" s="337">
        <f>VLOOKUP($D193,$B$2:$BP$46,67,0)+VLOOKUP($D193,$B$51:$BP$107,67,0)+VLOOKUP($D193,$B$112:$BP$151,67,0)</f>
        <v>44638</v>
      </c>
      <c r="BQ193" s="159">
        <f>BQ139+BQ77+BQ33</f>
        <v>30281</v>
      </c>
      <c r="BR193" s="159">
        <f>BR139+BR77+BR33</f>
        <v>40899</v>
      </c>
      <c r="BS193" s="159">
        <f>VLOOKUP(D193,Tableau1[[FACEBOOK]:[sept-22]],70,0)+VLOOKUP(Tableau12[[#This Row],[Epreuves]],$B$52:$BT$105,70,0)+VLOOKUP(Tableau12[[#This Row],[Epreuves]],Tableau7[[INSTAGRAM]:[sept-22]],70,0)</f>
        <v>57467</v>
      </c>
      <c r="BT193" s="159">
        <f>VLOOKUP(D193,Tableau1[[FACEBOOK]:[sept-22]],71,0)+VLOOKUP(Tableau12[[#This Row],[Epreuves]],$B$52:$BT$105,71,0)+VLOOKUP(Tableau12[[#This Row],[Epreuves]],Tableau7[[INSTAGRAM]:[sept-22]],71,0)</f>
        <v>57500</v>
      </c>
      <c r="BU193" s="337">
        <f>VLOOKUP(D193,Tableau1[[FACEBOOK]:[nov-22]],72,0)+VLOOKUP(Tableau12[[#This Row],[Epreuves]],B51:BU107,72,0)+VLOOKUP(Tableau12[[#This Row],[Epreuves]],Tableau7[[INSTAGRAM]:[nov-22]],72,0)</f>
        <v>57483</v>
      </c>
      <c r="BV193" s="159">
        <f>BV32+BV73+BV137</f>
        <v>61100</v>
      </c>
      <c r="BW193" s="159">
        <f>BW32+BW73+BW137</f>
        <v>61960</v>
      </c>
      <c r="BX193" s="159">
        <f>BX32+BX73+BX137</f>
        <v>66000</v>
      </c>
      <c r="BZ193" s="563">
        <f>(Tableau12[[#This Row],[avr-25]]-Tableau12[[#This Row],[avr-24]])/Tableau12[[#This Row],[avr-24]]</f>
        <v>6.5203357004519041E-2</v>
      </c>
      <c r="CA193" s="547">
        <f>Tableau12[[#This Row],[avr-25]]-Tableau12[[#This Row],[avr-24]]</f>
        <v>4040</v>
      </c>
      <c r="CB193" s="579"/>
      <c r="CU193" s="9" t="str">
        <f>D186</f>
        <v>Liege-Bastogne-Liege</v>
      </c>
      <c r="CV193" s="531">
        <f>BS186</f>
        <v>92979</v>
      </c>
      <c r="CW193" s="531">
        <f>BV186</f>
        <v>111057</v>
      </c>
      <c r="CX193" s="531">
        <f>BW186</f>
        <v>123149</v>
      </c>
      <c r="CY193" s="531">
        <f t="shared" si="22"/>
        <v>30170</v>
      </c>
    </row>
    <row r="194" spans="3:104" x14ac:dyDescent="0.3">
      <c r="D194" s="129" t="s">
        <v>215</v>
      </c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1" t="e">
        <f>VLOOKUP(D194,$B$1:$CB$44,46,0)+VLOOKUP(D194,$B$49:$BF$105,46,0)+VLOOKUP(D194,$B$109:$BD$139,46,0)</f>
        <v>#N/A</v>
      </c>
      <c r="AV194" s="131">
        <f>VLOOKUP($D$191,$B$1:$CB$44,47,0)+VLOOKUP($D$191,$B$49:$BF$105,47,0)+VLOOKUP($D$191,$B$109:$BD$139,47,0)</f>
        <v>39223</v>
      </c>
      <c r="AW194" s="131" t="e">
        <f>VLOOKUP($D194,$B$1:$CB$44,48,0)+VLOOKUP($D194,$B$49:$BF$105,48,0)+VLOOKUP($D194,$B$109:$BD$139,48,0)</f>
        <v>#N/A</v>
      </c>
      <c r="AX194" s="131" t="e">
        <f t="shared" si="23"/>
        <v>#N/A</v>
      </c>
      <c r="AY194" s="131" t="e">
        <f>VLOOKUP($D194,$B$2:$CB$44,50,0)+VLOOKUP($D194,$B$51:$CB$105,50,0)+VLOOKUP($D194,$B$112:$BZ$147,50,0)</f>
        <v>#N/A</v>
      </c>
      <c r="AZ194" s="131" t="e">
        <f t="shared" si="24"/>
        <v>#N/A</v>
      </c>
      <c r="BA194" s="131" t="e">
        <f>VLOOKUP($D194,$B$2:$CB$44,52,0)+VLOOKUP($D194,$B$51:$CB$105,52,0)+VLOOKUP($D194,$B$112:$BZ$147,52,0)</f>
        <v>#N/A</v>
      </c>
      <c r="BB194" s="131" t="e">
        <f>VLOOKUP($D194,$B$2:$CB$44,53,0)+VLOOKUP($D194,$B$51:$CB$105,53,0)+VLOOKUP($D194,$B$112:$BZ$147,53,0)</f>
        <v>#N/A</v>
      </c>
      <c r="BC194" s="46" t="e">
        <f>VLOOKUP($D194,$B$2:$CB$44,54,0)+VLOOKUP($D194,$B$51:$CB$105,54,0)+VLOOKUP($D194,$B$112:$BZ$147,54,0)</f>
        <v>#N/A</v>
      </c>
      <c r="BD194" s="46" t="e">
        <f t="shared" ref="BD194:BD206" si="34">VLOOKUP($D194,$B$2:$CB$44,55,0)+VLOOKUP($D194,$B$51:$CB$105,55,0)+VLOOKUP($D194,$B$112:$BZ$147,55,0)</f>
        <v>#N/A</v>
      </c>
      <c r="BE194" s="46" t="e">
        <f t="shared" si="31"/>
        <v>#N/A</v>
      </c>
      <c r="BF194" s="46" t="e">
        <f t="shared" si="32"/>
        <v>#N/A</v>
      </c>
      <c r="BG194" s="46" t="e">
        <f t="shared" si="25"/>
        <v>#N/A</v>
      </c>
      <c r="BH194" s="336" t="e">
        <f t="shared" si="26"/>
        <v>#N/A</v>
      </c>
      <c r="BI194" s="336" t="e">
        <f t="shared" si="27"/>
        <v>#N/A</v>
      </c>
      <c r="BJ194" s="336" t="e">
        <f t="shared" si="28"/>
        <v>#N/A</v>
      </c>
      <c r="BK194" s="336" t="e">
        <f t="shared" si="29"/>
        <v>#N/A</v>
      </c>
      <c r="BL194" s="336" t="e">
        <f t="shared" si="33"/>
        <v>#N/A</v>
      </c>
      <c r="BM194" s="336" t="e">
        <f t="shared" si="33"/>
        <v>#N/A</v>
      </c>
      <c r="BN194" s="337" t="e">
        <f t="shared" si="33"/>
        <v>#N/A</v>
      </c>
      <c r="BO194" s="337" t="e">
        <f t="shared" si="30"/>
        <v>#N/A</v>
      </c>
      <c r="BP194" s="337" t="e">
        <f>VLOOKUP($D194,$B$2:$BP$46,67,0)+VLOOKUP($D194,$B$51:$BP$107,67,0)+VLOOKUP($D194,$B$112:$BP$151,67,0)</f>
        <v>#N/A</v>
      </c>
      <c r="BQ194" s="159">
        <f>BQ24+BQ69+BQ134</f>
        <v>77756</v>
      </c>
      <c r="BR194" s="159">
        <f>BR24+BR69+BR134</f>
        <v>79313</v>
      </c>
      <c r="BS194" s="159" t="e">
        <f>VLOOKUP(D194,Tableau1[[FACEBOOK]:[sept-22]],70,0)+VLOOKUP(Tableau12[[#This Row],[Epreuves]],$B$52:$BT$105,70,0)+VLOOKUP(Tableau12[[#This Row],[Epreuves]],Tableau7[[INSTAGRAM]:[sept-22]],70,0)</f>
        <v>#N/A</v>
      </c>
      <c r="BT194" s="159" t="e">
        <f>VLOOKUP(D194,Tableau1[[FACEBOOK]:[sept-22]],71,0)+VLOOKUP(Tableau12[[#This Row],[Epreuves]],$B$52:$BT$105,71,0)+VLOOKUP(Tableau12[[#This Row],[Epreuves]],Tableau7[[INSTAGRAM]:[sept-22]],71,0)</f>
        <v>#N/A</v>
      </c>
      <c r="BU194" s="159" t="e">
        <f>VLOOKUP(D194,Tableau1[[FACEBOOK]:[nov-22]],72,0)+VLOOKUP(Tableau12[[#This Row],[Epreuves]],B52:BU108,72,0)+VLOOKUP(Tableau12[[#This Row],[Epreuves]],Tableau7[[INSTAGRAM]:[nov-22]],72,0)</f>
        <v>#N/A</v>
      </c>
      <c r="BV194" s="159">
        <v>0</v>
      </c>
      <c r="BW194" s="159">
        <v>0</v>
      </c>
      <c r="BX194" s="159">
        <f>BX31+BX78+BX144</f>
        <v>51495</v>
      </c>
      <c r="BZ194" s="563" t="e">
        <f>(Tableau12[[#This Row],[avr-25]]-Tableau12[[#This Row],[avr-24]])/Tableau12[[#This Row],[avr-24]]</f>
        <v>#DIV/0!</v>
      </c>
      <c r="CA194" s="547">
        <f>Tableau12[[#This Row],[avr-25]]-Tableau12[[#This Row],[avr-24]]</f>
        <v>51495</v>
      </c>
      <c r="CU194" s="9" t="str">
        <f>D189</f>
        <v>Fleche Wallonne</v>
      </c>
      <c r="CV194" s="531">
        <f>BS189</f>
        <v>67005</v>
      </c>
      <c r="CW194" s="531">
        <f>BV189</f>
        <v>57680</v>
      </c>
      <c r="CX194" s="531">
        <f>BW189</f>
        <v>62390</v>
      </c>
      <c r="CY194" s="531">
        <f t="shared" si="22"/>
        <v>-4615</v>
      </c>
    </row>
    <row r="195" spans="3:104" x14ac:dyDescent="0.3">
      <c r="D195" s="129" t="s">
        <v>80</v>
      </c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1" t="e">
        <f>VLOOKUP(D195,$B$1:$CB$44,46,0)+VLOOKUP(D195,$B$49:$BF$105,46,0)+VLOOKUP(D195,$B$109:$BD$139,46,0)</f>
        <v>#N/A</v>
      </c>
      <c r="AV195" s="131">
        <f>VLOOKUP($D$196,$B$1:$CB$44,47,0)+VLOOKUP($D$196,$B$49:$BF$105,47,0)+VLOOKUP($D$196,$B$109:$BD$139,47,0)</f>
        <v>252956</v>
      </c>
      <c r="AW195" s="131" t="e">
        <f>VLOOKUP($D195,$B$1:$CB$44,48,0)+VLOOKUP($D195,$B$49:$BF$105,48,0)+VLOOKUP($D195,$B$109:$BD$139,48,0)</f>
        <v>#N/A</v>
      </c>
      <c r="AX195" s="131">
        <f t="shared" si="23"/>
        <v>28435</v>
      </c>
      <c r="AY195" s="131">
        <f>VLOOKUP($D195,$B$2:$CB$44,50,0)+VLOOKUP($D195,$B$51:$CB$105,50,0)+VLOOKUP($D195,$B$112:$BZ$147,50,0)</f>
        <v>28375</v>
      </c>
      <c r="AZ195" s="131">
        <f t="shared" si="24"/>
        <v>28360</v>
      </c>
      <c r="BA195" s="131">
        <f>VLOOKUP($D195,$B$2:$CB$44,52,0)+VLOOKUP($D195,$B$51:$CB$105,52,0)+VLOOKUP($D195,$B$112:$BZ$147,52,0)</f>
        <v>28440</v>
      </c>
      <c r="BB195" s="131">
        <f>VLOOKUP($D195,$B$2:$CB$44,53,0)+VLOOKUP($D195,$B$51:$CB$105,53,0)+VLOOKUP($D195,$B$112:$BZ$147,53,0)</f>
        <v>28388</v>
      </c>
      <c r="BC195" s="46">
        <f>VLOOKUP($D195,$B$2:$CB$44,54,0)+VLOOKUP($D195,$B$51:$CB$105,54,0)+VLOOKUP($D195,$B$112:$BZ$147,54,0)</f>
        <v>28400</v>
      </c>
      <c r="BD195" s="46">
        <f t="shared" si="34"/>
        <v>28370</v>
      </c>
      <c r="BE195" s="46" t="e">
        <f t="shared" si="31"/>
        <v>#N/A</v>
      </c>
      <c r="BF195" s="46" t="e">
        <f t="shared" si="32"/>
        <v>#N/A</v>
      </c>
      <c r="BG195" s="46">
        <f t="shared" si="25"/>
        <v>49545</v>
      </c>
      <c r="BH195" s="336">
        <f t="shared" si="26"/>
        <v>49377</v>
      </c>
      <c r="BI195" s="336">
        <f t="shared" si="27"/>
        <v>49204</v>
      </c>
      <c r="BJ195" s="336">
        <f t="shared" si="28"/>
        <v>49052</v>
      </c>
      <c r="BK195" s="336">
        <f t="shared" si="29"/>
        <v>49020</v>
      </c>
      <c r="BL195" s="336">
        <f t="shared" si="33"/>
        <v>48684</v>
      </c>
      <c r="BM195" s="336">
        <f t="shared" si="33"/>
        <v>48684</v>
      </c>
      <c r="BN195" s="337">
        <f t="shared" si="33"/>
        <v>48684</v>
      </c>
      <c r="BO195" s="337">
        <f t="shared" si="30"/>
        <v>47404</v>
      </c>
      <c r="BP195" s="337">
        <f>VLOOKUP($D195,$B$2:$BP$44,67,0)+VLOOKUP($D195,$B$51:$BP$107,67,0)+VLOOKUP($D195,$B$112:$BP$148,67,0)</f>
        <v>47193</v>
      </c>
      <c r="BQ195" s="159">
        <f>BQ27+BQ80+BQ129</f>
        <v>71972</v>
      </c>
      <c r="BR195" s="159">
        <f>BR27+BR80+BR129</f>
        <v>53073</v>
      </c>
      <c r="BS195" s="159">
        <f>VLOOKUP(D195,Tableau1[[FACEBOOK]:[sept-22]],70,0)+VLOOKUP(Tableau12[[#This Row],[Epreuves]],$B$52:$BT$105,70,0)+VLOOKUP(Tableau12[[#This Row],[Epreuves]],Tableau7[[INSTAGRAM]:[sept-22]],70,0)</f>
        <v>48662</v>
      </c>
      <c r="BT195" s="159">
        <f>VLOOKUP(D195,Tableau1[[FACEBOOK]:[sept-22]],71,0)+VLOOKUP(Tableau12[[#This Row],[Epreuves]],$B$52:$BT$105,71,0)+VLOOKUP(Tableau12[[#This Row],[Epreuves]],Tableau7[[INSTAGRAM]:[sept-22]],71,0)</f>
        <v>47223</v>
      </c>
      <c r="BU195" s="159">
        <f>VLOOKUP(D195,Tableau1[[FACEBOOK]:[nov-22]],72,0)+VLOOKUP(Tableau12[[#This Row],[Epreuves]],B53:BU109,72,0)+VLOOKUP(Tableau12[[#This Row],[Epreuves]],Tableau7[[INSTAGRAM]:[nov-22]],72,0)</f>
        <v>47043</v>
      </c>
      <c r="BV195" s="159">
        <f>BV29+BV90+BV142</f>
        <v>46194</v>
      </c>
      <c r="BW195" s="159">
        <f>BW29+BW90+BW142</f>
        <v>45768</v>
      </c>
      <c r="BX195" s="159">
        <f>BX29+BX90+BX142</f>
        <v>45658</v>
      </c>
      <c r="BZ195" s="563">
        <f>(Tableau12[[#This Row],[avr-25]]-Tableau12[[#This Row],[avr-24]])/Tableau12[[#This Row],[avr-24]]</f>
        <v>-2.4034259744799861E-3</v>
      </c>
      <c r="CA195" s="547">
        <f>Tableau12[[#This Row],[avr-25]]-Tableau12[[#This Row],[avr-24]]</f>
        <v>-110</v>
      </c>
      <c r="CU195" s="9" t="str">
        <f>D198</f>
        <v>Deutschland Deine Tour</v>
      </c>
      <c r="CV195" s="531">
        <f>BS198</f>
        <v>33153</v>
      </c>
      <c r="CW195" s="531">
        <f>BV198</f>
        <v>42705</v>
      </c>
      <c r="CX195" s="531">
        <f>BW198</f>
        <v>42726</v>
      </c>
      <c r="CY195" s="531">
        <f t="shared" si="22"/>
        <v>9573</v>
      </c>
    </row>
    <row r="196" spans="3:104" x14ac:dyDescent="0.3">
      <c r="D196" s="127" t="s">
        <v>39</v>
      </c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46">
        <f>VLOOKUP(D196,$B$1:$CB$44,46,0)+VLOOKUP(D196,$B$49:$BF$105,46,0)+VLOOKUP(D196,$B$109:$BD$139,46,0)</f>
        <v>253110</v>
      </c>
      <c r="AV196" s="46">
        <f>VLOOKUP($D$172,$B$1:$CB$44,47,0)+VLOOKUP($D$172,$B$49:$BF$105,47,0)+VLOOKUP($D$172,$B$109:$BD$139,47,0)</f>
        <v>264203</v>
      </c>
      <c r="AW196" s="46">
        <f>VLOOKUP($D196,$B$2:$CB$44,48,0)+VLOOKUP($D196,$B$51:$CB$105,48,0)+VLOOKUP($D196,$B$112:$BZ$140,48,0)</f>
        <v>252454</v>
      </c>
      <c r="AX196" s="46">
        <f t="shared" si="23"/>
        <v>252085</v>
      </c>
      <c r="AY196" s="46">
        <f>VLOOKUP($D196,$B$2:$CB$44,50,0)+VLOOKUP($D196,$B$51:$CB$105,50,0)+VLOOKUP($D196,$B$112:$BZ$147,50,0)</f>
        <v>251452</v>
      </c>
      <c r="AZ196" s="46">
        <f t="shared" si="24"/>
        <v>251513</v>
      </c>
      <c r="BA196" s="46">
        <f>VLOOKUP($D196,$B$2:$CB$44,52,0)+VLOOKUP($D196,$B$51:$CB$105,52,0)+VLOOKUP($D196,$B$112:$BZ$147,52,0)</f>
        <v>251260</v>
      </c>
      <c r="BB196" s="46">
        <f>VLOOKUP($D196,$B$2:$CB$44,53,0)+VLOOKUP($D196,$B$51:$CB$105,53,0)+VLOOKUP($D196,$B$112:$BZ$147,53,0)</f>
        <v>251145</v>
      </c>
      <c r="BC196" s="46">
        <f>VLOOKUP($D196,$B$2:$CB$44,54,0)+VLOOKUP($D196,$B$51:$CB$105,54,0)+VLOOKUP($D196,$B$112:$BZ$147,54,0)</f>
        <v>260205</v>
      </c>
      <c r="BD196" s="46">
        <f t="shared" si="34"/>
        <v>267133</v>
      </c>
      <c r="BE196" s="46" t="e">
        <f t="shared" si="31"/>
        <v>#N/A</v>
      </c>
      <c r="BF196" s="46" t="e">
        <f t="shared" si="32"/>
        <v>#N/A</v>
      </c>
      <c r="BG196" s="46" t="e">
        <f t="shared" si="25"/>
        <v>#N/A</v>
      </c>
      <c r="BH196" s="336">
        <f t="shared" si="26"/>
        <v>282314</v>
      </c>
      <c r="BI196" s="336">
        <f t="shared" si="27"/>
        <v>281582</v>
      </c>
      <c r="BJ196" s="336">
        <f t="shared" si="28"/>
        <v>281159</v>
      </c>
      <c r="BK196" s="336">
        <f t="shared" si="29"/>
        <v>280427</v>
      </c>
      <c r="BL196" s="336">
        <f t="shared" si="33"/>
        <v>278243</v>
      </c>
      <c r="BM196" s="336">
        <f t="shared" si="33"/>
        <v>278243</v>
      </c>
      <c r="BN196" s="337">
        <f t="shared" si="33"/>
        <v>278243</v>
      </c>
      <c r="BO196" s="337">
        <f t="shared" si="30"/>
        <v>272996</v>
      </c>
      <c r="BP196" s="337">
        <f>VLOOKUP($D196,$B$2:$BP$44,67,0)+VLOOKUP($D196,$B$51:$BP$107,67,0)+VLOOKUP($D196,$B$112:$BP$148,67,0)</f>
        <v>271920</v>
      </c>
      <c r="BQ196" s="159">
        <f>BQ58+BQ116</f>
        <v>118261</v>
      </c>
      <c r="BR196" s="159">
        <f>BR58+BR116</f>
        <v>147260</v>
      </c>
      <c r="BS196" s="159">
        <f>VLOOKUP(D196,Tableau1[[FACEBOOK]:[sept-22]],70,0)+VLOOKUP(Tableau12[[#This Row],[Epreuves]],$B$52:$BT$105,70,0)+VLOOKUP(Tableau12[[#This Row],[Epreuves]],Tableau7[[INSTAGRAM]:[sept-22]],70,0)</f>
        <v>86276</v>
      </c>
      <c r="BT196" s="159">
        <f>VLOOKUP(D196,Tableau1[[FACEBOOK]:[sept-22]],71,0)+VLOOKUP(Tableau12[[#This Row],[Epreuves]],$B$52:$BT$105,71,0)+VLOOKUP(Tableau12[[#This Row],[Epreuves]],Tableau7[[INSTAGRAM]:[sept-22]],71,0)</f>
        <v>43400</v>
      </c>
      <c r="BU196" s="159">
        <f>VLOOKUP(D196,Tableau1[[FACEBOOK]:[nov-22]],72,0)+VLOOKUP(Tableau12[[#This Row],[Epreuves]],B54:BU110,72,0)+VLOOKUP(Tableau12[[#This Row],[Epreuves]],Tableau7[[INSTAGRAM]:[nov-22]],72,0)</f>
        <v>43168</v>
      </c>
      <c r="BV196" s="159">
        <f>BV43+BV105+BV121</f>
        <v>42000</v>
      </c>
      <c r="BW196" s="159">
        <f>BW43+BW105+BW121</f>
        <v>41333</v>
      </c>
      <c r="BX196" s="159">
        <f>BX43+BX105+BX121</f>
        <v>41122</v>
      </c>
      <c r="BZ196" s="563">
        <f>(Tableau12[[#This Row],[avr-25]]-Tableau12[[#This Row],[avr-24]])/Tableau12[[#This Row],[avr-24]]</f>
        <v>-5.104879878063533E-3</v>
      </c>
      <c r="CA196" s="547">
        <f>Tableau12[[#This Row],[avr-25]]-Tableau12[[#This Row],[avr-24]]</f>
        <v>-211</v>
      </c>
      <c r="CU196" s="9" t="str">
        <f>D204</f>
        <v>Paris - Tours</v>
      </c>
      <c r="CV196" s="531">
        <f>BS204</f>
        <v>17360</v>
      </c>
      <c r="CW196" s="531">
        <f>BV204</f>
        <v>20956</v>
      </c>
      <c r="CX196" s="531">
        <f>BW204</f>
        <v>21627</v>
      </c>
      <c r="CY196" s="531">
        <f t="shared" si="22"/>
        <v>4267</v>
      </c>
    </row>
    <row r="197" spans="3:104" x14ac:dyDescent="0.3">
      <c r="D197" s="127" t="s">
        <v>37</v>
      </c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46" t="e">
        <f>VLOOKUP(D197,$B$1:$CB$44,46,0)+VLOOKUP(D197,$B$49:$BF$105,46,0)+VLOOKUP(D197,$B$109:$BD$139,46,0)</f>
        <v>#N/A</v>
      </c>
      <c r="AV197" s="46" t="e">
        <f>VLOOKUP($D$194,$B$1:$CB$44,47,0)+VLOOKUP($D$194,$B$49:$BF$105,47,0)+VLOOKUP($D$194,$B$109:$BD$139,47,0)</f>
        <v>#N/A</v>
      </c>
      <c r="AW197" s="46" t="e">
        <f>VLOOKUP($D197,$B$1:$CB$44,48,0)+VLOOKUP($D197,$B$49:$BF$105,48,0)+VLOOKUP($D197,$B$109:$BD$139,48,0)</f>
        <v>#N/A</v>
      </c>
      <c r="AX197" s="46">
        <f t="shared" si="23"/>
        <v>34449</v>
      </c>
      <c r="AY197" s="46">
        <f>VLOOKUP($D197,$B$2:$CB$44,50,0)+VLOOKUP($D197,$B$51:$CB$105,50,0)+VLOOKUP($D197,$B$112:$BZ$147,50,0)</f>
        <v>34326</v>
      </c>
      <c r="AZ197" s="46">
        <f t="shared" si="24"/>
        <v>34276</v>
      </c>
      <c r="BA197" s="46">
        <f>VLOOKUP($D197,$B$2:$CB$44,52,0)+VLOOKUP($D197,$B$51:$CB$105,52,0)+VLOOKUP($D197,$B$112:$BZ$147,52,0)</f>
        <v>34391</v>
      </c>
      <c r="BB197" s="46">
        <f>VLOOKUP($D197,$B$2:$CB$44,53,0)+VLOOKUP($D197,$B$51:$CB$105,53,0)+VLOOKUP($D197,$B$112:$BZ$147,53,0)</f>
        <v>37342</v>
      </c>
      <c r="BC197" s="46">
        <f>VLOOKUP($D197,$B$2:$CB$44,54,0)+VLOOKUP($D197,$B$51:$CB$105,54,0)+VLOOKUP($D197,$B$112:$BZ$147,54,0)</f>
        <v>37760</v>
      </c>
      <c r="BD197" s="46">
        <f t="shared" si="34"/>
        <v>37816</v>
      </c>
      <c r="BE197" s="46" t="e">
        <f t="shared" si="31"/>
        <v>#N/A</v>
      </c>
      <c r="BF197" s="46">
        <f t="shared" si="32"/>
        <v>37634</v>
      </c>
      <c r="BG197" s="46">
        <f t="shared" si="25"/>
        <v>37633</v>
      </c>
      <c r="BH197" s="336">
        <f t="shared" si="26"/>
        <v>37546</v>
      </c>
      <c r="BI197" s="336">
        <f t="shared" si="27"/>
        <v>37466</v>
      </c>
      <c r="BJ197" s="336">
        <f t="shared" si="28"/>
        <v>37380</v>
      </c>
      <c r="BK197" s="336">
        <f t="shared" si="29"/>
        <v>37322</v>
      </c>
      <c r="BL197" s="336">
        <f t="shared" si="33"/>
        <v>37231</v>
      </c>
      <c r="BM197" s="336">
        <f t="shared" si="33"/>
        <v>37231</v>
      </c>
      <c r="BN197" s="337">
        <f t="shared" si="33"/>
        <v>37231</v>
      </c>
      <c r="BO197" s="337">
        <f t="shared" si="30"/>
        <v>36694</v>
      </c>
      <c r="BP197" s="337">
        <f>VLOOKUP($D197,$B$2:$BP$44,67,0)+VLOOKUP($D197,$B$51:$BP$107,67,0)+VLOOKUP($D197,$B$112:$BP$148,67,0)</f>
        <v>21026</v>
      </c>
      <c r="BQ197" s="159">
        <f>BQ145+BQ82+BQ36</f>
        <v>15593</v>
      </c>
      <c r="BR197" s="159">
        <f>BR145+BR82+BR36</f>
        <v>15812</v>
      </c>
      <c r="BS197" s="159">
        <f>VLOOKUP(D197,Tableau1[[FACEBOOK]:[sept-22]],70,0)+VLOOKUP(Tableau12[[#This Row],[Epreuves]],$B$52:$BT$105,70,0)+VLOOKUP(Tableau12[[#This Row],[Epreuves]],Tableau7[[INSTAGRAM]:[sept-22]],70,0)</f>
        <v>40177</v>
      </c>
      <c r="BT197" s="159">
        <f>VLOOKUP(D197,Tableau1[[FACEBOOK]:[sept-22]],71,0)+VLOOKUP(Tableau12[[#This Row],[Epreuves]],$B$52:$BT$105,71,0)+VLOOKUP(Tableau12[[#This Row],[Epreuves]],Tableau7[[INSTAGRAM]:[sept-22]],71,0)</f>
        <v>41801</v>
      </c>
      <c r="BU197" s="159">
        <f>VLOOKUP(D197,Tableau1[[FACEBOOK]:[nov-22]],72,0)+VLOOKUP(Tableau12[[#This Row],[Epreuves]],B55:BU111,72,0)+VLOOKUP(Tableau12[[#This Row],[Epreuves]],Tableau7[[INSTAGRAM]:[nov-22]],72,0)</f>
        <v>41712</v>
      </c>
      <c r="BV197" s="159">
        <f>BV33+BV84+BV147</f>
        <v>59086</v>
      </c>
      <c r="BW197" s="159">
        <f>BW33+BW84+BW147</f>
        <v>78067</v>
      </c>
      <c r="BX197" s="159">
        <f>BX33+BX84+BX147</f>
        <v>74932</v>
      </c>
      <c r="BZ197" s="563">
        <f>(Tableau12[[#This Row],[avr-25]]-Tableau12[[#This Row],[avr-24]])/Tableau12[[#This Row],[avr-24]]</f>
        <v>-4.0157813160490351E-2</v>
      </c>
      <c r="CA197" s="547">
        <f>Tableau12[[#This Row],[avr-25]]-Tableau12[[#This Row],[avr-24]]</f>
        <v>-3135</v>
      </c>
      <c r="CB197" s="579"/>
      <c r="CV197" s="531">
        <f>SUM(CV187:CV196)</f>
        <v>10108346</v>
      </c>
      <c r="CW197" s="531">
        <f>SUM(CW187:CW196)</f>
        <v>12082398</v>
      </c>
      <c r="CX197" s="531">
        <f>SUM(CX187:CX196)</f>
        <v>12297473</v>
      </c>
      <c r="CY197" s="15">
        <f>(CX197-CW197)/CW197</f>
        <v>1.7800688240860795E-2</v>
      </c>
      <c r="CZ197" s="15">
        <f>(CX197-CV197)/CV197</f>
        <v>0.21656629086499413</v>
      </c>
    </row>
    <row r="198" spans="3:104" x14ac:dyDescent="0.3">
      <c r="C198" s="9" t="s">
        <v>394</v>
      </c>
      <c r="D198" s="134" t="s">
        <v>155</v>
      </c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35" t="s">
        <v>158</v>
      </c>
      <c r="AV198" s="46" t="e">
        <f>VLOOKUP($D$197,$B$1:$CB$47,47,0)+VLOOKUP($D$197,$B$49:$BF$105,47,0)+VLOOKUP($D$197,$B$109:$BD$140,47,0)</f>
        <v>#N/A</v>
      </c>
      <c r="AW198" s="46">
        <f>VLOOKUP($D198,$B$2:$CB$44,48,0)+VLOOKUP($D198,$B$49:$BF$105,48,0)+VLOOKUP($D198,$B$109:$BD$140,48,0)</f>
        <v>12783</v>
      </c>
      <c r="AX198" s="46">
        <f t="shared" si="23"/>
        <v>12718</v>
      </c>
      <c r="AY198" s="46">
        <f>VLOOKUP($D198,$B$2:$CB$44,50,0)+VLOOKUP($D198,$B$51:$CB$105,50,0)+VLOOKUP($D198,$B$112:$BZ$147,50,0)</f>
        <v>12651</v>
      </c>
      <c r="AZ198" s="46">
        <f t="shared" si="24"/>
        <v>12577</v>
      </c>
      <c r="BA198" s="46">
        <f>VLOOKUP($D198,$B$2:$CB$44,52,0)+VLOOKUP($D198,$B$51:$CB$105,52,0)+VLOOKUP($D198,$B$112:$BZ$147,52,0)</f>
        <v>12545</v>
      </c>
      <c r="BB198" s="46">
        <f>VLOOKUP($D198,$B$2:$CB$44,53,0)+VLOOKUP($D198,$B$51:$CB$105,53,0)+VLOOKUP($D198,$B$112:$BZ$147,53,0)</f>
        <v>12627</v>
      </c>
      <c r="BC198" s="46">
        <f>VLOOKUP($D198,$B$2:$CB$44,54,0)+VLOOKUP($D198,$B$51:$CB$105,54,0)+VLOOKUP($D198,$B$112:$BZ$147,54,0)</f>
        <v>12995</v>
      </c>
      <c r="BD198" s="46">
        <f t="shared" si="34"/>
        <v>13378</v>
      </c>
      <c r="BE198" s="46" t="e">
        <f>VLOOKUP($D198,$B$2:$BM$48,56,0)+VLOOKUP($D198,$B$49:$BM$85,56,0)+VLOOKUP($D198,$B$110:$BM$152,56,0)</f>
        <v>#N/A</v>
      </c>
      <c r="BF198" s="46" t="e">
        <f t="shared" si="32"/>
        <v>#N/A</v>
      </c>
      <c r="BG198" s="46" t="e">
        <f t="shared" si="25"/>
        <v>#N/A</v>
      </c>
      <c r="BH198" s="336">
        <f t="shared" si="26"/>
        <v>25105</v>
      </c>
      <c r="BI198" s="336">
        <f t="shared" si="27"/>
        <v>25878</v>
      </c>
      <c r="BJ198" s="336">
        <f t="shared" si="28"/>
        <v>25867</v>
      </c>
      <c r="BK198" s="336">
        <f t="shared" si="29"/>
        <v>25940</v>
      </c>
      <c r="BL198" s="336">
        <f t="shared" si="33"/>
        <v>26753</v>
      </c>
      <c r="BM198" s="336">
        <f t="shared" si="33"/>
        <v>26753</v>
      </c>
      <c r="BN198" s="337">
        <f t="shared" si="33"/>
        <v>26753</v>
      </c>
      <c r="BO198" s="337">
        <f t="shared" si="30"/>
        <v>27485</v>
      </c>
      <c r="BP198" s="159" t="e">
        <f>#REF!+BP110+BP60</f>
        <v>#REF!</v>
      </c>
      <c r="BQ198" s="159" t="e">
        <f>#REF!+BQ110+BQ60</f>
        <v>#REF!</v>
      </c>
      <c r="BR198" s="159" t="e">
        <f>#REF!+BR110+BR60</f>
        <v>#REF!</v>
      </c>
      <c r="BS198" s="159">
        <f>VLOOKUP(D198,Tableau1[[FACEBOOK]:[sept-22]],70,0)+VLOOKUP(Tableau12[[#This Row],[Epreuves]],$B$52:$BT$105,70,0)+VLOOKUP(Tableau12[[#This Row],[Epreuves]],Tableau7[[INSTAGRAM]:[sept-22]],70,0)</f>
        <v>33153</v>
      </c>
      <c r="BT198" s="159">
        <f>VLOOKUP(D198,Tableau1[[FACEBOOK]:[sept-22]],71,0)+VLOOKUP(Tableau12[[#This Row],[Epreuves]],$B$52:$BT$105,71,0)+VLOOKUP(Tableau12[[#This Row],[Epreuves]],Tableau7[[INSTAGRAM]:[sept-22]],71,0)</f>
        <v>38639</v>
      </c>
      <c r="BU198" s="159">
        <f>VLOOKUP(D198,Tableau1[[FACEBOOK]:[nov-22]],72,0)+VLOOKUP(Tableau12[[#This Row],[Epreuves]],B56:BU112,72,0)+VLOOKUP(Tableau12[[#This Row],[Epreuves]],Tableau7[[INSTAGRAM]:[nov-22]],72,0)</f>
        <v>38322</v>
      </c>
      <c r="BV198" s="159">
        <f>BV34+BV100+BV138</f>
        <v>42705</v>
      </c>
      <c r="BW198" s="159">
        <f>BW34+BW100+BW138</f>
        <v>42726</v>
      </c>
      <c r="BX198" s="159">
        <f>BX34+BX100+BX138</f>
        <v>42811</v>
      </c>
      <c r="BZ198" s="563">
        <f>(Tableau12[[#This Row],[avr-25]]-Tableau12[[#This Row],[avr-24]])/Tableau12[[#This Row],[avr-24]]</f>
        <v>1.9894209614754483E-3</v>
      </c>
      <c r="CA198" s="547">
        <f>Tableau12[[#This Row],[avr-25]]-Tableau12[[#This Row],[avr-24]]</f>
        <v>85</v>
      </c>
    </row>
    <row r="199" spans="3:104" x14ac:dyDescent="0.3">
      <c r="D199" s="147" t="s">
        <v>282</v>
      </c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59"/>
      <c r="AV199" s="159"/>
      <c r="AW199" s="159" t="e">
        <f>VLOOKUP(E199,$B$1:$CB$44,47,0)+VLOOKUP(E199,$B$49:$BF$105,47,0)+VLOOKUP(E199,$B$109:$BD$139,47,0)</f>
        <v>#N/A</v>
      </c>
      <c r="AX199" s="159">
        <f t="shared" si="23"/>
        <v>0</v>
      </c>
      <c r="AY199" s="159"/>
      <c r="AZ199" s="159">
        <f t="shared" si="24"/>
        <v>0</v>
      </c>
      <c r="BA199" s="159"/>
      <c r="BB199" s="160"/>
      <c r="BC199" s="131"/>
      <c r="BD199" s="46">
        <f t="shared" si="34"/>
        <v>0</v>
      </c>
      <c r="BE199" s="46" t="e">
        <f>VLOOKUP($D199,$B$2:$CB$44,56,0)+VLOOKUP($D199,$B$49:$BM$82,56,0)+VLOOKUP($D199,$B$110:$BM$141,56,0)</f>
        <v>#N/A</v>
      </c>
      <c r="BF199" s="46" t="e">
        <f>VLOOKUP($D199,$B$2:$BM$46,57,0)+VLOOKUP($D199,$B$51:$BN$85,57,0)+VLOOKUP($D199,$B$112:$BN$148,57,0)</f>
        <v>#N/A</v>
      </c>
      <c r="BG199" s="46">
        <f>VLOOKUP($D199,$B$2:$BM$46,58,0)+VLOOKUP($D199,$B$51:$BM$93,58,0)+VLOOKUP($D199,$B$112:$BN$148,58,0)</f>
        <v>0</v>
      </c>
      <c r="BH199" s="336">
        <f>VLOOKUP($D199,$B$2:$BM$46,59,0)+VLOOKUP($D199,$B$51:$BM$107,59,0)+VLOOKUP($D199,$B$112:$BM$151,59,0)</f>
        <v>0</v>
      </c>
      <c r="BI199" s="336">
        <f>VLOOKUP($D199,$B$2:$BM$46,60,0)+VLOOKUP($D199,$B$51:$BM$107,60,0)+VLOOKUP($D199,$B$112:$BM$151,60,0)</f>
        <v>0</v>
      </c>
      <c r="BJ199" s="336">
        <f>VLOOKUP($D199,$B$2:$BM$46,61,0)+VLOOKUP($D199,$B$51:$BM$107,61,0)+VLOOKUP($D199,$B$112:$BM$151,61,0)</f>
        <v>0</v>
      </c>
      <c r="BK199" s="336">
        <f>VLOOKUP($D199,$B$2:$BM$46,62,0)+VLOOKUP($D199,$B$51:$BM$107,62,0)+VLOOKUP($D199,$B$112:$BM$151,62,0)</f>
        <v>0</v>
      </c>
      <c r="BL199" s="337">
        <f>VLOOKUP($D199,$B$2:$BM$46,63,0)+VLOOKUP($D199,$B$51:$BM$107,63,0)+VLOOKUP($D199,$B$112:$BM$151,63,0)</f>
        <v>0</v>
      </c>
      <c r="BM199" s="312"/>
      <c r="BN199" s="159"/>
      <c r="BO199" s="159"/>
      <c r="BP199" s="159"/>
      <c r="BQ199" s="159"/>
      <c r="BR199" s="159"/>
      <c r="BS199" s="159"/>
      <c r="BT199" s="159">
        <f>VLOOKUP(D199,Tableau1[[FACEBOOK]:[sept-22]],71,0)+VLOOKUP(Tableau12[[#This Row],[Epreuves]],$B$52:$BT$106,71,0)+VLOOKUP(Tableau12[[#This Row],[Epreuves]],Tableau7[[INSTAGRAM]:[sept-22]],71,0)</f>
        <v>33696</v>
      </c>
      <c r="BU199" s="159">
        <f>VLOOKUP(D199,Tableau1[[FACEBOOK]:[nov-22]],72,0)+VLOOKUP(Tableau12[[#This Row],[Epreuves]],B57:BU113,72,0)+VLOOKUP(Tableau12[[#This Row],[Epreuves]],Tableau7[[INSTAGRAM]:[nov-22]],72,0)</f>
        <v>33569</v>
      </c>
      <c r="BV199" s="159">
        <f>BV36+BV86+BV145</f>
        <v>34024</v>
      </c>
      <c r="BW199" s="159">
        <f>BW36+BW86+BW145</f>
        <v>32762</v>
      </c>
      <c r="BX199" s="159">
        <f>BX36+BX86+BX145</f>
        <v>32671</v>
      </c>
      <c r="BZ199" s="563">
        <f>(Tableau12[[#This Row],[avr-25]]-Tableau12[[#This Row],[avr-24]])/Tableau12[[#This Row],[avr-24]]</f>
        <v>-2.777608204627312E-3</v>
      </c>
      <c r="CA199" s="547">
        <f>Tableau12[[#This Row],[avr-25]]-Tableau12[[#This Row],[avr-24]]</f>
        <v>-91</v>
      </c>
      <c r="CV199" s="9" t="s">
        <v>46</v>
      </c>
    </row>
    <row r="200" spans="3:104" x14ac:dyDescent="0.3">
      <c r="D200" s="129" t="s">
        <v>44</v>
      </c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1">
        <f>VLOOKUP(D200,$B$1:$CB$44,46,0)+VLOOKUP(D200,$B$49:$BF$105,46,0)+VLOOKUP(D200,$B$109:$BD$139,46,0)</f>
        <v>77922</v>
      </c>
      <c r="AV200" s="131" t="e">
        <f>VLOOKUP($D$185,$B$1:$CB$44,47,0)+VLOOKUP($D$185,$B$49:$BF$105,47,0)+VLOOKUP($D$185,$B$109:$BD$139,47,0)</f>
        <v>#N/A</v>
      </c>
      <c r="AW200" s="131">
        <f>VLOOKUP($D200,$B$2:$CB$44,48,0)+VLOOKUP($D200,$B$51:$CB$105,48,0)+VLOOKUP($D200,$B$112:$BZ$140,48,0)</f>
        <v>81851</v>
      </c>
      <c r="AX200" s="131">
        <f t="shared" si="23"/>
        <v>81709</v>
      </c>
      <c r="AY200" s="131">
        <f>VLOOKUP($D200,$B$2:$CB$44,50,0)+VLOOKUP($D200,$B$51:$CB$105,50,0)+VLOOKUP($D200,$B$112:$BZ$147,50,0)</f>
        <v>81438</v>
      </c>
      <c r="AZ200" s="131">
        <f t="shared" si="24"/>
        <v>81259</v>
      </c>
      <c r="BA200" s="131">
        <f>VLOOKUP($D200,$B$2:$CB$44,52,0)+VLOOKUP($D200,$B$51:$CB$105,52,0)+VLOOKUP($D200,$B$112:$BZ$147,52,0)</f>
        <v>81248</v>
      </c>
      <c r="BB200" s="131">
        <f>VLOOKUP($D200,$B$2:$CB$44,53,0)+VLOOKUP($D200,$B$51:$CB$105,53,0)+VLOOKUP($D200,$B$112:$BZ$147,53,0)</f>
        <v>81188</v>
      </c>
      <c r="BC200" s="46">
        <f>VLOOKUP($D200,$B$2:$CB$44,54,0)+VLOOKUP($D200,$B$51:$CB$105,54,0)+VLOOKUP($D200,$B$112:$BZ$147,54,0)</f>
        <v>81095</v>
      </c>
      <c r="BD200" s="46">
        <f t="shared" si="34"/>
        <v>81102</v>
      </c>
      <c r="BE200" s="46">
        <f>VLOOKUP($D200,$B$2:$CB$44,56,0)+VLOOKUP($D200,$B$49:$BM$82,56,0)+VLOOKUP($D200,$B$110:$BM$141,56,0)</f>
        <v>81124</v>
      </c>
      <c r="BF200" s="46">
        <f>VLOOKUP($D200,$B$2:$BM$44,57,0)+VLOOKUP($D200,$B$51:$BN$85,57,0)+VLOOKUP($D200,$B$112:$BN$148,57,0)</f>
        <v>81288</v>
      </c>
      <c r="BG200" s="46">
        <f>VLOOKUP($D200,$B$2:$BM$44,58,0)+VLOOKUP($D200,$B$51:$BM$93,58,0)+VLOOKUP($D200,$B$112:$BN$148,58,0)</f>
        <v>81418</v>
      </c>
      <c r="BH200" s="336">
        <f>VLOOKUP($D200,$B$2:$BM$44,59,0)+VLOOKUP($D200,$B$51:$BM$107,59,0)+VLOOKUP($D200,$B$112:$BM$148,59,0)</f>
        <v>84601</v>
      </c>
      <c r="BI200" s="336">
        <f>VLOOKUP($D200,$B$2:$BM$44,60,0)+VLOOKUP($D200,$B$51:$BM$107,60,0)+VLOOKUP($D200,$B$112:$BM$148,60,0)</f>
        <v>84418</v>
      </c>
      <c r="BJ200" s="336">
        <f>VLOOKUP($D200,$B$2:$BM$44,61,0)+VLOOKUP($D200,$B$51:$BM$107,61,0)+VLOOKUP($D200,$B$112:$BM$148,61,0)</f>
        <v>84285</v>
      </c>
      <c r="BK200" s="336">
        <f>VLOOKUP($D200,$B$2:$BM$44,62,0)+VLOOKUP($D200,$B$51:$BM$107,62,0)+VLOOKUP($D200,$B$112:$BM$148,62,0)</f>
        <v>84163</v>
      </c>
      <c r="BL200" s="336">
        <f>VLOOKUP($D200,$B$2:$BM$44,63,0)+VLOOKUP($D200,$B$51:$BM$107,63,0)+VLOOKUP($D200,$B$112:$BM$148,63,0)</f>
        <v>88948</v>
      </c>
      <c r="BM200" s="444">
        <f>VLOOKUP($D200,$B$2:$BM$44,63,0)+VLOOKUP($D200,$B$51:$BM$107,63,0)+VLOOKUP($D200,$B$112:$BM$148,63,0)</f>
        <v>88948</v>
      </c>
      <c r="BN200" s="337">
        <f>VLOOKUP($D200,$B$2:$BM$44,63,0)+VLOOKUP($D200,$B$51:$BM$107,63,0)+VLOOKUP($D200,$B$112:$BM$148,63,0)</f>
        <v>88948</v>
      </c>
      <c r="BO200" s="337">
        <f>VLOOKUP($D200,$B$2:$BO$44,66,0)+VLOOKUP($D200,$B$51:$BO$107,66,0)+VLOOKUP($D200,$B$112:$BO$148,66,0)</f>
        <v>87592</v>
      </c>
      <c r="BP200" s="159" t="e">
        <f>BP158+#REF!+BP47</f>
        <v>#REF!</v>
      </c>
      <c r="BQ200" s="159" t="e">
        <f>BQ158+#REF!+BQ47</f>
        <v>#REF!</v>
      </c>
      <c r="BR200" s="159" t="e">
        <f>BR158+#REF!+BR47</f>
        <v>#REF!</v>
      </c>
      <c r="BS200" s="159">
        <f>VLOOKUP(D200,Tableau1[[FACEBOOK]:[sept-22]],70,0)+VLOOKUP(Tableau12[[#This Row],[Epreuves]],$B$52:$BT$105,70,0)+VLOOKUP(Tableau12[[#This Row],[Epreuves]],Tableau7[[INSTAGRAM]:[sept-22]],70,0)</f>
        <v>18421</v>
      </c>
      <c r="BT200" s="159">
        <f>VLOOKUP(D200,Tableau1[[FACEBOOK]:[sept-22]],71,0)+VLOOKUP(Tableau12[[#This Row],[Epreuves]],$B$52:$BT$105,71,0)+VLOOKUP(Tableau12[[#This Row],[Epreuves]],Tableau7[[INSTAGRAM]:[sept-22]],71,0)</f>
        <v>30000</v>
      </c>
      <c r="BU200" s="159">
        <f>VLOOKUP(D200,Tableau1[[FACEBOOK]:[nov-22]],72,0)+VLOOKUP(Tableau12[[#This Row],[Epreuves]],B58:BU114,72,0)+VLOOKUP(Tableau12[[#This Row],[Epreuves]],Tableau7[[INSTAGRAM]:[nov-22]],72,0)</f>
        <v>29681</v>
      </c>
      <c r="BV200" s="159">
        <f>BV44+BV80+BV139</f>
        <v>83142</v>
      </c>
      <c r="BW200" s="159">
        <f>BW44+BW80+BW139</f>
        <v>81283</v>
      </c>
      <c r="BX200" s="159">
        <f>BX44+BX80+BX139</f>
        <v>80141</v>
      </c>
      <c r="BZ200" s="563">
        <f>(Tableau12[[#This Row],[avr-25]]-Tableau12[[#This Row],[avr-24]])/Tableau12[[#This Row],[avr-24]]</f>
        <v>-1.4049678284512137E-2</v>
      </c>
      <c r="CA200" s="547">
        <f>Tableau12[[#This Row],[avr-25]]-Tableau12[[#This Row],[avr-24]]</f>
        <v>-1142</v>
      </c>
      <c r="CB200" s="579"/>
      <c r="CU200" s="9">
        <v>2022</v>
      </c>
      <c r="CV200" s="531">
        <f>CV197</f>
        <v>10108346</v>
      </c>
      <c r="CX200" s="531">
        <f>CV202-CV200</f>
        <v>2189127</v>
      </c>
    </row>
    <row r="201" spans="3:104" x14ac:dyDescent="0.3">
      <c r="D201" s="438" t="s">
        <v>281</v>
      </c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  <c r="AA201" s="439"/>
      <c r="AB201" s="439"/>
      <c r="AC201" s="439"/>
      <c r="AD201" s="439"/>
      <c r="AE201" s="439"/>
      <c r="AF201" s="439"/>
      <c r="AG201" s="439"/>
      <c r="AH201" s="439"/>
      <c r="AI201" s="439"/>
      <c r="AJ201" s="439"/>
      <c r="AK201" s="439"/>
      <c r="AL201" s="439"/>
      <c r="AM201" s="439"/>
      <c r="AN201" s="439"/>
      <c r="AO201" s="439"/>
      <c r="AP201" s="439"/>
      <c r="AQ201" s="439"/>
      <c r="AR201" s="439"/>
      <c r="AS201" s="439"/>
      <c r="AT201" s="439"/>
      <c r="AU201" s="440"/>
      <c r="AV201" s="440"/>
      <c r="AW201" s="440" t="e">
        <f>VLOOKUP(E201,$B$1:$CB$44,47,0)+VLOOKUP(E201,$B$49:$BF$105,47,0)+VLOOKUP(E201,$B$109:$BD$139,47,0)</f>
        <v>#N/A</v>
      </c>
      <c r="AX201" s="440" t="e">
        <f t="shared" si="23"/>
        <v>#N/A</v>
      </c>
      <c r="AY201" s="440"/>
      <c r="AZ201" s="440" t="e">
        <f t="shared" si="24"/>
        <v>#N/A</v>
      </c>
      <c r="BA201" s="440"/>
      <c r="BB201" s="441"/>
      <c r="BC201" s="442"/>
      <c r="BD201" s="443" t="e">
        <f t="shared" si="34"/>
        <v>#N/A</v>
      </c>
      <c r="BE201" s="443" t="e">
        <f>VLOOKUP($D201,$B$2:$CB$44,56,0)+VLOOKUP($D201,$B$49:$BM$82,56,0)+VLOOKUP($D201,$B$110:$BM$141,56,0)</f>
        <v>#N/A</v>
      </c>
      <c r="BF201" s="443" t="e">
        <f>VLOOKUP($D201,$B$2:$BM$46,57,0)+VLOOKUP($D201,$B$51:$BN$85,57,0)+VLOOKUP($D201,$B$112:$BN$148,57,0)</f>
        <v>#N/A</v>
      </c>
      <c r="BG201" s="443">
        <f>VLOOKUP($D201,$B$2:$BM$46,58,0)+VLOOKUP($D201,$B$51:$BM$93,58,0)+VLOOKUP($D201,$B$112:$BN$148,58,0)</f>
        <v>0</v>
      </c>
      <c r="BH201" s="444">
        <f>VLOOKUP($D201,$B$2:$BM$46,59,0)+VLOOKUP($D201,$B$51:$BM$107,59,0)+VLOOKUP($D201,$B$112:$BM$151,59,0)</f>
        <v>0</v>
      </c>
      <c r="BI201" s="444">
        <f>VLOOKUP($D201,$B$2:$BM$46,60,0)+VLOOKUP($D201,$B$51:$BM$107,60,0)+VLOOKUP($D201,$B$112:$BM$151,60,0)</f>
        <v>0</v>
      </c>
      <c r="BJ201" s="444">
        <f>VLOOKUP($D201,$B$2:$BM$46,61,0)+VLOOKUP($D201,$B$51:$BM$107,61,0)+VLOOKUP($D201,$B$112:$BM$151,61,0)</f>
        <v>0</v>
      </c>
      <c r="BK201" s="444">
        <f>VLOOKUP($D201,$B$2:$BM$46,62,0)+VLOOKUP($D201,$B$51:$BM$107,62,0)+VLOOKUP($D201,$B$112:$BM$151,62,0)</f>
        <v>0</v>
      </c>
      <c r="BL201" s="447">
        <f>VLOOKUP($D201,$B$2:$BM$46,63,0)+VLOOKUP($D201,$B$51:$BM$107,63,0)+VLOOKUP($D201,$B$112:$BM$151,63,0)</f>
        <v>0</v>
      </c>
      <c r="BM201" s="445"/>
      <c r="BN201" s="159"/>
      <c r="BO201" s="159"/>
      <c r="BP201" s="159"/>
      <c r="BQ201" s="159"/>
      <c r="BR201" s="159"/>
      <c r="BS201" s="159"/>
      <c r="BT201" s="159">
        <f>VLOOKUP(D201,Tableau1[[FACEBOOK]:[sept-22]],71,0)+VLOOKUP(Tableau12[[#This Row],[Epreuves]],$B$52:$BT$106,71,0)+VLOOKUP(Tableau12[[#This Row],[Epreuves]],Tableau7[[INSTAGRAM]:[sept-22]],71,0)</f>
        <v>27496</v>
      </c>
      <c r="BU201" s="159">
        <f>VLOOKUP(D201,Tableau1[[FACEBOOK]:[nov-22]],72,0)+VLOOKUP(Tableau12[[#This Row],[Epreuves]],B59:BU115,72,0)+VLOOKUP(Tableau12[[#This Row],[Epreuves]],Tableau7[[INSTAGRAM]:[nov-22]],72,0)</f>
        <v>27285</v>
      </c>
      <c r="BV201" s="159">
        <f>BV38+BV87+BV148</f>
        <v>28768</v>
      </c>
      <c r="BW201" s="159">
        <f>BW38+BW87+BW148</f>
        <v>30212</v>
      </c>
      <c r="BX201" s="159">
        <f>BX38+BX87+BX148</f>
        <v>30119</v>
      </c>
      <c r="BZ201" s="563">
        <f>(Tableau12[[#This Row],[avr-25]]-Tableau12[[#This Row],[avr-24]])/Tableau12[[#This Row],[avr-24]]</f>
        <v>-3.0782470541506684E-3</v>
      </c>
      <c r="CA201" s="547">
        <f>Tableau12[[#This Row],[avr-25]]-Tableau12[[#This Row],[avr-24]]</f>
        <v>-93</v>
      </c>
      <c r="CU201" s="9">
        <v>2023</v>
      </c>
      <c r="CV201" s="531">
        <f>CW197</f>
        <v>12082398</v>
      </c>
      <c r="CX201" s="531">
        <f>CV202-CV201</f>
        <v>215075</v>
      </c>
    </row>
    <row r="202" spans="3:104" x14ac:dyDescent="0.3">
      <c r="D202" s="438" t="s">
        <v>327</v>
      </c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  <c r="AA202" s="439"/>
      <c r="AB202" s="439"/>
      <c r="AC202" s="439"/>
      <c r="AD202" s="439"/>
      <c r="AE202" s="439"/>
      <c r="AF202" s="439"/>
      <c r="AG202" s="439"/>
      <c r="AH202" s="439"/>
      <c r="AI202" s="439"/>
      <c r="AJ202" s="439"/>
      <c r="AK202" s="439"/>
      <c r="AL202" s="439"/>
      <c r="AM202" s="439"/>
      <c r="AN202" s="439"/>
      <c r="AO202" s="439"/>
      <c r="AP202" s="439"/>
      <c r="AQ202" s="439"/>
      <c r="AR202" s="439"/>
      <c r="AS202" s="439"/>
      <c r="AT202" s="439"/>
      <c r="AU202" s="440"/>
      <c r="AV202" s="440"/>
      <c r="AW202" s="440" t="e">
        <f>VLOOKUP(E202,$B$1:$CB$44,47,0)+VLOOKUP(E202,$B$49:$BF$105,47,0)+VLOOKUP(E202,$B$109:$BD$139,47,0)</f>
        <v>#N/A</v>
      </c>
      <c r="AX202" s="440" t="e">
        <f t="shared" si="23"/>
        <v>#N/A</v>
      </c>
      <c r="AY202" s="440"/>
      <c r="AZ202" s="440" t="e">
        <f t="shared" si="24"/>
        <v>#N/A</v>
      </c>
      <c r="BA202" s="440"/>
      <c r="BB202" s="441"/>
      <c r="BC202" s="442"/>
      <c r="BD202" s="443" t="e">
        <f t="shared" si="34"/>
        <v>#N/A</v>
      </c>
      <c r="BE202" s="443" t="e">
        <f>VLOOKUP($D202,$B$2:$CB$44,56,0)+VLOOKUP($D202,$B$49:$BM$82,56,0)+VLOOKUP($D202,$B$110:$BM$141,56,0)</f>
        <v>#N/A</v>
      </c>
      <c r="BF202" s="443" t="e">
        <f>VLOOKUP($D202,$B$2:$BM$46,57,0)+VLOOKUP($D202,$B$51:$BN$85,57,0)+VLOOKUP($D202,$B$112:$BN$148,57,0)</f>
        <v>#N/A</v>
      </c>
      <c r="BG202" s="443" t="e">
        <f>VLOOKUP($D202,$B$2:$BM$46,58,0)+VLOOKUP($D202,$B$51:$BM$93,58,0)+VLOOKUP($D202,$B$112:$BN$148,58,0)</f>
        <v>#N/A</v>
      </c>
      <c r="BH202" s="444" t="e">
        <f>VLOOKUP($D202,$B$2:$BM$46,59,0)+VLOOKUP($D202,$B$51:$BM$107,59,0)+VLOOKUP($D202,$B$112:$BM$151,59,0)</f>
        <v>#N/A</v>
      </c>
      <c r="BI202" s="444" t="e">
        <f>VLOOKUP($D202,$B$2:$BM$46,60,0)+VLOOKUP($D202,$B$51:$BM$107,60,0)+VLOOKUP($D202,$B$112:$BM$151,60,0)</f>
        <v>#N/A</v>
      </c>
      <c r="BJ202" s="444" t="e">
        <f>VLOOKUP($D202,$B$2:$BM$46,61,0)+VLOOKUP($D202,$B$51:$BM$107,61,0)+VLOOKUP($D202,$B$112:$BM$151,61,0)</f>
        <v>#N/A</v>
      </c>
      <c r="BK202" s="444" t="e">
        <f>VLOOKUP($D202,$B$2:$BM$46,62,0)+VLOOKUP($D202,$B$51:$BM$107,62,0)+VLOOKUP($D202,$B$112:$BM$151,62,0)</f>
        <v>#N/A</v>
      </c>
      <c r="BL202" s="447" t="e">
        <f>VLOOKUP($D202,$B$2:$BM$46,63,0)+VLOOKUP($D202,$B$51:$BM$107,63,0)+VLOOKUP($D202,$B$112:$BM$151,63,0)</f>
        <v>#N/A</v>
      </c>
      <c r="BM202" s="445"/>
      <c r="BN202" s="159"/>
      <c r="BO202" s="159"/>
      <c r="BP202" s="159"/>
      <c r="BQ202" s="159"/>
      <c r="BR202" s="159"/>
      <c r="BS202" s="159"/>
      <c r="BT202" s="159" t="e">
        <f>VLOOKUP(D202,Tableau1[[FACEBOOK]:[sept-22]],71,0)+VLOOKUP(Tableau12[[#This Row],[Epreuves]],$B$52:$BT$106,71,0)+VLOOKUP(Tableau12[[#This Row],[Epreuves]],Tableau7[[INSTAGRAM]:[sept-22]],71,0)</f>
        <v>#N/A</v>
      </c>
      <c r="BU202" s="159" t="e">
        <f>VLOOKUP(D202,Tableau1[[FACEBOOK]:[nov-22]],72,0)+VLOOKUP(Tableau12[[#This Row],[Epreuves]],B60:BU116,72,0)+VLOOKUP(Tableau12[[#This Row],[Epreuves]],Tableau7[[INSTAGRAM]:[nov-22]],72,0)</f>
        <v>#N/A</v>
      </c>
      <c r="BV202" s="159">
        <f>BV35+BV71+BV141</f>
        <v>53200</v>
      </c>
      <c r="BW202" s="159">
        <f>BW35+BW71+BW141</f>
        <v>57350</v>
      </c>
      <c r="BX202" s="159">
        <f>BX35+BX71+BX141</f>
        <v>57328</v>
      </c>
      <c r="BZ202" s="563">
        <f>(Tableau12[[#This Row],[avr-25]]-Tableau12[[#This Row],[avr-24]])/Tableau12[[#This Row],[avr-24]]</f>
        <v>-3.8360941586748041E-4</v>
      </c>
      <c r="CA202" s="547">
        <f>Tableau12[[#This Row],[avr-25]]-Tableau12[[#This Row],[avr-24]]</f>
        <v>-22</v>
      </c>
      <c r="CU202" s="9">
        <v>2024</v>
      </c>
      <c r="CV202" s="531">
        <f>CX197</f>
        <v>12297473</v>
      </c>
    </row>
    <row r="203" spans="3:104" x14ac:dyDescent="0.3">
      <c r="D203" s="438" t="s">
        <v>326</v>
      </c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  <c r="AA203" s="439"/>
      <c r="AB203" s="439"/>
      <c r="AC203" s="439"/>
      <c r="AD203" s="439"/>
      <c r="AE203" s="439"/>
      <c r="AF203" s="439"/>
      <c r="AG203" s="439"/>
      <c r="AH203" s="439"/>
      <c r="AI203" s="439"/>
      <c r="AJ203" s="439"/>
      <c r="AK203" s="439"/>
      <c r="AL203" s="439"/>
      <c r="AM203" s="439"/>
      <c r="AN203" s="439"/>
      <c r="AO203" s="439"/>
      <c r="AP203" s="439"/>
      <c r="AQ203" s="439"/>
      <c r="AR203" s="439"/>
      <c r="AS203" s="439"/>
      <c r="AT203" s="439"/>
      <c r="AU203" s="440"/>
      <c r="AV203" s="440"/>
      <c r="AW203" s="440" t="e">
        <f>VLOOKUP(E203,$B$1:$CB$44,47,0)+VLOOKUP(E203,$B$49:$BF$105,47,0)+VLOOKUP(E203,$B$109:$BD$139,47,0)</f>
        <v>#N/A</v>
      </c>
      <c r="AX203" s="440" t="e">
        <f t="shared" si="23"/>
        <v>#N/A</v>
      </c>
      <c r="AY203" s="440"/>
      <c r="AZ203" s="440" t="e">
        <f t="shared" si="24"/>
        <v>#N/A</v>
      </c>
      <c r="BA203" s="440"/>
      <c r="BB203" s="441"/>
      <c r="BC203" s="442"/>
      <c r="BD203" s="443" t="e">
        <f t="shared" si="34"/>
        <v>#N/A</v>
      </c>
      <c r="BE203" s="443" t="e">
        <f>VLOOKUP($D203,$B$2:$CB$44,56,0)+VLOOKUP($D203,$B$49:$BM$82,56,0)+VLOOKUP($D203,$B$110:$BM$141,56,0)</f>
        <v>#N/A</v>
      </c>
      <c r="BF203" s="443" t="e">
        <f>VLOOKUP($D203,$B$2:$BM$46,57,0)+VLOOKUP($D203,$B$51:$BN$85,57,0)+VLOOKUP($D203,$B$112:$BN$148,57,0)</f>
        <v>#N/A</v>
      </c>
      <c r="BG203" s="443" t="e">
        <f>VLOOKUP($D203,$B$2:$BM$46,58,0)+VLOOKUP($D203,$B$51:$BM$93,58,0)+VLOOKUP($D203,$B$112:$BN$148,58,0)</f>
        <v>#N/A</v>
      </c>
      <c r="BH203" s="444">
        <f>VLOOKUP($D203,$B$2:$BM$46,59,0)+VLOOKUP($D203,$B$51:$BM$107,59,0)+VLOOKUP($D203,$B$112:$BM$151,59,0)</f>
        <v>0</v>
      </c>
      <c r="BI203" s="444">
        <f>VLOOKUP($D203,$B$2:$BM$46,60,0)+VLOOKUP($D203,$B$51:$BM$107,60,0)+VLOOKUP($D203,$B$112:$BM$151,60,0)</f>
        <v>0</v>
      </c>
      <c r="BJ203" s="444">
        <f>VLOOKUP($D203,$B$2:$BM$46,61,0)+VLOOKUP($D203,$B$51:$BM$107,61,0)+VLOOKUP($D203,$B$112:$BM$151,61,0)</f>
        <v>0</v>
      </c>
      <c r="BK203" s="444">
        <f>VLOOKUP($D203,$B$2:$BM$46,62,0)+VLOOKUP($D203,$B$51:$BM$107,62,0)+VLOOKUP($D203,$B$112:$BM$151,62,0)</f>
        <v>0</v>
      </c>
      <c r="BL203" s="447">
        <f>VLOOKUP($D203,$B$2:$BM$46,63,0)+VLOOKUP($D203,$B$51:$BM$107,63,0)+VLOOKUP($D203,$B$112:$BM$151,63,0)</f>
        <v>0</v>
      </c>
      <c r="BM203" s="445"/>
      <c r="BN203" s="159"/>
      <c r="BO203" s="159"/>
      <c r="BP203" s="159"/>
      <c r="BQ203" s="159"/>
      <c r="BR203" s="159"/>
      <c r="BS203" s="159"/>
      <c r="BT203" s="159">
        <f>VLOOKUP(D203,Tableau1[[FACEBOOK]:[sept-22]],71,0)+VLOOKUP(Tableau12[[#This Row],[Epreuves]],$B$52:$BT$106,71,0)+VLOOKUP(Tableau12[[#This Row],[Epreuves]],Tableau7[[INSTAGRAM]:[sept-22]],71,0)</f>
        <v>22547</v>
      </c>
      <c r="BU203" s="159">
        <f>VLOOKUP(D203,Tableau1[[FACEBOOK]:[nov-22]],72,0)+VLOOKUP(Tableau12[[#This Row],[Epreuves]],B61:BU117,72,0)+VLOOKUP(Tableau12[[#This Row],[Epreuves]],Tableau7[[INSTAGRAM]:[nov-22]],72,0)</f>
        <v>23395</v>
      </c>
      <c r="BV203" s="159">
        <f>BV37+BV106+BV140</f>
        <v>21579</v>
      </c>
      <c r="BW203" s="159">
        <f>BW37+BW106+BW140</f>
        <v>23367</v>
      </c>
      <c r="BX203" s="159">
        <f>BX37+BX106+BX140</f>
        <v>23225</v>
      </c>
      <c r="BZ203" s="563">
        <f>(Tableau12[[#This Row],[avr-25]]-Tableau12[[#This Row],[avr-24]])/Tableau12[[#This Row],[avr-24]]</f>
        <v>-6.0769461205974241E-3</v>
      </c>
      <c r="CA203" s="547">
        <f>Tableau12[[#This Row],[avr-25]]-Tableau12[[#This Row],[avr-24]]</f>
        <v>-142</v>
      </c>
    </row>
    <row r="204" spans="3:104" x14ac:dyDescent="0.3">
      <c r="C204" s="9" t="s">
        <v>394</v>
      </c>
      <c r="D204" s="451" t="s">
        <v>152</v>
      </c>
      <c r="E204" s="452"/>
      <c r="F204" s="452"/>
      <c r="G204" s="452"/>
      <c r="H204" s="452"/>
      <c r="I204" s="452"/>
      <c r="J204" s="452"/>
      <c r="K204" s="452"/>
      <c r="L204" s="452"/>
      <c r="M204" s="452"/>
      <c r="N204" s="452"/>
      <c r="O204" s="452"/>
      <c r="P204" s="452"/>
      <c r="Q204" s="452"/>
      <c r="R204" s="452"/>
      <c r="S204" s="452"/>
      <c r="T204" s="452"/>
      <c r="U204" s="452"/>
      <c r="V204" s="452"/>
      <c r="W204" s="452"/>
      <c r="X204" s="452"/>
      <c r="Y204" s="452"/>
      <c r="Z204" s="452"/>
      <c r="AA204" s="452"/>
      <c r="AB204" s="452"/>
      <c r="AC204" s="452"/>
      <c r="AD204" s="452"/>
      <c r="AE204" s="452"/>
      <c r="AF204" s="452"/>
      <c r="AG204" s="452"/>
      <c r="AH204" s="452"/>
      <c r="AI204" s="452"/>
      <c r="AJ204" s="452"/>
      <c r="AK204" s="452"/>
      <c r="AL204" s="452"/>
      <c r="AM204" s="452"/>
      <c r="AN204" s="452"/>
      <c r="AO204" s="452"/>
      <c r="AP204" s="452"/>
      <c r="AQ204" s="452"/>
      <c r="AR204" s="452"/>
      <c r="AS204" s="452"/>
      <c r="AT204" s="452"/>
      <c r="AU204" s="453" t="s">
        <v>158</v>
      </c>
      <c r="AV204" s="443">
        <f>VLOOKUP($D204,$B$2:$CB$44,47,0)+VLOOKUP($D204,$B$51:$CB$105,47,0)</f>
        <v>8036</v>
      </c>
      <c r="AW204" s="443">
        <f>VLOOKUP($D204,$B$2:$CB$44,48,0)+VLOOKUP($D204,$B$51:$CB$105,48,0)</f>
        <v>8454</v>
      </c>
      <c r="AX204" s="443" t="e">
        <f t="shared" si="23"/>
        <v>#N/A</v>
      </c>
      <c r="AY204" s="443" t="e">
        <f>VLOOKUP($D204,$B$2:$CB$44,50,0)+VLOOKUP($D204,$B$51:$CB$105,50,0)+VLOOKUP($D204,$B$112:$BZ$147,50,0)</f>
        <v>#N/A</v>
      </c>
      <c r="AZ204" s="443" t="e">
        <f t="shared" si="24"/>
        <v>#N/A</v>
      </c>
      <c r="BA204" s="443" t="e">
        <f>VLOOKUP($D204,$B$2:$CB$44,52,0)+VLOOKUP($D204,$B$51:$CB$105,52,0)+VLOOKUP($D204,$B$112:$BZ$147,52,0)</f>
        <v>#N/A</v>
      </c>
      <c r="BB204" s="443" t="e">
        <f>VLOOKUP($D204,$B$2:$CB$44,53,0)+VLOOKUP($D204,$B$51:$CB$105,53,0)+VLOOKUP($D204,$B$112:$BZ$147,53,0)</f>
        <v>#N/A</v>
      </c>
      <c r="BC204" s="443" t="e">
        <f>VLOOKUP($D204,$B$2:$CB$44,54,0)+VLOOKUP($D204,$B$51:$CB$105,54,0)+VLOOKUP($D204,$B$112:$BZ$147,54,0)</f>
        <v>#N/A</v>
      </c>
      <c r="BD204" s="443" t="e">
        <f t="shared" si="34"/>
        <v>#N/A</v>
      </c>
      <c r="BE204" s="443" t="e">
        <f>VLOOKUP($D204,$B$2:$CB$44,56,0)+VLOOKUP($D204,$B$49:$BM$84,56,0)+VLOOKUP($D204,$B$110:$BM$152,56,0)</f>
        <v>#N/A</v>
      </c>
      <c r="BF204" s="443" t="e">
        <f>VLOOKUP($D204,$B$2:$BM$44,57,0)+VLOOKUP($D204,$B$51:$BN$85,57,0)+VLOOKUP($D204,$B$112:$BN$148,57,0)</f>
        <v>#N/A</v>
      </c>
      <c r="BG204" s="443" t="e">
        <f>VLOOKUP($D204,$B$2:$BM$44,58,0)+VLOOKUP($D204,$B$51:$BM$93,58,0)+VLOOKUP($D204,$B$112:$BN$148,58,0)</f>
        <v>#N/A</v>
      </c>
      <c r="BH204" s="444" t="e">
        <f>VLOOKUP($D204,$B$2:$BM$44,59,0)+VLOOKUP($D204,$B$51:$BM$107,59,0)+VLOOKUP($D204,$B$112:$BM$148,59,0)</f>
        <v>#N/A</v>
      </c>
      <c r="BI204" s="444" t="e">
        <f>VLOOKUP($D204,$B$2:$BM$44,60,0)+VLOOKUP($D204,$B$51:$BM$107,60,0)+VLOOKUP($D204,$B$112:$BM$148,60,0)</f>
        <v>#N/A</v>
      </c>
      <c r="BJ204" s="444" t="e">
        <f>VLOOKUP($D204,$B$2:$BM$44,61,0)+VLOOKUP($D204,$B$51:$BM$107,61,0)+VLOOKUP($D204,$B$112:$BM$148,61,0)</f>
        <v>#N/A</v>
      </c>
      <c r="BK204" s="444" t="e">
        <f>VLOOKUP($D204,$B$2:$BM$44,62,0)+VLOOKUP($D204,$B$51:$BM$107,62,0)+VLOOKUP($D204,$B$112:$BM$148,62,0)</f>
        <v>#N/A</v>
      </c>
      <c r="BL204" s="454" t="e">
        <f>VLOOKUP($D204,$B$2:$BM$44,63,0)+VLOOKUP($D204,$B$51:$BM$107,63,0)+VLOOKUP($D204,$B$112:$BM$148,63,0)</f>
        <v>#N/A</v>
      </c>
      <c r="BM204" s="446" t="e">
        <f>VLOOKUP($D204,$B$2:$BM$44,63,0)+VLOOKUP($D204,$B$51:$BM$107,63,0)+VLOOKUP($D204,$B$112:$BM$148,63,0)</f>
        <v>#N/A</v>
      </c>
      <c r="BN204" s="337" t="e">
        <f>VLOOKUP($D204,$B$2:$BM$44,63,0)+VLOOKUP($D204,$B$51:$BM$107,63,0)+VLOOKUP($D204,$B$112:$BM$148,63,0)</f>
        <v>#N/A</v>
      </c>
      <c r="BO204" s="337" t="e">
        <f>VLOOKUP($D204,$B$2:$BO$44,66,0)+VLOOKUP($D204,$B$51:$BO$107,66,0)+VLOOKUP($D204,$B$112:$BO$148,66,0)</f>
        <v>#N/A</v>
      </c>
      <c r="BP204" s="159">
        <f>BP167+BP106+BP63</f>
        <v>7448133</v>
      </c>
      <c r="BQ204" s="159" t="e">
        <f>BQ167+BQ106+BQ63</f>
        <v>#REF!</v>
      </c>
      <c r="BR204" s="159" t="e">
        <f>BR167+BR106+BR63</f>
        <v>#REF!</v>
      </c>
      <c r="BS204" s="159">
        <f>VLOOKUP(D204,Tableau1[[FACEBOOK]:[sept-22]],70,0)+VLOOKUP(Tableau12[[#This Row],[Epreuves]],$B$52:$BT$105,70,0)+VLOOKUP(Tableau12[[#This Row],[Epreuves]],Tableau7[[INSTAGRAM]:[sept-22]],70,0)</f>
        <v>17360</v>
      </c>
      <c r="BT204" s="159">
        <f>VLOOKUP(D204,Tableau1[[FACEBOOK]:[sept-22]],71,0)+VLOOKUP(Tableau12[[#This Row],[Epreuves]],$B$52:$BT$105,71,0)+VLOOKUP(Tableau12[[#This Row],[Epreuves]],Tableau7[[INSTAGRAM]:[sept-22]],71,0)</f>
        <v>18450</v>
      </c>
      <c r="BU204" s="159">
        <f>VLOOKUP(D204,Tableau1[[FACEBOOK]:[nov-22]],72,0)+VLOOKUP(Tableau12[[#This Row],[Epreuves]],B62:BU118,72,0)+VLOOKUP(Tableau12[[#This Row],[Epreuves]],Tableau7[[INSTAGRAM]:[nov-22]],72,0)</f>
        <v>19234</v>
      </c>
      <c r="BV204" s="159">
        <f>BV39+BV94+BV149</f>
        <v>20956</v>
      </c>
      <c r="BW204" s="159">
        <f>BW39+BW94+BW149</f>
        <v>21627</v>
      </c>
      <c r="BX204" s="159">
        <f>BX39+BX94+BX149</f>
        <v>21547</v>
      </c>
      <c r="BZ204" s="563">
        <f>(Tableau12[[#This Row],[avr-25]]-Tableau12[[#This Row],[avr-24]])/Tableau12[[#This Row],[avr-24]]</f>
        <v>-3.6990798538863458E-3</v>
      </c>
      <c r="CA204" s="547">
        <f>Tableau12[[#This Row],[avr-25]]-Tableau12[[#This Row],[avr-24]]</f>
        <v>-80</v>
      </c>
    </row>
    <row r="205" spans="3:104" x14ac:dyDescent="0.3">
      <c r="D205" s="438" t="s">
        <v>278</v>
      </c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  <c r="AA205" s="439"/>
      <c r="AB205" s="439"/>
      <c r="AC205" s="439"/>
      <c r="AD205" s="439"/>
      <c r="AE205" s="439"/>
      <c r="AF205" s="439"/>
      <c r="AG205" s="439"/>
      <c r="AH205" s="439"/>
      <c r="AI205" s="439"/>
      <c r="AJ205" s="439"/>
      <c r="AK205" s="439"/>
      <c r="AL205" s="439"/>
      <c r="AM205" s="439"/>
      <c r="AN205" s="439"/>
      <c r="AO205" s="439"/>
      <c r="AP205" s="439"/>
      <c r="AQ205" s="439"/>
      <c r="AR205" s="439"/>
      <c r="AS205" s="439"/>
      <c r="AT205" s="439"/>
      <c r="AU205" s="440"/>
      <c r="AV205" s="440"/>
      <c r="AW205" s="440" t="e">
        <f>VLOOKUP(E205,$B$1:$CB$44,47,0)+VLOOKUP(E205,$B$49:$BF$105,47,0)+VLOOKUP(E205,$B$109:$BD$139,47,0)</f>
        <v>#N/A</v>
      </c>
      <c r="AX205" s="440" t="e">
        <f t="shared" si="23"/>
        <v>#N/A</v>
      </c>
      <c r="AY205" s="440"/>
      <c r="AZ205" s="440" t="e">
        <f t="shared" si="24"/>
        <v>#N/A</v>
      </c>
      <c r="BA205" s="440"/>
      <c r="BB205" s="441"/>
      <c r="BC205" s="442"/>
      <c r="BD205" s="443" t="e">
        <f t="shared" si="34"/>
        <v>#N/A</v>
      </c>
      <c r="BE205" s="443" t="e">
        <f>VLOOKUP($D205,$B$2:$CB$44,56,0)+VLOOKUP($D205,$B$49:$BM$82,56,0)+VLOOKUP($D205,$B$110:$BM$141,56,0)</f>
        <v>#N/A</v>
      </c>
      <c r="BF205" s="443" t="e">
        <f>VLOOKUP($D205,$B$2:$BM$46,57,0)+VLOOKUP($D205,$B$51:$BN$85,57,0)+VLOOKUP($D205,$B$112:$BN$148,57,0)</f>
        <v>#N/A</v>
      </c>
      <c r="BG205" s="443" t="e">
        <f>VLOOKUP($D205,$B$2:$BM$46,58,0)+VLOOKUP($D205,$B$51:$BM$93,58,0)+VLOOKUP($D205,$B$112:$BN$148,58,0)</f>
        <v>#N/A</v>
      </c>
      <c r="BH205" s="444">
        <f>VLOOKUP($D205,$B$2:$BM$46,59,0)+VLOOKUP($D205,$B$51:$BM$107,59,0)+VLOOKUP($D205,$B$112:$BM$151,59,0)</f>
        <v>0</v>
      </c>
      <c r="BI205" s="444">
        <f>VLOOKUP($D205,$B$2:$BM$46,60,0)+VLOOKUP($D205,$B$51:$BM$107,60,0)+VLOOKUP($D205,$B$112:$BM$151,60,0)</f>
        <v>0</v>
      </c>
      <c r="BJ205" s="444">
        <f>VLOOKUP($D205,$B$2:$BM$46,61,0)+VLOOKUP($D205,$B$51:$BM$107,61,0)+VLOOKUP($D205,$B$112:$BM$151,61,0)</f>
        <v>0</v>
      </c>
      <c r="BK205" s="444">
        <f>VLOOKUP($D205,$B$2:$BM$46,62,0)+VLOOKUP($D205,$B$51:$BM$107,62,0)+VLOOKUP($D205,$B$112:$BM$151,62,0)</f>
        <v>0</v>
      </c>
      <c r="BL205" s="447">
        <f>VLOOKUP($D205,$B$2:$BM$46,63,0)+VLOOKUP($D205,$B$51:$BM$107,63,0)+VLOOKUP($D205,$B$112:$BM$151,63,0)</f>
        <v>0</v>
      </c>
      <c r="BM205" s="445"/>
      <c r="BN205" s="159"/>
      <c r="BO205" s="159"/>
      <c r="BP205" s="159"/>
      <c r="BQ205" s="159"/>
      <c r="BR205" s="159"/>
      <c r="BS205" s="159"/>
      <c r="BT205" s="159">
        <f>VLOOKUP(D205,Tableau1[[FACEBOOK]:[sept-22]],71,0)+VLOOKUP(Tableau12[[#This Row],[Epreuves]],$B$52:$BT$106,71,0)+VLOOKUP(Tableau12[[#This Row],[Epreuves]],Tableau7[[INSTAGRAM]:[sept-22]],71,0)</f>
        <v>15519</v>
      </c>
      <c r="BU205" s="159">
        <f>VLOOKUP(D205,Tableau1[[FACEBOOK]:[nov-22]],72,0)+VLOOKUP(Tableau12[[#This Row],[Epreuves]],B63:BU119,72,0)+VLOOKUP(Tableau12[[#This Row],[Epreuves]],Tableau7[[INSTAGRAM]:[nov-22]],72,0)</f>
        <v>15455</v>
      </c>
      <c r="BV205" s="159">
        <f>BV40+BV97+BV150</f>
        <v>17644</v>
      </c>
      <c r="BW205" s="159">
        <f>BW40+BW97+BW150</f>
        <v>17690</v>
      </c>
      <c r="BX205" s="159">
        <f>BX40+BX97+BX150</f>
        <v>17708</v>
      </c>
      <c r="BZ205" s="564">
        <f>(Tableau12[[#This Row],[avr-25]]-Tableau12[[#This Row],[avr-24]])/Tableau12[[#This Row],[avr-24]]</f>
        <v>1.0175240248728094E-3</v>
      </c>
      <c r="CA205" s="547">
        <f>Tableau12[[#This Row],[avr-25]]-Tableau12[[#This Row],[avr-24]]</f>
        <v>18</v>
      </c>
    </row>
    <row r="206" spans="3:104" x14ac:dyDescent="0.3">
      <c r="D206" s="438" t="s">
        <v>280</v>
      </c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  <c r="AA206" s="439"/>
      <c r="AB206" s="439"/>
      <c r="AC206" s="439"/>
      <c r="AD206" s="439"/>
      <c r="AE206" s="439"/>
      <c r="AF206" s="439"/>
      <c r="AG206" s="439"/>
      <c r="AH206" s="439"/>
      <c r="AI206" s="439"/>
      <c r="AJ206" s="439"/>
      <c r="AK206" s="439"/>
      <c r="AL206" s="439"/>
      <c r="AM206" s="439"/>
      <c r="AN206" s="439"/>
      <c r="AO206" s="439"/>
      <c r="AP206" s="439"/>
      <c r="AQ206" s="439"/>
      <c r="AR206" s="439"/>
      <c r="AS206" s="439"/>
      <c r="AT206" s="439"/>
      <c r="AU206" s="440"/>
      <c r="AV206" s="440"/>
      <c r="AW206" s="440" t="e">
        <f>VLOOKUP(E206,$B$1:$CB$44,47,0)+VLOOKUP(E206,$B$49:$BF$105,47,0)+VLOOKUP(E206,$B$109:$BD$139,47,0)</f>
        <v>#N/A</v>
      </c>
      <c r="AX206" s="440" t="e">
        <f t="shared" si="23"/>
        <v>#N/A</v>
      </c>
      <c r="AY206" s="440"/>
      <c r="AZ206" s="440" t="e">
        <f t="shared" si="24"/>
        <v>#N/A</v>
      </c>
      <c r="BA206" s="440"/>
      <c r="BB206" s="441"/>
      <c r="BC206" s="442"/>
      <c r="BD206" s="443" t="e">
        <f t="shared" si="34"/>
        <v>#N/A</v>
      </c>
      <c r="BE206" s="443" t="e">
        <f>VLOOKUP($D206,$B$2:$CB$44,56,0)+VLOOKUP($D206,$B$49:$BM$82,56,0)+VLOOKUP($D206,$B$110:$BM$141,56,0)</f>
        <v>#N/A</v>
      </c>
      <c r="BF206" s="443" t="e">
        <f>VLOOKUP($D206,$B$2:$BM$46,57,0)+VLOOKUP($D206,$B$51:$BN$85,57,0)+VLOOKUP($D206,$B$112:$BN$148,57,0)</f>
        <v>#N/A</v>
      </c>
      <c r="BG206" s="443" t="e">
        <f>VLOOKUP($D206,$B$2:$BM$46,58,0)+VLOOKUP($D206,$B$51:$BM$93,58,0)+VLOOKUP($D206,$B$112:$BN$148,58,0)</f>
        <v>#N/A</v>
      </c>
      <c r="BH206" s="444">
        <f>VLOOKUP($D206,$B$2:$BM$46,59,0)+VLOOKUP($D206,$B$51:$BM$107,59,0)+VLOOKUP($D206,$B$112:$BM$151,59,0)</f>
        <v>0</v>
      </c>
      <c r="BI206" s="444">
        <f>VLOOKUP($D206,$B$2:$BM$46,60,0)+VLOOKUP($D206,$B$51:$BM$107,60,0)+VLOOKUP($D206,$B$112:$BM$151,60,0)</f>
        <v>0</v>
      </c>
      <c r="BJ206" s="444">
        <f>VLOOKUP($D206,$B$2:$BM$46,61,0)+VLOOKUP($D206,$B$51:$BM$107,61,0)+VLOOKUP($D206,$B$112:$BM$151,61,0)</f>
        <v>0</v>
      </c>
      <c r="BK206" s="444">
        <f>VLOOKUP($D206,$B$2:$BM$46,62,0)+VLOOKUP($D206,$B$51:$BM$107,62,0)+VLOOKUP($D206,$B$112:$BM$151,62,0)</f>
        <v>0</v>
      </c>
      <c r="BL206" s="447"/>
      <c r="BM206" s="445"/>
      <c r="BN206" s="440"/>
      <c r="BO206" s="440"/>
      <c r="BP206" s="440"/>
      <c r="BQ206" s="440"/>
      <c r="BR206" s="440"/>
      <c r="BS206" s="440"/>
      <c r="BT206" s="440">
        <f>VLOOKUP(D206,Tableau1[[FACEBOOK]:[sept-22]],71,0)+VLOOKUP(Tableau12[[#This Row],[Epreuves]],$B$52:$BT$106,71,0)+VLOOKUP(Tableau12[[#This Row],[Epreuves]],Tableau7[[INSTAGRAM]:[sept-22]],71,0)</f>
        <v>10840</v>
      </c>
      <c r="BU206" s="440">
        <f>VLOOKUP(D206,Tableau1[[FACEBOOK]:[nov-22]],72,0)+VLOOKUP(Tableau12[[#This Row],[Epreuves]],B64:BU120,72,0)+VLOOKUP(Tableau12[[#This Row],[Epreuves]],Tableau7[[INSTAGRAM]:[nov-22]],72,0)</f>
        <v>10791</v>
      </c>
      <c r="BV206" s="440">
        <f>BV41+BV101+BV151</f>
        <v>11575</v>
      </c>
      <c r="BW206" s="440">
        <f>BW41+BW101+BW151</f>
        <v>12888</v>
      </c>
      <c r="BX206" s="440">
        <f>BX41+BX101+BX151</f>
        <v>12749</v>
      </c>
      <c r="BZ206" s="565">
        <f>(Tableau12[[#This Row],[avr-25]]-Tableau12[[#This Row],[avr-24]])/Tableau12[[#This Row],[avr-24]]</f>
        <v>-1.0785226567349473E-2</v>
      </c>
      <c r="CA206" s="547">
        <f>Tableau12[[#This Row],[avr-25]]-Tableau12[[#This Row],[avr-24]]</f>
        <v>-139</v>
      </c>
    </row>
    <row r="207" spans="3:104" x14ac:dyDescent="0.3">
      <c r="D207" s="561" t="s">
        <v>56</v>
      </c>
      <c r="E207" s="452"/>
      <c r="F207" s="452"/>
      <c r="G207" s="452"/>
      <c r="H207" s="452"/>
      <c r="I207" s="452"/>
      <c r="J207" s="452"/>
      <c r="K207" s="452"/>
      <c r="L207" s="452"/>
      <c r="M207" s="452"/>
      <c r="N207" s="452"/>
      <c r="O207" s="452"/>
      <c r="P207" s="452"/>
      <c r="Q207" s="452"/>
      <c r="R207" s="452"/>
      <c r="S207" s="452"/>
      <c r="T207" s="452"/>
      <c r="U207" s="452"/>
      <c r="V207" s="452"/>
      <c r="W207" s="452"/>
      <c r="X207" s="452"/>
      <c r="Y207" s="452"/>
      <c r="Z207" s="452"/>
      <c r="AA207" s="452"/>
      <c r="AB207" s="452"/>
      <c r="AC207" s="452"/>
      <c r="AD207" s="452"/>
      <c r="AE207" s="452"/>
      <c r="AF207" s="452"/>
      <c r="AG207" s="452"/>
      <c r="AH207" s="452"/>
      <c r="AI207" s="452"/>
      <c r="AJ207" s="452"/>
      <c r="AK207" s="452"/>
      <c r="AL207" s="452"/>
      <c r="AM207" s="452"/>
      <c r="AN207" s="452"/>
      <c r="AO207" s="452"/>
      <c r="AP207" s="452"/>
      <c r="AQ207" s="452"/>
      <c r="AR207" s="452"/>
      <c r="AS207" s="452"/>
      <c r="AT207" s="452"/>
      <c r="AU207" s="441"/>
      <c r="AV207" s="441"/>
      <c r="AW207" s="441" t="e">
        <f>VLOOKUP(E207,$B$1:$CB$44,47,0)+VLOOKUP(E207,$B$49:$BF$105,47,0)+VLOOKUP(E207,$B$109:$BD$139,47,0)</f>
        <v>#N/A</v>
      </c>
      <c r="AX207" s="441" t="e">
        <f>VLOOKUP($D207,$B$2:$CB$44,49,0)+VLOOKUP($D207,$B$51:$CB$105,49,0)+VLOOKUP($D207,$B$112:$BZ$147,49,0)</f>
        <v>#N/A</v>
      </c>
      <c r="AY207" s="441"/>
      <c r="AZ207" s="441" t="e">
        <f>VLOOKUP($D207,$B$2:$CB$44,51,0)+VLOOKUP($D207,$B$51:$CB$105,51,0)+VLOOKUP($D207,$B$112:$BZ$147,51,0)</f>
        <v>#N/A</v>
      </c>
      <c r="BA207" s="441"/>
      <c r="BB207" s="441"/>
      <c r="BC207" s="443"/>
      <c r="BD207" s="443" t="e">
        <f>VLOOKUP($D207,$B$2:$CB$44,55,0)+VLOOKUP($D207,$B$51:$CB$105,55,0)+VLOOKUP($D207,$B$112:$BZ$147,55,0)</f>
        <v>#N/A</v>
      </c>
      <c r="BE207" s="443" t="e">
        <f>VLOOKUP($D207,$B$2:$CB$44,56,0)+VLOOKUP($D207,$B$49:$BM$82,56,0)+VLOOKUP($D207,$B$110:$BM$141,56,0)</f>
        <v>#N/A</v>
      </c>
      <c r="BF207" s="443" t="e">
        <f>VLOOKUP($D207,$B$2:$BM$46,57,0)+VLOOKUP($D207,$B$51:$BN$85,57,0)+VLOOKUP($D207,$B$112:$BN$148,57,0)</f>
        <v>#N/A</v>
      </c>
      <c r="BG207" s="443" t="e">
        <f>VLOOKUP($D207,$B$2:$BM$46,58,0)+VLOOKUP($D207,$B$51:$BM$93,58,0)+VLOOKUP($D207,$B$112:$BN$148,58,0)</f>
        <v>#N/A</v>
      </c>
      <c r="BH207" s="443" t="e">
        <f>VLOOKUP($D207,$B$2:$BM$46,59,0)+VLOOKUP($D207,$B$51:$BM$107,59,0)+VLOOKUP($D207,$B$112:$BM$151,59,0)</f>
        <v>#N/A</v>
      </c>
      <c r="BI207" s="443" t="e">
        <f>VLOOKUP($D207,$B$2:$BM$46,60,0)+VLOOKUP($D207,$B$51:$BM$107,60,0)+VLOOKUP($D207,$B$112:$BM$151,60,0)</f>
        <v>#N/A</v>
      </c>
      <c r="BJ207" s="443" t="e">
        <f>VLOOKUP($D207,$B$2:$BM$46,61,0)+VLOOKUP($D207,$B$51:$BM$107,61,0)+VLOOKUP($D207,$B$112:$BM$151,61,0)</f>
        <v>#N/A</v>
      </c>
      <c r="BK207" s="443" t="e">
        <f>VLOOKUP($D207,$B$2:$BM$46,62,0)+VLOOKUP($D207,$B$51:$BM$107,62,0)+VLOOKUP($D207,$B$112:$BM$151,62,0)</f>
        <v>#N/A</v>
      </c>
      <c r="BL207" s="441" t="e">
        <f>VLOOKUP($D207,$B$2:$BM$46,63,0)+VLOOKUP($D207,$B$51:$BM$107,63,0)+VLOOKUP($D207,$B$112:$BM$151,63,0)</f>
        <v>#N/A</v>
      </c>
      <c r="BM207" s="560"/>
      <c r="BN207" s="441"/>
      <c r="BO207" s="441"/>
      <c r="BP207" s="441"/>
      <c r="BQ207" s="441"/>
      <c r="BR207" s="441"/>
      <c r="BS207" s="441"/>
      <c r="BT207" s="441" t="e">
        <f>VLOOKUP(D207,Tableau1[[FACEBOOK]:[sept-22]],71,0)+VLOOKUP(Tableau12[[#This Row],[Epreuves]],$B$52:$BT$106,71,0)+VLOOKUP(Tableau12[[#This Row],[Epreuves]],Tableau7[[INSTAGRAM]:[sept-22]],71,0)</f>
        <v>#N/A</v>
      </c>
      <c r="BU207" s="441" t="e">
        <f>VLOOKUP(D207,Tableau1[[FACEBOOK]:[nov-22]],72,0)+VLOOKUP(Tableau12[[#This Row],[Epreuves]],B65:BU121,72,0)+VLOOKUP(Tableau12[[#This Row],[Epreuves]],Tableau7[[INSTAGRAM]:[nov-22]],72,0)</f>
        <v>#N/A</v>
      </c>
      <c r="BV207" s="441">
        <f>SUM(BV167:BV206)</f>
        <v>22167110</v>
      </c>
      <c r="BW207" s="441">
        <f>SUM(BW167:BW206)</f>
        <v>22682389</v>
      </c>
      <c r="BX207" s="441">
        <f>SUM(BX167:BX206)</f>
        <v>23496812</v>
      </c>
      <c r="BZ207" s="562">
        <f>(Tableau12[[#This Row],[avr-25]]-Tableau12[[#This Row],[avr-24]])/Tableau12[[#This Row],[avr-24]]</f>
        <v>3.5905521239407365E-2</v>
      </c>
      <c r="CA207" s="556">
        <f>Tableau12[[#This Row],[avr-25]]-Tableau12[[#This Row],[avr-24]]</f>
        <v>814423</v>
      </c>
    </row>
    <row r="208" spans="3:104" x14ac:dyDescent="0.3">
      <c r="D208"/>
      <c r="AU208" s="429"/>
      <c r="AV208" s="429"/>
      <c r="AW208" s="429"/>
      <c r="AX208" s="429"/>
      <c r="AY208" s="429"/>
      <c r="AZ208" s="429"/>
      <c r="BA208" s="429"/>
      <c r="BB208" s="429"/>
      <c r="BC208" s="341"/>
      <c r="BD208" s="341"/>
      <c r="BE208" s="341"/>
      <c r="BF208" s="341"/>
      <c r="BG208" s="341"/>
      <c r="BH208" s="436"/>
      <c r="BI208" s="436"/>
      <c r="BJ208" s="436"/>
      <c r="BK208" s="436"/>
      <c r="BL208" s="436"/>
      <c r="BM208" s="436"/>
      <c r="BN208" s="436"/>
      <c r="BO208" s="436"/>
      <c r="BP208" s="436"/>
      <c r="BQ208" s="341"/>
      <c r="BR208" s="341"/>
      <c r="BS208" s="341"/>
      <c r="BT208" s="341"/>
      <c r="BU208" s="341"/>
      <c r="BV208" s="341"/>
      <c r="BW208" s="341"/>
      <c r="BX208" s="341"/>
      <c r="BY208" s="437"/>
      <c r="BZ208" s="341"/>
    </row>
    <row r="209" spans="2:78" ht="17.25" thickBot="1" x14ac:dyDescent="0.35">
      <c r="D209"/>
      <c r="AU209" s="429"/>
      <c r="AV209" s="429"/>
      <c r="AW209" s="429"/>
      <c r="AX209" s="429"/>
      <c r="AY209" s="429"/>
      <c r="AZ209" s="429"/>
      <c r="BA209" s="429"/>
      <c r="BB209" s="429"/>
      <c r="BC209" s="341"/>
      <c r="BD209" s="341"/>
      <c r="BE209" s="341"/>
      <c r="BF209" s="341"/>
      <c r="BG209" s="341"/>
      <c r="BH209" s="436"/>
      <c r="BI209" s="436"/>
      <c r="BJ209" s="436"/>
      <c r="BK209" s="436"/>
      <c r="BL209" s="436"/>
      <c r="BM209" s="436"/>
      <c r="BN209" s="436"/>
      <c r="BO209" s="436"/>
      <c r="BP209" s="436"/>
      <c r="BQ209" s="341"/>
      <c r="BR209" s="341"/>
      <c r="BS209" s="341"/>
      <c r="BT209" s="341"/>
      <c r="BU209" s="341"/>
      <c r="BV209" s="341"/>
      <c r="BW209" s="341"/>
      <c r="BX209" s="341"/>
      <c r="BY209" s="437"/>
      <c r="BZ209" s="341"/>
    </row>
    <row r="210" spans="2:78" ht="83.25" thickBot="1" x14ac:dyDescent="0.35">
      <c r="B210" s="27" t="s">
        <v>133</v>
      </c>
      <c r="D210" s="43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23"/>
      <c r="AV210" s="23"/>
      <c r="AW210" s="45"/>
      <c r="AX210" s="29"/>
      <c r="AY210" s="40"/>
      <c r="BP210" s="200"/>
      <c r="BQ210" s="200"/>
      <c r="BR210" s="200"/>
      <c r="BS210" s="200"/>
      <c r="BT210" s="200"/>
      <c r="BU210" s="200"/>
      <c r="BV210" s="200"/>
      <c r="BW210" s="200"/>
      <c r="BX210" s="200"/>
    </row>
    <row r="211" spans="2:78" ht="17.25" thickBot="1" x14ac:dyDescent="0.35">
      <c r="BH211" s="200"/>
    </row>
    <row r="212" spans="2:78" ht="50.25" thickBot="1" x14ac:dyDescent="0.35">
      <c r="B212" s="28" t="s">
        <v>134</v>
      </c>
      <c r="C212" s="25"/>
    </row>
    <row r="213" spans="2:78" ht="17.25" thickBot="1" x14ac:dyDescent="0.35"/>
    <row r="214" spans="2:78" ht="99.75" thickBot="1" x14ac:dyDescent="0.35">
      <c r="B214" s="26" t="s">
        <v>140</v>
      </c>
    </row>
  </sheetData>
  <sortState xmlns:xlrd2="http://schemas.microsoft.com/office/spreadsheetml/2017/richdata2" ref="BZ2:CA35">
    <sortCondition descending="1" ref="BZ2:BZ35"/>
  </sortState>
  <phoneticPr fontId="32" type="noConversion"/>
  <conditionalFormatting sqref="AX210">
    <cfRule type="colorScale" priority="2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Y210">
    <cfRule type="colorScale" priority="26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L86:BL101 BM51:BM101">
    <cfRule type="colorScale" priority="185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2:BM46">
    <cfRule type="colorScale" priority="79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102:BM106">
    <cfRule type="colorScale" priority="18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143:BM147">
    <cfRule type="colorScale" priority="156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148:BM151 BM112:BM142">
    <cfRule type="colorScale" priority="15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N2:BN46">
    <cfRule type="colorScale" priority="79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N51:BN85">
    <cfRule type="colorScale" priority="26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N102:BN106">
    <cfRule type="colorScale" priority="186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N112:BN142 BN148">
    <cfRule type="colorScale" priority="155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N143:BN147">
    <cfRule type="colorScale" priority="156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O86:BQ101">
    <cfRule type="colorScale" priority="185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208:BY209 BZ167:BZ207">
    <cfRule type="colorScale" priority="186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2:BZ47">
    <cfRule type="colorScale" priority="79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51:BZ77 BZ106:BZ108 BZ79:BZ104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112:BZ151 BZ156:BZ163">
    <cfRule type="colorScale" priority="17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152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2:CA47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51:CA108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112:CA151">
    <cfRule type="colorScale" priority="17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152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167:CA206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A207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B2" r:id="rId1" xr:uid="{00000000-0004-0000-0000-000000000000}"/>
    <hyperlink ref="B3" r:id="rId2" display="Giro" xr:uid="{00000000-0004-0000-0000-000001000000}"/>
    <hyperlink ref="B4" r:id="rId3" xr:uid="{00000000-0004-0000-0000-000002000000}"/>
    <hyperlink ref="B43" r:id="rId4" xr:uid="{00000000-0004-0000-0000-000003000000}"/>
    <hyperlink ref="B8" r:id="rId5" xr:uid="{00000000-0004-0000-0000-000004000000}"/>
    <hyperlink ref="B42" r:id="rId6" xr:uid="{00000000-0004-0000-0000-000005000000}"/>
    <hyperlink ref="B6" r:id="rId7" xr:uid="{00000000-0004-0000-0000-000006000000}"/>
    <hyperlink ref="B11" r:id="rId8" xr:uid="{00000000-0004-0000-0000-000007000000}"/>
    <hyperlink ref="B12" r:id="rId9" xr:uid="{00000000-0004-0000-0000-000008000000}"/>
    <hyperlink ref="B17" r:id="rId10" xr:uid="{00000000-0004-0000-0000-000009000000}"/>
    <hyperlink ref="B13" r:id="rId11" xr:uid="{00000000-0004-0000-0000-00000A000000}"/>
    <hyperlink ref="B44" r:id="rId12" xr:uid="{00000000-0004-0000-0000-00000C000000}"/>
    <hyperlink ref="B16" r:id="rId13" xr:uid="{00000000-0004-0000-0000-00000E000000}"/>
    <hyperlink ref="B10" r:id="rId14" xr:uid="{00000000-0004-0000-0000-00000F000000}"/>
    <hyperlink ref="B25" r:id="rId15" xr:uid="{00000000-0004-0000-0000-000010000000}"/>
    <hyperlink ref="B9" r:id="rId16" xr:uid="{00000000-0004-0000-0000-000011000000}"/>
    <hyperlink ref="B24" r:id="rId17" xr:uid="{00000000-0004-0000-0000-000012000000}"/>
    <hyperlink ref="B20" r:id="rId18" xr:uid="{00000000-0004-0000-0000-000013000000}"/>
    <hyperlink ref="B22" r:id="rId19" xr:uid="{00000000-0004-0000-0000-000014000000}"/>
    <hyperlink ref="B14" r:id="rId20" xr:uid="{00000000-0004-0000-0000-000015000000}"/>
    <hyperlink ref="B19" r:id="rId21" xr:uid="{00000000-0004-0000-0000-000016000000}"/>
    <hyperlink ref="B27" r:id="rId22" xr:uid="{00000000-0004-0000-0000-000017000000}"/>
    <hyperlink ref="B26" r:id="rId23" xr:uid="{00000000-0004-0000-0000-000018000000}"/>
    <hyperlink ref="B29" r:id="rId24" xr:uid="{00000000-0004-0000-0000-000019000000}"/>
    <hyperlink ref="B33" r:id="rId25" xr:uid="{00000000-0004-0000-0000-00001B000000}"/>
    <hyperlink ref="B51" r:id="rId26" xr:uid="{00000000-0004-0000-0000-00001C000000}"/>
    <hyperlink ref="B54" r:id="rId27" xr:uid="{00000000-0004-0000-0000-00001D000000}"/>
    <hyperlink ref="B55" r:id="rId28" xr:uid="{00000000-0004-0000-0000-00001E000000}"/>
    <hyperlink ref="B56" r:id="rId29" display="OVO Energy Tour of Britain" xr:uid="{00000000-0004-0000-0000-00001F000000}"/>
    <hyperlink ref="B60" r:id="rId30" xr:uid="{00000000-0004-0000-0000-000020000000}"/>
    <hyperlink ref="B57" r:id="rId31" xr:uid="{00000000-0004-0000-0000-000021000000}"/>
    <hyperlink ref="B58" r:id="rId32" xr:uid="{00000000-0004-0000-0000-000022000000}"/>
    <hyperlink ref="B66" r:id="rId33" xr:uid="{00000000-0004-0000-0000-000023000000}"/>
    <hyperlink ref="B59" r:id="rId34" xr:uid="{00000000-0004-0000-0000-000024000000}"/>
    <hyperlink ref="B61" r:id="rId35" xr:uid="{00000000-0004-0000-0000-000025000000}"/>
    <hyperlink ref="B62" r:id="rId36" xr:uid="{00000000-0004-0000-0000-000026000000}"/>
    <hyperlink ref="B63" r:id="rId37" xr:uid="{00000000-0004-0000-0000-000027000000}"/>
    <hyperlink ref="B74" r:id="rId38" xr:uid="{00000000-0004-0000-0000-000028000000}"/>
    <hyperlink ref="B64" r:id="rId39" display="Tour de Catalogne" xr:uid="{00000000-0004-0000-0000-000029000000}"/>
    <hyperlink ref="B67" r:id="rId40" xr:uid="{00000000-0004-0000-0000-00002A000000}"/>
    <hyperlink ref="B65" r:id="rId41" xr:uid="{00000000-0004-0000-0000-00002C000000}"/>
    <hyperlink ref="B80" r:id="rId42" xr:uid="{00000000-0004-0000-0000-00002D000000}"/>
    <hyperlink ref="B70" r:id="rId43" xr:uid="{00000000-0004-0000-0000-00002E000000}"/>
    <hyperlink ref="B72" r:id="rId44" xr:uid="{00000000-0004-0000-0000-00002F000000}"/>
    <hyperlink ref="B73" r:id="rId45" xr:uid="{00000000-0004-0000-0000-000030000000}"/>
    <hyperlink ref="B78" r:id="rId46" display="Benelux Tour" xr:uid="{00000000-0004-0000-0000-000031000000}"/>
    <hyperlink ref="B69" r:id="rId47" xr:uid="{00000000-0004-0000-0000-000032000000}"/>
    <hyperlink ref="B71" r:id="rId48" xr:uid="{00000000-0004-0000-0000-000033000000}"/>
    <hyperlink ref="B84" r:id="rId49" xr:uid="{00000000-0004-0000-0000-000034000000}"/>
    <hyperlink ref="B79" r:id="rId50" xr:uid="{00000000-0004-0000-0000-000035000000}"/>
    <hyperlink ref="B112" r:id="rId51" xr:uid="{00000000-0004-0000-0000-000036000000}"/>
    <hyperlink ref="B114" r:id="rId52" xr:uid="{00000000-0004-0000-0000-000037000000}"/>
    <hyperlink ref="B121" r:id="rId53" xr:uid="{00000000-0004-0000-0000-000038000000}"/>
    <hyperlink ref="B116" r:id="rId54" xr:uid="{00000000-0004-0000-0000-000039000000}"/>
    <hyperlink ref="B124" r:id="rId55" xr:uid="{00000000-0004-0000-0000-00003A000000}"/>
    <hyperlink ref="B129" r:id="rId56" xr:uid="{00000000-0004-0000-0000-00003B000000}"/>
    <hyperlink ref="B119" r:id="rId57" xr:uid="{00000000-0004-0000-0000-00003C000000}"/>
    <hyperlink ref="B139" r:id="rId58" xr:uid="{00000000-0004-0000-0000-00003E000000}"/>
    <hyperlink ref="B130" r:id="rId59" xr:uid="{00000000-0004-0000-0000-00003F000000}"/>
    <hyperlink ref="B122" r:id="rId60" xr:uid="{00000000-0004-0000-0000-000040000000}"/>
    <hyperlink ref="B117" r:id="rId61" xr:uid="{00000000-0004-0000-0000-000041000000}"/>
    <hyperlink ref="B123" r:id="rId62" xr:uid="{00000000-0004-0000-0000-000042000000}"/>
    <hyperlink ref="B132" r:id="rId63" xr:uid="{00000000-0004-0000-0000-000044000000}"/>
    <hyperlink ref="B143" r:id="rId64" xr:uid="{00000000-0004-0000-0000-000045000000}"/>
    <hyperlink ref="B120" r:id="rId65" xr:uid="{00000000-0004-0000-0000-000046000000}"/>
    <hyperlink ref="B131" r:id="rId66" display="OVO Energy Tour of Britain" xr:uid="{00000000-0004-0000-0000-000047000000}"/>
    <hyperlink ref="B136" r:id="rId67" xr:uid="{00000000-0004-0000-0000-000048000000}"/>
    <hyperlink ref="B135" r:id="rId68" display="Classiques Ardennes" xr:uid="{00000000-0004-0000-0000-000049000000}"/>
    <hyperlink ref="B52" r:id="rId69" xr:uid="{00000000-0004-0000-0000-00004A000000}"/>
    <hyperlink ref="B113" r:id="rId70" xr:uid="{00000000-0004-0000-0000-00004B000000}"/>
    <hyperlink ref="B105" r:id="rId71" xr:uid="{00000000-0004-0000-0000-00004C000000}"/>
    <hyperlink ref="B5" r:id="rId72" xr:uid="{2E1ED20C-6FD1-47AC-A5BD-64E906AAA0A0}"/>
    <hyperlink ref="B53" r:id="rId73" xr:uid="{9B9AD49B-9BE4-4441-93AF-49DBB843876F}"/>
    <hyperlink ref="B115" r:id="rId74" xr:uid="{99BC5723-698D-4007-94BA-EF9EF800AC96}"/>
    <hyperlink ref="B28" r:id="rId75" xr:uid="{72DFCD32-E478-422B-8E7E-4E807CB35B69}"/>
    <hyperlink ref="B127" r:id="rId76" xr:uid="{048ED93B-32FC-49C7-BEE8-6E5AC39414E0}"/>
    <hyperlink ref="B142" r:id="rId77" xr:uid="{5188445A-794F-4FC7-B934-B9BC6DA4DA30}"/>
    <hyperlink ref="B147" r:id="rId78" xr:uid="{230C0916-9594-4EF1-AC1B-BE75EFA01207}"/>
    <hyperlink ref="B30" r:id="rId79" display="https://www.facebook.com/voltacatalunya/?fb_dtsg_ag=Adzhs8sObFMXuBm7y1DkRk9FAgvCofxsxIKnHf9szoUQiQ%3AAdzj0Q7Lf2hcPmh6qFzXLe1CndsDh0aWIopoAFaUbEnkEg" xr:uid="{694B5A3F-1554-4E4A-9478-ADB68E704CA9}"/>
    <hyperlink ref="B39" r:id="rId80" display="https://www.facebook.com/paristours/?fb_dtsg_ag=Adzhs8sObFMXuBm7y1DkRk9FAgvCofxsxIKnHf9szoUQiQ%3AAdzj0Q7Lf2hcPmh6qFzXLe1CndsDh0aWIopoAFaUbEnkEg" xr:uid="{4CB4C919-9F53-4E5D-862B-59BAD7DFE6A9}"/>
    <hyperlink ref="B46" r:id="rId81" display="https://www.facebook.com/CriteriumInternational/?fb_dtsg_ag=Adzhs8sObFMXuBm7y1DkRk9FAgvCofxsxIKnHf9szoUQiQ%3AAdzj0Q7Lf2hcPmh6qFzXLe1CndsDh0aWIopoAFaUbEnkEg" xr:uid="{C44DBEA3-B0D1-4F72-86FE-5DBEE4867859}"/>
    <hyperlink ref="B88" r:id="rId82" display="https://twitter.com/ArcticRaceofN?lang=fr" xr:uid="{58FE6E41-B6A1-4995-A787-F886C1107CFE}"/>
    <hyperlink ref="B92" r:id="rId83" display="https://twitter.com/tourofqatar_" xr:uid="{6665B340-5B37-4FF5-9589-DFA5BCC34E8C}"/>
    <hyperlink ref="B94" r:id="rId84" display="https://twitter.com/ParisTours" xr:uid="{6D2A628E-F2D3-4B9B-90A5-7A07E782DA8B}"/>
    <hyperlink ref="B34" r:id="rId85" display="https://www.facebook.com/DeutschlandDeineTour/" xr:uid="{EEC4AE04-2301-4BBE-94EE-9D3F9D297ACC}"/>
    <hyperlink ref="B100" r:id="rId86" display="https://twitter.com/DeineTour" xr:uid="{1F5FF51D-CD13-4246-BB48-5ABFED6412E9}"/>
    <hyperlink ref="B138" r:id="rId87" display="https://www.instagram.com/deutschlanddeinetour/?hl=fr" xr:uid="{9DDC1E65-217A-4F3F-BB14-710CA2C78C03}"/>
    <hyperlink ref="B18" r:id="rId88" display="Abu Dhabi Tour" xr:uid="{6E274229-3805-4D53-A426-E4487DF48BFC}"/>
    <hyperlink ref="B126" r:id="rId89" xr:uid="{5660B5E7-A7C0-48EE-AF08-E71A56086F62}"/>
    <hyperlink ref="B21" r:id="rId90" display="Tour Colombia 2.1." xr:uid="{6B1800F8-BB89-4464-A63F-41B96FA5F109}"/>
    <hyperlink ref="B68" r:id="rId91" xr:uid="{4E835A08-557A-4E1B-B8D4-EFE027B91F69}"/>
    <hyperlink ref="B118" r:id="rId92" xr:uid="{D4C26379-21FE-492E-9F9D-ADC913EDA2FA}"/>
    <hyperlink ref="B125" r:id="rId93" xr:uid="{E834662F-0272-416C-B70B-2EE28F8DA8BA}"/>
    <hyperlink ref="B134" r:id="rId94" display="Ride London" xr:uid="{6847D9AD-3DA7-4479-8537-A28D594AF428}"/>
    <hyperlink ref="B32" r:id="rId95" xr:uid="{C35D306C-6FCF-49E5-9BF7-11CA7FD2C470}"/>
    <hyperlink ref="B137" r:id="rId96" xr:uid="{94FE116F-E1D3-44F7-B535-18C46A4BD592}"/>
    <hyperlink ref="B90" r:id="rId97" xr:uid="{BE514793-E097-4B41-82C1-838DB66F7CD0}"/>
    <hyperlink ref="B85" r:id="rId98" xr:uid="{9D1606D9-55DE-410D-BEBF-1B5C0A16CE54}"/>
    <hyperlink ref="B128" r:id="rId99" xr:uid="{E256F77A-1D22-4ED7-A148-5BE86D1F360E}"/>
    <hyperlink ref="B7" r:id="rId100" display="The AJ Bell Tour of Britain" xr:uid="{34DC4C1C-1B5E-40F9-B980-628643B2906E}"/>
    <hyperlink ref="B31" r:id="rId101" display="Benelux Tour" xr:uid="{9878D7B7-E7F2-4E40-B945-0BCA191D7646}"/>
    <hyperlink ref="B144" r:id="rId102" xr:uid="{21BCFF8B-9E98-42FA-AB88-AAB6DCE88A35}"/>
    <hyperlink ref="B82" r:id="rId103" xr:uid="{9CDBD0AB-9733-4665-ABE2-9A468D743E05}"/>
    <hyperlink ref="B76" r:id="rId104" display="Giro Lombardia" xr:uid="{F08FA03A-AB20-4473-9D5A-3B18A4DC0BA3}"/>
    <hyperlink ref="B81" r:id="rId105" xr:uid="{EEC8A554-2AE5-42C5-A902-65CA5E4D953D}"/>
    <hyperlink ref="B77" r:id="rId106" xr:uid="{4AED9935-3E7B-4EB0-B8F9-C1B0087EBA91}"/>
    <hyperlink ref="B83" r:id="rId107" xr:uid="{29AEF7B2-45E3-4475-B091-A537AF78B8B8}"/>
    <hyperlink ref="B75" r:id="rId108" xr:uid="{EF6E3FF9-5144-4495-A8F9-649CF6BDE9EA}"/>
    <hyperlink ref="B96" r:id="rId109" xr:uid="{494D834C-2818-462B-AC7D-71492A643B7E}"/>
    <hyperlink ref="B89" r:id="rId110" xr:uid="{4F3C8329-6FE6-4F7F-9356-0BFC8D279656}"/>
    <hyperlink ref="B91" r:id="rId111" xr:uid="{C6709B41-77E2-402A-9F70-568B4639EF5F}"/>
    <hyperlink ref="B93" r:id="rId112" xr:uid="{A6272FAB-D0C2-46CB-AB22-87BFC6848446}"/>
    <hyperlink ref="B95" r:id="rId113" xr:uid="{20E22816-37E1-44E2-905E-953350510261}"/>
    <hyperlink ref="B98" r:id="rId114" xr:uid="{1B7CE526-5766-433D-BAD2-AEB10E810B14}"/>
    <hyperlink ref="B104" r:id="rId115" xr:uid="{E7D4E7D7-338B-4B18-95AA-BEC7C7E4AEA4}"/>
    <hyperlink ref="B102" r:id="rId116" xr:uid="{FE64A97F-51A6-4175-97DF-E5D036653293}"/>
    <hyperlink ref="B103" r:id="rId117" xr:uid="{6331923D-D691-4170-8C15-E4024D9638D0}"/>
    <hyperlink ref="B23" r:id="rId118" xr:uid="{279FF0AF-1B17-42C7-A4B5-78CE79FE9402}"/>
    <hyperlink ref="B157" r:id="rId119" xr:uid="{3BC1EE0A-921D-46F6-A1AA-F28CBFEC939C}"/>
    <hyperlink ref="B156" r:id="rId120" xr:uid="{C10FF016-9B7F-4849-A161-6D7708BB616F}"/>
    <hyperlink ref="B159" r:id="rId121" xr:uid="{2B3C19A1-FBDC-4E4A-A2F8-8ABF63AC4A5D}"/>
    <hyperlink ref="B160" r:id="rId122" xr:uid="{4A1C09DD-BA30-4825-A971-71F5E3F6F4E8}"/>
    <hyperlink ref="B158" r:id="rId123" display="UCI Cycling" xr:uid="{D28BFF29-B716-4763-9B14-15FA7C524307}"/>
    <hyperlink ref="B15" r:id="rId124" xr:uid="{6C2F0E1B-43E5-498D-B3E1-77E9F5035FEE}"/>
    <hyperlink ref="B99" r:id="rId125" display="Saudi Tour" xr:uid="{9CC1A1BB-8772-4F18-AA41-521F140D8775}"/>
    <hyperlink ref="B45" r:id="rId126" display="https://www.facebook.com/tourofqatarofficial/?fb_dtsg_ag=Adzhs8sObFMXuBm7y1DkRk9FAgvCofxsxIKnHf9szoUQiQ%3AAdzj0Q7Lf2hcPmh6qFzXLe1CndsDh0aWIopoAFaUbEnkEg" xr:uid="{2AE2A5A0-9123-4199-ACA1-B73B8E23CA97}"/>
    <hyperlink ref="B41" r:id="rId127" xr:uid="{322573A6-F6C5-47D5-9C8E-449B5CFDC0B6}"/>
    <hyperlink ref="B40" r:id="rId128" xr:uid="{AC95D460-93B0-4DB1-9BB1-C81B873746EB}"/>
    <hyperlink ref="B37" r:id="rId129" xr:uid="{3E2A3BB4-1655-4415-A1A2-7F8032BA6262}"/>
    <hyperlink ref="B38" r:id="rId130" xr:uid="{9C50ABD0-0690-492D-8FFB-BFE3F39263B3}"/>
    <hyperlink ref="B35" r:id="rId131" display="Gant Wevelgem" xr:uid="{EABE6B60-482F-4D9C-904F-D34FA4B16B76}"/>
    <hyperlink ref="B36" r:id="rId132" xr:uid="{64046530-43E6-448A-8582-516C8A46EA72}"/>
    <hyperlink ref="B146" r:id="rId133" display="Saudi Tour" xr:uid="{07628E06-FEB7-4AD1-ABCF-C0E6A8DDED9C}"/>
    <hyperlink ref="B133" r:id="rId134" xr:uid="{3A3184A0-1693-48FA-AFA2-A8A52D7CF32B}"/>
    <hyperlink ref="B149" r:id="rId135" xr:uid="{D3C32690-A8BC-48A5-88F1-EB2651E1FB94}"/>
    <hyperlink ref="B150" r:id="rId136" xr:uid="{4F3EA839-2BAE-4419-B40E-2C0C0677112C}"/>
    <hyperlink ref="B140" r:id="rId137" xr:uid="{B944F268-B47F-43BE-9627-F3647FE0A533}"/>
    <hyperlink ref="B148" r:id="rId138" xr:uid="{C35EF937-FD8A-4DFB-88FB-14DB2AB9D01F}"/>
    <hyperlink ref="B141" r:id="rId139" display="Gant Wevelgem" xr:uid="{111F41FC-5FD6-40A8-A255-A1ABC8ED6AD4}"/>
    <hyperlink ref="B145" r:id="rId140" xr:uid="{75159CE9-B8C1-48AB-9CFE-623DF1B8BB43}"/>
    <hyperlink ref="B101" r:id="rId141" xr:uid="{3E790E45-C84B-4F77-B2B2-425E6C606DD5}"/>
    <hyperlink ref="B97" r:id="rId142" xr:uid="{9D337A22-E803-4D96-9834-EE8ABBED4373}"/>
    <hyperlink ref="B87" r:id="rId143" xr:uid="{0531DEE3-6964-4122-BD27-9645C8B9AC05}"/>
    <hyperlink ref="B86" r:id="rId144" xr:uid="{3A573F82-58A0-4A04-A388-097B33078CE3}"/>
    <hyperlink ref="B161" r:id="rId145" xr:uid="{82F74996-D219-4A04-969E-21915872E28E}"/>
    <hyperlink ref="B162" r:id="rId146" xr:uid="{5FD16BCF-8F52-4E34-B4F4-E313AE297BDA}"/>
    <hyperlink ref="B151" r:id="rId147" xr:uid="{8BBDAAEB-D075-4363-A81E-839EAC0E44D6}"/>
    <hyperlink ref="B107" r:id="rId148" xr:uid="{C51EC025-8AF5-43D2-A903-FBED92F8E3E5}"/>
    <hyperlink ref="B106" r:id="rId149" xr:uid="{7A166D41-6EC1-4A8F-9691-01FAEF8AD452}"/>
  </hyperlinks>
  <pageMargins left="0.7" right="0.7" top="0.75" bottom="0.75" header="0.3" footer="0.3"/>
  <pageSetup paperSize="9" orientation="portrait" r:id="rId150"/>
  <drawing r:id="rId151"/>
  <legacyDrawing r:id="rId152"/>
  <tableParts count="6">
    <tablePart r:id="rId153"/>
    <tablePart r:id="rId154"/>
    <tablePart r:id="rId155"/>
    <tablePart r:id="rId156"/>
    <tablePart r:id="rId157"/>
    <tablePart r:id="rId15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EA228"/>
  <sheetViews>
    <sheetView topLeftCell="A144" zoomScale="90" zoomScaleNormal="90" workbookViewId="0">
      <pane xSplit="2" topLeftCell="BU1" activePane="topRight" state="frozen"/>
      <selection activeCell="AP173" sqref="AP173"/>
      <selection pane="topRight" activeCell="BY127" sqref="BY127:BZ164"/>
    </sheetView>
  </sheetViews>
  <sheetFormatPr baseColWidth="10" defaultRowHeight="15" x14ac:dyDescent="0.25"/>
  <cols>
    <col min="1" max="1" width="10.5703125" customWidth="1"/>
    <col min="2" max="2" width="31.5703125" customWidth="1"/>
    <col min="3" max="3" width="13.140625" hidden="1" customWidth="1"/>
    <col min="4" max="4" width="10.5703125" hidden="1" customWidth="1"/>
    <col min="5" max="5" width="9.28515625" hidden="1" customWidth="1"/>
    <col min="6" max="7" width="9.5703125" hidden="1" customWidth="1"/>
    <col min="8" max="8" width="8.85546875" hidden="1" customWidth="1"/>
    <col min="9" max="9" width="10.28515625" hidden="1" customWidth="1"/>
    <col min="10" max="10" width="10.140625" hidden="1" customWidth="1"/>
    <col min="11" max="11" width="9" hidden="1" customWidth="1"/>
    <col min="12" max="12" width="9.5703125" hidden="1" customWidth="1"/>
    <col min="13" max="13" width="9.28515625" hidden="1" customWidth="1"/>
    <col min="14" max="15" width="9.85546875" hidden="1" customWidth="1"/>
    <col min="16" max="16" width="10.5703125" hidden="1" customWidth="1"/>
    <col min="17" max="17" width="9.28515625" hidden="1" customWidth="1"/>
    <col min="18" max="19" width="9.5703125" hidden="1" customWidth="1"/>
    <col min="20" max="20" width="8.85546875" style="6" hidden="1" customWidth="1"/>
    <col min="21" max="21" width="10.28515625" hidden="1" customWidth="1"/>
    <col min="22" max="22" width="10.140625" hidden="1" customWidth="1"/>
    <col min="23" max="23" width="9" hidden="1" customWidth="1"/>
    <col min="24" max="24" width="9.5703125" hidden="1" customWidth="1"/>
    <col min="25" max="25" width="9.28515625" hidden="1" customWidth="1"/>
    <col min="26" max="27" width="9.85546875" hidden="1" customWidth="1"/>
    <col min="28" max="28" width="10.5703125" hidden="1" customWidth="1"/>
    <col min="29" max="32" width="9.85546875" hidden="1" customWidth="1"/>
    <col min="33" max="33" width="10.28515625" hidden="1" customWidth="1"/>
    <col min="34" max="34" width="10.140625" hidden="1" customWidth="1"/>
    <col min="35" max="39" width="9.85546875" hidden="1" customWidth="1"/>
    <col min="40" max="48" width="11.42578125" hidden="1" customWidth="1"/>
    <col min="49" max="49" width="14.7109375" hidden="1" customWidth="1"/>
    <col min="50" max="50" width="13.42578125" hidden="1" customWidth="1"/>
    <col min="51" max="62" width="0" hidden="1" customWidth="1"/>
    <col min="63" max="63" width="11.42578125" hidden="1" customWidth="1"/>
    <col min="64" max="64" width="15.5703125" hidden="1" customWidth="1"/>
    <col min="65" max="65" width="16.28515625" hidden="1" customWidth="1"/>
    <col min="66" max="66" width="0" hidden="1" customWidth="1"/>
    <col min="67" max="67" width="13.42578125" hidden="1" customWidth="1"/>
    <col min="68" max="71" width="12.42578125" hidden="1" customWidth="1"/>
    <col min="72" max="72" width="0" hidden="1" customWidth="1"/>
    <col min="77" max="77" width="15.140625" bestFit="1" customWidth="1"/>
    <col min="78" max="78" width="17.28515625" bestFit="1" customWidth="1"/>
    <col min="80" max="80" width="15.7109375" customWidth="1"/>
  </cols>
  <sheetData>
    <row r="1" spans="1:78" s="34" customFormat="1" ht="16.5" x14ac:dyDescent="0.3">
      <c r="A1" s="36" t="s">
        <v>185</v>
      </c>
      <c r="B1" s="36" t="s">
        <v>14</v>
      </c>
      <c r="C1" s="36" t="s">
        <v>118</v>
      </c>
      <c r="D1" s="37" t="s">
        <v>0</v>
      </c>
      <c r="E1" s="38" t="s">
        <v>1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3</v>
      </c>
      <c r="P1" s="38" t="s">
        <v>2</v>
      </c>
      <c r="Q1" s="38" t="s">
        <v>63</v>
      </c>
      <c r="R1" s="38" t="s">
        <v>64</v>
      </c>
      <c r="S1" s="38" t="s">
        <v>65</v>
      </c>
      <c r="T1" s="38" t="s">
        <v>66</v>
      </c>
      <c r="U1" s="38" t="s">
        <v>68</v>
      </c>
      <c r="V1" s="38" t="s">
        <v>69</v>
      </c>
      <c r="W1" s="38" t="s">
        <v>70</v>
      </c>
      <c r="X1" s="38" t="s">
        <v>71</v>
      </c>
      <c r="Y1" s="38" t="s">
        <v>72</v>
      </c>
      <c r="Z1" s="38" t="s">
        <v>73</v>
      </c>
      <c r="AA1" s="38" t="s">
        <v>75</v>
      </c>
      <c r="AB1" s="38" t="s">
        <v>77</v>
      </c>
      <c r="AC1" s="38" t="s">
        <v>81</v>
      </c>
      <c r="AD1" s="38" t="s">
        <v>84</v>
      </c>
      <c r="AE1" s="38" t="s">
        <v>85</v>
      </c>
      <c r="AF1" s="38" t="s">
        <v>86</v>
      </c>
      <c r="AG1" s="38" t="s">
        <v>99</v>
      </c>
      <c r="AH1" s="38" t="s">
        <v>101</v>
      </c>
      <c r="AI1" s="38" t="s">
        <v>102</v>
      </c>
      <c r="AJ1" s="38" t="s">
        <v>105</v>
      </c>
      <c r="AK1" s="38" t="s">
        <v>106</v>
      </c>
      <c r="AL1" s="38" t="s">
        <v>108</v>
      </c>
      <c r="AM1" s="38" t="s">
        <v>109</v>
      </c>
      <c r="AN1" s="38" t="s">
        <v>110</v>
      </c>
      <c r="AO1" s="38" t="s">
        <v>117</v>
      </c>
      <c r="AP1" s="38" t="s">
        <v>127</v>
      </c>
      <c r="AQ1" s="38" t="s">
        <v>129</v>
      </c>
      <c r="AR1" s="38" t="s">
        <v>131</v>
      </c>
      <c r="AS1" s="38" t="s">
        <v>142</v>
      </c>
      <c r="AT1" s="38" t="s">
        <v>143</v>
      </c>
      <c r="AU1" s="38" t="s">
        <v>151</v>
      </c>
      <c r="AV1" s="38" t="s">
        <v>156</v>
      </c>
      <c r="AW1" s="38" t="s">
        <v>157</v>
      </c>
      <c r="AX1" s="38" t="s">
        <v>163</v>
      </c>
      <c r="AY1" s="38" t="s">
        <v>164</v>
      </c>
      <c r="AZ1" s="38" t="s">
        <v>177</v>
      </c>
      <c r="BA1" s="38" t="s">
        <v>179</v>
      </c>
      <c r="BB1" s="38" t="s">
        <v>183</v>
      </c>
      <c r="BC1" s="38" t="s">
        <v>184</v>
      </c>
      <c r="BD1" s="38" t="s">
        <v>186</v>
      </c>
      <c r="BE1" s="38" t="s">
        <v>188</v>
      </c>
      <c r="BF1" s="38" t="s">
        <v>200</v>
      </c>
      <c r="BG1" s="38" t="s">
        <v>201</v>
      </c>
      <c r="BH1" s="38" t="s">
        <v>203</v>
      </c>
      <c r="BI1" s="38" t="s">
        <v>207</v>
      </c>
      <c r="BJ1" s="38" t="s">
        <v>208</v>
      </c>
      <c r="BK1" s="38" t="s">
        <v>209</v>
      </c>
      <c r="BL1" s="37" t="s">
        <v>53</v>
      </c>
      <c r="BM1" s="38" t="s">
        <v>78</v>
      </c>
      <c r="BN1" s="38" t="s">
        <v>210</v>
      </c>
      <c r="BO1" s="244" t="s">
        <v>211</v>
      </c>
      <c r="BP1" s="38" t="s">
        <v>214</v>
      </c>
      <c r="BQ1" s="38" t="s">
        <v>213</v>
      </c>
      <c r="BR1" s="38" t="s">
        <v>272</v>
      </c>
      <c r="BS1" s="236" t="s">
        <v>330</v>
      </c>
      <c r="BT1" s="502" t="s">
        <v>331</v>
      </c>
      <c r="BU1" s="502" t="s">
        <v>333</v>
      </c>
      <c r="BV1" s="502" t="s">
        <v>389</v>
      </c>
      <c r="BW1" s="502" t="s">
        <v>405</v>
      </c>
      <c r="BX1" s="502"/>
      <c r="BY1" s="569" t="s">
        <v>235</v>
      </c>
      <c r="BZ1" s="569" t="s">
        <v>234</v>
      </c>
    </row>
    <row r="2" spans="1:78" ht="16.5" x14ac:dyDescent="0.3">
      <c r="B2" s="55" t="s">
        <v>224</v>
      </c>
      <c r="C2" s="54" t="s">
        <v>54</v>
      </c>
      <c r="D2" s="88">
        <v>130106</v>
      </c>
      <c r="E2" s="88">
        <v>130694</v>
      </c>
      <c r="F2" s="88">
        <v>128775</v>
      </c>
      <c r="G2" s="88">
        <v>129375</v>
      </c>
      <c r="H2" s="88">
        <v>130947</v>
      </c>
      <c r="I2" s="88">
        <v>132657</v>
      </c>
      <c r="J2" s="88">
        <v>143455</v>
      </c>
      <c r="K2" s="88">
        <v>147366</v>
      </c>
      <c r="L2" s="88">
        <v>147871</v>
      </c>
      <c r="M2" s="88">
        <v>148336</v>
      </c>
      <c r="N2" s="88">
        <v>148652</v>
      </c>
      <c r="O2" s="88">
        <v>149400</v>
      </c>
      <c r="P2" s="88">
        <v>151364</v>
      </c>
      <c r="Q2" s="88">
        <v>152787</v>
      </c>
      <c r="R2" s="88">
        <v>154267</v>
      </c>
      <c r="S2" s="88">
        <v>155833</v>
      </c>
      <c r="T2" s="88">
        <v>158571</v>
      </c>
      <c r="U2" s="88">
        <v>160008</v>
      </c>
      <c r="V2" s="88">
        <v>169173</v>
      </c>
      <c r="W2" s="88">
        <v>173027</v>
      </c>
      <c r="X2" s="88">
        <v>174277</v>
      </c>
      <c r="Y2" s="88">
        <v>174871</v>
      </c>
      <c r="Z2" s="88">
        <v>175526</v>
      </c>
      <c r="AA2" s="88">
        <v>175895</v>
      </c>
      <c r="AB2" s="88">
        <v>176344</v>
      </c>
      <c r="AC2" s="88">
        <v>176631</v>
      </c>
      <c r="AD2" s="88">
        <v>177013</v>
      </c>
      <c r="AE2" s="88">
        <v>177194</v>
      </c>
      <c r="AF2" s="88">
        <v>177678</v>
      </c>
      <c r="AG2" s="88">
        <v>178866</v>
      </c>
      <c r="AH2" s="88">
        <v>184703</v>
      </c>
      <c r="AI2" s="88">
        <v>184341</v>
      </c>
      <c r="AJ2" s="88">
        <v>182546</v>
      </c>
      <c r="AK2" s="88">
        <v>182088</v>
      </c>
      <c r="AL2" s="88">
        <v>182085</v>
      </c>
      <c r="AM2" s="88">
        <v>182373</v>
      </c>
      <c r="AN2" s="88">
        <v>182457</v>
      </c>
      <c r="AO2" s="88">
        <v>182572</v>
      </c>
      <c r="AP2" s="88">
        <v>182787</v>
      </c>
      <c r="AQ2" s="88">
        <v>182977</v>
      </c>
      <c r="AR2" s="88">
        <v>182953</v>
      </c>
      <c r="AS2" s="88">
        <v>183308</v>
      </c>
      <c r="AT2" s="88">
        <v>184790</v>
      </c>
      <c r="AU2" s="88">
        <v>184883</v>
      </c>
      <c r="AV2" s="88">
        <v>184868</v>
      </c>
      <c r="AW2" s="88">
        <v>184884</v>
      </c>
      <c r="AX2" s="88">
        <v>184446</v>
      </c>
      <c r="AY2" s="88">
        <v>184593</v>
      </c>
      <c r="AZ2" s="88">
        <v>184988</v>
      </c>
      <c r="BA2" s="88">
        <v>185145</v>
      </c>
      <c r="BB2" s="88">
        <v>185575</v>
      </c>
      <c r="BC2" s="88">
        <v>185720</v>
      </c>
      <c r="BD2" s="88">
        <v>186309</v>
      </c>
      <c r="BE2" s="88">
        <v>186752</v>
      </c>
      <c r="BF2" s="88">
        <v>187854</v>
      </c>
      <c r="BG2" s="88">
        <v>188336</v>
      </c>
      <c r="BH2" s="88">
        <v>188684</v>
      </c>
      <c r="BI2" s="88">
        <v>188937</v>
      </c>
      <c r="BJ2" s="88">
        <v>188449</v>
      </c>
      <c r="BK2" s="212">
        <v>188399</v>
      </c>
      <c r="BL2" s="208">
        <f>(Tableau5[[#This Row],[mars-20]]-Tableau5[[#This Row],[dec-19]])/Tableau5[[#This Row],[dec-19]]</f>
        <v>-2.65323774602147E-4</v>
      </c>
      <c r="BM2" s="211">
        <f>Tableau5[[#This Row],[mars-20]]-Tableau5[[#This Row],[dec-19]]</f>
        <v>-50</v>
      </c>
      <c r="BN2" s="2">
        <v>192240</v>
      </c>
      <c r="BO2" s="242">
        <v>192461</v>
      </c>
      <c r="BP2" s="2">
        <v>197030</v>
      </c>
      <c r="BQ2" s="2">
        <v>196397</v>
      </c>
      <c r="BR2" s="2">
        <v>196418</v>
      </c>
      <c r="BS2" s="242">
        <v>199793</v>
      </c>
      <c r="BT2" s="242">
        <v>196795</v>
      </c>
      <c r="BU2" s="242">
        <v>198512</v>
      </c>
      <c r="BV2" s="242">
        <v>198000</v>
      </c>
      <c r="BW2" s="242">
        <v>198000</v>
      </c>
      <c r="BX2" s="242"/>
      <c r="BY2" s="554">
        <f>(Tableau5[[#This Row],[juin-24]]-Tableau5[[#This Row],[avr-24]])/Tableau5[[#This Row],[avr-24]]</f>
        <v>0</v>
      </c>
      <c r="BZ2" s="548">
        <f>Tableau5[[#This Row],[juin-24]]-Tableau5[[#This Row],[avr-24]]</f>
        <v>0</v>
      </c>
    </row>
    <row r="3" spans="1:78" ht="16.5" x14ac:dyDescent="0.3">
      <c r="B3" s="121" t="s">
        <v>283</v>
      </c>
      <c r="C3" s="254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256"/>
      <c r="BL3" s="208" t="e">
        <f>(Tableau5[[#This Row],[mars-20]]-Tableau5[[#This Row],[dec-19]])/Tableau5[[#This Row],[dec-19]]</f>
        <v>#DIV/0!</v>
      </c>
      <c r="BM3" s="274">
        <f>Tableau5[[#This Row],[mars-20]]-Tableau5[[#This Row],[dec-19]]</f>
        <v>0</v>
      </c>
      <c r="BN3" s="1"/>
      <c r="BO3" s="243">
        <v>40000</v>
      </c>
      <c r="BP3" s="2">
        <v>60342</v>
      </c>
      <c r="BQ3" s="2">
        <v>61109</v>
      </c>
      <c r="BR3" s="2">
        <v>62371</v>
      </c>
      <c r="BS3" s="242">
        <v>78263</v>
      </c>
      <c r="BT3" s="242">
        <v>78716</v>
      </c>
      <c r="BU3" s="242">
        <v>70888</v>
      </c>
      <c r="BV3" s="242">
        <v>87000</v>
      </c>
      <c r="BW3" s="242">
        <v>87000</v>
      </c>
      <c r="BX3" s="242"/>
      <c r="BY3" s="554">
        <f>(Tableau5[[#This Row],[juin-24]]-Tableau5[[#This Row],[avr-24]])/Tableau5[[#This Row],[avr-24]]</f>
        <v>0</v>
      </c>
      <c r="BZ3" s="548">
        <f>Tableau5[[#This Row],[juin-24]]-Tableau5[[#This Row],[avr-24]]</f>
        <v>0</v>
      </c>
    </row>
    <row r="4" spans="1:78" ht="16.5" x14ac:dyDescent="0.3">
      <c r="B4" s="55" t="s">
        <v>284</v>
      </c>
      <c r="C4" s="54" t="s">
        <v>54</v>
      </c>
      <c r="D4" s="88">
        <v>190142</v>
      </c>
      <c r="E4" s="88">
        <v>192949</v>
      </c>
      <c r="F4" s="88">
        <v>194634</v>
      </c>
      <c r="G4" s="88">
        <v>198555</v>
      </c>
      <c r="H4" s="88">
        <v>209264</v>
      </c>
      <c r="I4" s="88">
        <v>220020</v>
      </c>
      <c r="J4" s="88">
        <v>236587</v>
      </c>
      <c r="K4" s="88">
        <v>245312</v>
      </c>
      <c r="L4" s="88">
        <v>247681</v>
      </c>
      <c r="M4" s="88">
        <v>251724</v>
      </c>
      <c r="N4" s="88">
        <v>253773</v>
      </c>
      <c r="O4" s="88">
        <v>256484</v>
      </c>
      <c r="P4" s="88">
        <v>261507</v>
      </c>
      <c r="Q4" s="88">
        <v>266740</v>
      </c>
      <c r="R4" s="88">
        <v>273303</v>
      </c>
      <c r="S4" s="88">
        <v>278905</v>
      </c>
      <c r="T4" s="88">
        <v>288841</v>
      </c>
      <c r="U4" s="88">
        <v>293905</v>
      </c>
      <c r="V4" s="88">
        <v>305204</v>
      </c>
      <c r="W4" s="88">
        <v>307207</v>
      </c>
      <c r="X4" s="88">
        <v>308470</v>
      </c>
      <c r="Y4" s="88">
        <v>309905</v>
      </c>
      <c r="Z4" s="88">
        <v>311377</v>
      </c>
      <c r="AA4" s="88">
        <v>313562</v>
      </c>
      <c r="AB4" s="88">
        <v>316857</v>
      </c>
      <c r="AC4" s="88">
        <v>319416</v>
      </c>
      <c r="AD4" s="88">
        <v>322138</v>
      </c>
      <c r="AE4" s="88">
        <v>334125</v>
      </c>
      <c r="AF4" s="88">
        <v>338323</v>
      </c>
      <c r="AG4" s="88">
        <v>339849</v>
      </c>
      <c r="AH4" s="88">
        <v>343799</v>
      </c>
      <c r="AI4" s="88">
        <v>344213</v>
      </c>
      <c r="AJ4" s="88">
        <v>345229</v>
      </c>
      <c r="AK4" s="88">
        <v>344683</v>
      </c>
      <c r="AL4" s="88">
        <v>345020</v>
      </c>
      <c r="AM4" s="88">
        <v>344380</v>
      </c>
      <c r="AN4" s="88">
        <v>345377</v>
      </c>
      <c r="AO4" s="88">
        <v>349518</v>
      </c>
      <c r="AP4" s="88">
        <v>350854</v>
      </c>
      <c r="AQ4" s="88">
        <v>351759</v>
      </c>
      <c r="AR4" s="88">
        <v>352718</v>
      </c>
      <c r="AS4" s="88">
        <v>353864</v>
      </c>
      <c r="AT4" s="88">
        <v>355011</v>
      </c>
      <c r="AU4" s="88">
        <v>355292</v>
      </c>
      <c r="AV4" s="88">
        <v>356443</v>
      </c>
      <c r="AW4" s="88">
        <v>356609</v>
      </c>
      <c r="AX4" s="115">
        <v>356416</v>
      </c>
      <c r="AY4" s="115">
        <v>356900</v>
      </c>
      <c r="AZ4" s="115">
        <v>357183</v>
      </c>
      <c r="BA4" s="115">
        <v>357565</v>
      </c>
      <c r="BB4" s="115">
        <v>359335</v>
      </c>
      <c r="BC4" s="115">
        <v>360149</v>
      </c>
      <c r="BD4" s="115">
        <v>362268</v>
      </c>
      <c r="BE4" s="115">
        <v>363415</v>
      </c>
      <c r="BF4" s="115">
        <v>364769</v>
      </c>
      <c r="BG4" s="115">
        <v>365586</v>
      </c>
      <c r="BH4" s="115">
        <v>365519</v>
      </c>
      <c r="BI4" s="115">
        <v>365058</v>
      </c>
      <c r="BJ4" s="115">
        <v>364579</v>
      </c>
      <c r="BK4" s="88">
        <v>364537</v>
      </c>
      <c r="BL4" s="208">
        <f>(Tableau5[[#This Row],[mars-20]]-Tableau5[[#This Row],[dec-19]])/Tableau5[[#This Row],[dec-19]]</f>
        <v>-1.1520136925056023E-4</v>
      </c>
      <c r="BM4" s="211">
        <f>Tableau5[[#This Row],[mars-20]]-Tableau5[[#This Row],[dec-19]]</f>
        <v>-42</v>
      </c>
      <c r="BN4" s="2">
        <v>366183</v>
      </c>
      <c r="BO4" s="242">
        <v>369532</v>
      </c>
      <c r="BP4" s="2">
        <v>377000</v>
      </c>
      <c r="BQ4" s="2">
        <v>374896</v>
      </c>
      <c r="BR4" s="2">
        <v>374603</v>
      </c>
      <c r="BS4" s="242">
        <v>376000</v>
      </c>
      <c r="BT4" s="242">
        <v>375627</v>
      </c>
      <c r="BU4" s="242">
        <v>379227</v>
      </c>
      <c r="BV4" s="242">
        <v>379228</v>
      </c>
      <c r="BW4" s="242">
        <v>378000</v>
      </c>
      <c r="BX4" s="242"/>
      <c r="BY4" s="554">
        <f>(Tableau5[[#This Row],[juin-24]]-Tableau5[[#This Row],[avr-24]])/Tableau5[[#This Row],[avr-24]]</f>
        <v>-3.2381575200143451E-3</v>
      </c>
      <c r="BZ4" s="548">
        <f>Tableau5[[#This Row],[juin-24]]-Tableau5[[#This Row],[avr-24]]</f>
        <v>-1228</v>
      </c>
    </row>
    <row r="5" spans="1:78" ht="16.5" x14ac:dyDescent="0.3">
      <c r="B5" s="55" t="s">
        <v>285</v>
      </c>
      <c r="C5" s="89" t="s">
        <v>55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>
        <v>5877</v>
      </c>
      <c r="AO5" s="88"/>
      <c r="AP5" s="88"/>
      <c r="AQ5" s="88"/>
      <c r="AR5" s="88"/>
      <c r="AS5" s="88"/>
      <c r="AT5" s="88"/>
      <c r="AU5" s="88"/>
      <c r="AV5" s="88"/>
      <c r="AW5" s="88">
        <v>10713</v>
      </c>
      <c r="AX5" s="88">
        <v>10896</v>
      </c>
      <c r="AY5" s="88">
        <v>11548</v>
      </c>
      <c r="AZ5" s="88">
        <v>12137</v>
      </c>
      <c r="BA5" s="88">
        <v>12750</v>
      </c>
      <c r="BB5" s="88">
        <v>13250</v>
      </c>
      <c r="BC5" s="88">
        <v>13666</v>
      </c>
      <c r="BD5" s="88">
        <v>13940</v>
      </c>
      <c r="BE5" s="88">
        <v>14105</v>
      </c>
      <c r="BF5" s="88">
        <v>14162</v>
      </c>
      <c r="BG5" s="88">
        <v>14391</v>
      </c>
      <c r="BH5" s="88">
        <v>14449</v>
      </c>
      <c r="BI5" s="88">
        <v>14572</v>
      </c>
      <c r="BJ5" s="88">
        <v>14810</v>
      </c>
      <c r="BK5" s="88">
        <v>16452</v>
      </c>
      <c r="BL5" s="208">
        <f>(Tableau5[[#This Row],[mars-20]]-Tableau5[[#This Row],[dec-19]])/Tableau5[[#This Row],[dec-19]]</f>
        <v>0.11087103308575287</v>
      </c>
      <c r="BM5" s="211">
        <f>Tableau5[[#This Row],[mars-20]]-Tableau5[[#This Row],[dec-19]]</f>
        <v>1642</v>
      </c>
      <c r="BN5" s="2">
        <v>20194</v>
      </c>
      <c r="BO5" s="242">
        <v>20727</v>
      </c>
      <c r="BP5" s="2">
        <v>25300</v>
      </c>
      <c r="BQ5" s="2">
        <v>23939</v>
      </c>
      <c r="BR5" s="2">
        <v>24046</v>
      </c>
      <c r="BS5" s="242">
        <v>28000</v>
      </c>
      <c r="BT5" s="242">
        <v>25228</v>
      </c>
      <c r="BU5" s="242">
        <v>0</v>
      </c>
      <c r="BV5" s="242">
        <v>0</v>
      </c>
      <c r="BW5" s="242">
        <v>0</v>
      </c>
      <c r="BX5" s="242"/>
      <c r="BY5" s="554" t="e">
        <f>(Tableau5[[#This Row],[juin-24]]-Tableau5[[#This Row],[avr-24]])/Tableau5[[#This Row],[avr-24]]</f>
        <v>#DIV/0!</v>
      </c>
      <c r="BZ5" s="548">
        <f>Tableau5[[#This Row],[juin-24]]-Tableau5[[#This Row],[avr-24]]</f>
        <v>0</v>
      </c>
    </row>
    <row r="6" spans="1:78" ht="16.5" x14ac:dyDescent="0.3">
      <c r="B6" s="55" t="s">
        <v>218</v>
      </c>
      <c r="C6" s="54" t="s">
        <v>54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>
        <v>1664</v>
      </c>
      <c r="W6" s="92">
        <v>2223</v>
      </c>
      <c r="X6" s="92">
        <v>3559</v>
      </c>
      <c r="Y6" s="92">
        <v>7948</v>
      </c>
      <c r="Z6" s="92">
        <v>10418</v>
      </c>
      <c r="AA6" s="92">
        <v>19156</v>
      </c>
      <c r="AB6" s="92">
        <v>27417</v>
      </c>
      <c r="AC6" s="92">
        <v>31112</v>
      </c>
      <c r="AD6" s="92">
        <v>33081</v>
      </c>
      <c r="AE6" s="92">
        <v>35033</v>
      </c>
      <c r="AF6" s="92">
        <v>39082</v>
      </c>
      <c r="AG6" s="92">
        <v>40890</v>
      </c>
      <c r="AH6" s="92">
        <v>42843</v>
      </c>
      <c r="AI6" s="92">
        <v>43726</v>
      </c>
      <c r="AJ6" s="92">
        <v>45174</v>
      </c>
      <c r="AK6" s="92">
        <v>45717</v>
      </c>
      <c r="AL6" s="92">
        <v>45798</v>
      </c>
      <c r="AM6" s="92">
        <v>46722</v>
      </c>
      <c r="AN6" s="92">
        <v>47224</v>
      </c>
      <c r="AO6" s="92">
        <v>48038</v>
      </c>
      <c r="AP6" s="92">
        <v>49242</v>
      </c>
      <c r="AQ6" s="92">
        <v>50117</v>
      </c>
      <c r="AR6" s="92">
        <v>50880</v>
      </c>
      <c r="AS6" s="92">
        <v>51324</v>
      </c>
      <c r="AT6" s="92">
        <v>52450</v>
      </c>
      <c r="AU6" s="92">
        <v>53037</v>
      </c>
      <c r="AV6" s="92">
        <v>53288</v>
      </c>
      <c r="AW6" s="92">
        <v>53464</v>
      </c>
      <c r="AX6" s="92">
        <v>53489</v>
      </c>
      <c r="AY6" s="92">
        <v>53808</v>
      </c>
      <c r="AZ6" s="92">
        <v>54044</v>
      </c>
      <c r="BA6" s="92">
        <v>54670</v>
      </c>
      <c r="BB6" s="92">
        <v>55005</v>
      </c>
      <c r="BC6" s="92">
        <v>55402</v>
      </c>
      <c r="BD6" s="92">
        <v>57630</v>
      </c>
      <c r="BE6" s="92">
        <v>57983</v>
      </c>
      <c r="BF6" s="92">
        <v>58927</v>
      </c>
      <c r="BG6" s="92">
        <v>59563</v>
      </c>
      <c r="BH6" s="92">
        <v>59718</v>
      </c>
      <c r="BI6" s="92">
        <v>59924</v>
      </c>
      <c r="BJ6" s="92">
        <v>59989</v>
      </c>
      <c r="BK6" s="88">
        <v>62321</v>
      </c>
      <c r="BL6" s="208">
        <f>(Tableau5[[#This Row],[mars-20]]-Tableau5[[#This Row],[dec-19]])/Tableau5[[#This Row],[dec-19]]</f>
        <v>3.8873793528813615E-2</v>
      </c>
      <c r="BM6" s="211">
        <f>Tableau5[[#This Row],[mars-20]]-Tableau5[[#This Row],[dec-19]]</f>
        <v>2332</v>
      </c>
      <c r="BN6" s="2">
        <v>64357</v>
      </c>
      <c r="BO6" s="242">
        <v>64901</v>
      </c>
      <c r="BP6" s="2">
        <v>70920</v>
      </c>
      <c r="BQ6" s="2">
        <v>68682</v>
      </c>
      <c r="BR6" s="2">
        <v>69000</v>
      </c>
      <c r="BS6" s="242">
        <v>76049</v>
      </c>
      <c r="BT6" s="242">
        <v>76000</v>
      </c>
      <c r="BU6" s="242">
        <v>72986</v>
      </c>
      <c r="BV6" s="242">
        <v>73000</v>
      </c>
      <c r="BW6" s="242">
        <v>81000</v>
      </c>
      <c r="BX6" s="242"/>
      <c r="BY6" s="554">
        <f>(Tableau5[[#This Row],[juin-24]]-Tableau5[[#This Row],[avr-24]])/Tableau5[[#This Row],[avr-24]]</f>
        <v>0.1095890410958904</v>
      </c>
      <c r="BZ6" s="548">
        <f>Tableau5[[#This Row],[juin-24]]-Tableau5[[#This Row],[avr-24]]</f>
        <v>8000</v>
      </c>
    </row>
    <row r="7" spans="1:78" ht="16.5" x14ac:dyDescent="0.3">
      <c r="B7" s="55" t="s">
        <v>172</v>
      </c>
      <c r="C7" s="54" t="s">
        <v>54</v>
      </c>
      <c r="D7" s="88">
        <v>5751</v>
      </c>
      <c r="E7" s="88">
        <v>26472</v>
      </c>
      <c r="F7" s="88">
        <v>29257</v>
      </c>
      <c r="G7" s="88">
        <v>29906</v>
      </c>
      <c r="H7" s="88">
        <v>30402</v>
      </c>
      <c r="I7" s="88">
        <v>31327</v>
      </c>
      <c r="J7" s="88">
        <v>36349</v>
      </c>
      <c r="K7" s="88">
        <v>38396</v>
      </c>
      <c r="L7" s="88">
        <v>38949</v>
      </c>
      <c r="M7" s="88">
        <v>39813</v>
      </c>
      <c r="N7" s="88">
        <v>40264</v>
      </c>
      <c r="O7" s="88">
        <v>41031</v>
      </c>
      <c r="P7" s="88">
        <v>42751</v>
      </c>
      <c r="Q7" s="88">
        <v>44500</v>
      </c>
      <c r="R7" s="88">
        <v>46629</v>
      </c>
      <c r="S7" s="88">
        <v>48691</v>
      </c>
      <c r="T7" s="88">
        <v>50369</v>
      </c>
      <c r="U7" s="88">
        <v>52607</v>
      </c>
      <c r="V7" s="88">
        <v>59531</v>
      </c>
      <c r="W7" s="88">
        <v>61934</v>
      </c>
      <c r="X7" s="88">
        <v>64005</v>
      </c>
      <c r="Y7" s="88">
        <v>69663</v>
      </c>
      <c r="Z7" s="88">
        <v>71398</v>
      </c>
      <c r="AA7" s="88">
        <v>79910</v>
      </c>
      <c r="AB7" s="88">
        <v>93982</v>
      </c>
      <c r="AC7" s="88">
        <v>100928</v>
      </c>
      <c r="AD7" s="88">
        <v>105760</v>
      </c>
      <c r="AE7" s="88">
        <v>109523</v>
      </c>
      <c r="AF7" s="88">
        <v>113629</v>
      </c>
      <c r="AG7" s="88">
        <v>117695</v>
      </c>
      <c r="AH7" s="88">
        <v>126861</v>
      </c>
      <c r="AI7" s="88">
        <v>129305</v>
      </c>
      <c r="AJ7" s="88">
        <v>130174</v>
      </c>
      <c r="AK7" s="88">
        <v>130438</v>
      </c>
      <c r="AL7" s="88">
        <v>130711</v>
      </c>
      <c r="AM7" s="88">
        <v>132913</v>
      </c>
      <c r="AN7" s="88">
        <v>134646</v>
      </c>
      <c r="AO7" s="88">
        <v>135897</v>
      </c>
      <c r="AP7" s="88">
        <v>137468</v>
      </c>
      <c r="AQ7" s="88">
        <v>142491</v>
      </c>
      <c r="AR7" s="88">
        <v>143442</v>
      </c>
      <c r="AS7" s="88">
        <v>144428</v>
      </c>
      <c r="AT7" s="88">
        <v>150738</v>
      </c>
      <c r="AU7" s="88">
        <v>151846</v>
      </c>
      <c r="AV7" s="88">
        <v>152777</v>
      </c>
      <c r="AW7" s="88">
        <v>153146</v>
      </c>
      <c r="AX7" s="88">
        <v>153250</v>
      </c>
      <c r="AY7" s="88">
        <v>153915</v>
      </c>
      <c r="AZ7" s="88">
        <v>154246</v>
      </c>
      <c r="BA7" s="88">
        <v>154365</v>
      </c>
      <c r="BB7" s="88">
        <v>154925</v>
      </c>
      <c r="BC7" s="88">
        <v>155951</v>
      </c>
      <c r="BD7" s="88">
        <v>157000</v>
      </c>
      <c r="BE7" s="88">
        <v>159597</v>
      </c>
      <c r="BF7" s="88">
        <v>165289</v>
      </c>
      <c r="BG7" s="88">
        <v>166672</v>
      </c>
      <c r="BH7" s="88">
        <v>167183</v>
      </c>
      <c r="BI7" s="88">
        <v>167409</v>
      </c>
      <c r="BJ7" s="88">
        <v>167346</v>
      </c>
      <c r="BK7" s="88">
        <v>168619</v>
      </c>
      <c r="BL7" s="208">
        <f>(Tableau5[[#This Row],[mars-20]]-Tableau5[[#This Row],[dec-19]])/Tableau5[[#This Row],[dec-19]]</f>
        <v>7.60699389289257E-3</v>
      </c>
      <c r="BM7" s="211">
        <f>Tableau5[[#This Row],[mars-20]]-Tableau5[[#This Row],[dec-19]]</f>
        <v>1273</v>
      </c>
      <c r="BN7" s="2">
        <v>180775</v>
      </c>
      <c r="BO7" s="242">
        <v>187947</v>
      </c>
      <c r="BP7" s="2">
        <v>227323</v>
      </c>
      <c r="BQ7" s="2">
        <v>207272</v>
      </c>
      <c r="BR7" s="2">
        <v>207123</v>
      </c>
      <c r="BS7" s="242">
        <v>235693</v>
      </c>
      <c r="BT7" s="242">
        <v>235000</v>
      </c>
      <c r="BU7" s="242">
        <v>210854</v>
      </c>
      <c r="BV7" s="242">
        <v>211000</v>
      </c>
      <c r="BW7" s="2">
        <v>244000</v>
      </c>
      <c r="BX7" s="242"/>
      <c r="BY7" s="554">
        <f>(Tableau5[[#This Row],[juin-24]]-Tableau5[[#This Row],[avr-24]])/Tableau5[[#This Row],[avr-24]]</f>
        <v>0.15639810426540285</v>
      </c>
      <c r="BZ7" s="548">
        <f>Tableau5[[#This Row],[juin-24]]-Tableau5[[#This Row],[avr-24]]</f>
        <v>33000</v>
      </c>
    </row>
    <row r="8" spans="1:78" ht="16.5" x14ac:dyDescent="0.3">
      <c r="A8" s="54"/>
      <c r="B8" s="121" t="s">
        <v>238</v>
      </c>
      <c r="C8" s="54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207"/>
      <c r="BL8" s="208" t="e">
        <f>(Tableau5[[#This Row],[mars-20]]-Tableau5[[#This Row],[dec-19]])/Tableau5[[#This Row],[dec-19]]</f>
        <v>#DIV/0!</v>
      </c>
      <c r="BM8" s="210">
        <f>Tableau5[[#This Row],[mars-20]]-Tableau5[[#This Row],[dec-19]]</f>
        <v>0</v>
      </c>
      <c r="BN8" s="2"/>
      <c r="BO8" s="2">
        <v>33000</v>
      </c>
      <c r="BP8" s="2">
        <v>36619</v>
      </c>
      <c r="BQ8" s="2">
        <v>37494</v>
      </c>
      <c r="BR8" s="2">
        <v>35844</v>
      </c>
      <c r="BS8" s="242">
        <v>38700</v>
      </c>
      <c r="BT8" s="242">
        <v>38740</v>
      </c>
      <c r="BU8" s="242">
        <v>40000</v>
      </c>
      <c r="BV8" s="242">
        <v>41000</v>
      </c>
      <c r="BW8" s="242">
        <v>41000</v>
      </c>
      <c r="BX8" s="242"/>
      <c r="BY8" s="554">
        <f>(Tableau5[[#This Row],[juin-24]]-Tableau5[[#This Row],[avr-24]])/Tableau5[[#This Row],[avr-24]]</f>
        <v>0</v>
      </c>
      <c r="BZ8" s="548">
        <f>Tableau5[[#This Row],[juin-24]]-Tableau5[[#This Row],[avr-24]]</f>
        <v>0</v>
      </c>
    </row>
    <row r="9" spans="1:78" ht="16.5" x14ac:dyDescent="0.3">
      <c r="B9" s="55" t="s">
        <v>174</v>
      </c>
      <c r="C9" s="54" t="s">
        <v>54</v>
      </c>
      <c r="D9" s="88">
        <v>36975</v>
      </c>
      <c r="E9" s="88">
        <v>41150</v>
      </c>
      <c r="F9" s="88">
        <v>44497</v>
      </c>
      <c r="G9" s="88">
        <v>47286</v>
      </c>
      <c r="H9" s="88">
        <v>49994</v>
      </c>
      <c r="I9" s="88">
        <v>50589</v>
      </c>
      <c r="J9" s="88">
        <v>55128</v>
      </c>
      <c r="K9" s="88">
        <v>59841</v>
      </c>
      <c r="L9" s="88">
        <v>60815</v>
      </c>
      <c r="M9" s="88">
        <v>61972</v>
      </c>
      <c r="N9" s="88">
        <v>61830</v>
      </c>
      <c r="O9" s="88">
        <v>61753</v>
      </c>
      <c r="P9" s="88">
        <v>61949</v>
      </c>
      <c r="Q9" s="88">
        <v>62008</v>
      </c>
      <c r="R9" s="88">
        <v>62939</v>
      </c>
      <c r="S9" s="88">
        <v>64019</v>
      </c>
      <c r="T9" s="88">
        <v>64703</v>
      </c>
      <c r="U9" s="88">
        <v>65654</v>
      </c>
      <c r="V9" s="88">
        <v>67024</v>
      </c>
      <c r="W9" s="88">
        <v>67111</v>
      </c>
      <c r="X9" s="88">
        <v>67821</v>
      </c>
      <c r="Y9" s="88">
        <v>68713</v>
      </c>
      <c r="Z9" s="88">
        <v>68888</v>
      </c>
      <c r="AA9" s="88">
        <v>68792</v>
      </c>
      <c r="AB9" s="88">
        <v>68924</v>
      </c>
      <c r="AC9" s="88">
        <v>68945</v>
      </c>
      <c r="AD9" s="88">
        <v>69323</v>
      </c>
      <c r="AE9" s="88">
        <v>69955</v>
      </c>
      <c r="AF9" s="88">
        <v>70620</v>
      </c>
      <c r="AG9" s="88">
        <v>71846</v>
      </c>
      <c r="AH9" s="88">
        <v>74692</v>
      </c>
      <c r="AI9" s="88">
        <v>75246</v>
      </c>
      <c r="AJ9" s="88">
        <v>76696</v>
      </c>
      <c r="AK9" s="88">
        <v>76745</v>
      </c>
      <c r="AL9" s="88">
        <v>77024</v>
      </c>
      <c r="AM9" s="88">
        <v>78711</v>
      </c>
      <c r="AN9" s="88">
        <v>78845</v>
      </c>
      <c r="AO9" s="88">
        <v>79275</v>
      </c>
      <c r="AP9" s="88">
        <v>79669</v>
      </c>
      <c r="AQ9" s="88">
        <v>80345</v>
      </c>
      <c r="AR9" s="88">
        <v>81519</v>
      </c>
      <c r="AS9" s="88">
        <v>82153</v>
      </c>
      <c r="AT9" s="88">
        <v>86255</v>
      </c>
      <c r="AU9" s="88">
        <v>87464</v>
      </c>
      <c r="AV9" s="88">
        <v>90008</v>
      </c>
      <c r="AW9" s="88">
        <v>90201</v>
      </c>
      <c r="AX9" s="88">
        <v>90419</v>
      </c>
      <c r="AY9" s="88">
        <v>91287</v>
      </c>
      <c r="AZ9" s="88">
        <v>92173</v>
      </c>
      <c r="BA9" s="88">
        <v>92550</v>
      </c>
      <c r="BB9" s="88">
        <v>92805</v>
      </c>
      <c r="BC9" s="88">
        <v>92000</v>
      </c>
      <c r="BD9" s="88">
        <v>93000</v>
      </c>
      <c r="BE9" s="88">
        <v>96197</v>
      </c>
      <c r="BF9" s="88">
        <v>100106</v>
      </c>
      <c r="BG9" s="88">
        <v>104864</v>
      </c>
      <c r="BH9" s="88">
        <v>107301</v>
      </c>
      <c r="BI9" s="88">
        <v>107137</v>
      </c>
      <c r="BJ9" s="88">
        <v>107056</v>
      </c>
      <c r="BK9" s="88">
        <v>107502</v>
      </c>
      <c r="BL9" s="208">
        <f>(Tableau5[[#This Row],[mars-20]]-Tableau5[[#This Row],[dec-19]])/Tableau5[[#This Row],[dec-19]]</f>
        <v>4.1660439396203853E-3</v>
      </c>
      <c r="BM9" s="211">
        <f>Tableau5[[#This Row],[mars-20]]-Tableau5[[#This Row],[dec-19]]</f>
        <v>446</v>
      </c>
      <c r="BN9" s="2">
        <v>110755</v>
      </c>
      <c r="BO9" s="242">
        <v>111067</v>
      </c>
      <c r="BP9" s="2">
        <v>113663</v>
      </c>
      <c r="BQ9" s="2">
        <v>112278</v>
      </c>
      <c r="BR9" s="2">
        <v>112306</v>
      </c>
      <c r="BS9" s="242">
        <v>116768</v>
      </c>
      <c r="BT9" s="242">
        <v>116727</v>
      </c>
      <c r="BU9" s="242">
        <v>115250</v>
      </c>
      <c r="BV9" s="242">
        <v>114000</v>
      </c>
      <c r="BW9" s="242">
        <v>122000</v>
      </c>
      <c r="BX9" s="242"/>
      <c r="BY9" s="554">
        <f>(Tableau5[[#This Row],[juin-24]]-Tableau5[[#This Row],[avr-24]])/Tableau5[[#This Row],[avr-24]]</f>
        <v>7.0175438596491224E-2</v>
      </c>
      <c r="BZ9" s="548">
        <f>Tableau5[[#This Row],[juin-24]]-Tableau5[[#This Row],[avr-24]]</f>
        <v>8000</v>
      </c>
    </row>
    <row r="10" spans="1:78" ht="16.5" x14ac:dyDescent="0.3">
      <c r="B10" s="55" t="s">
        <v>273</v>
      </c>
      <c r="C10" s="54" t="s">
        <v>54</v>
      </c>
      <c r="D10" s="88">
        <v>243156</v>
      </c>
      <c r="E10" s="88">
        <v>247114</v>
      </c>
      <c r="F10" s="88">
        <v>251074</v>
      </c>
      <c r="G10" s="88">
        <v>257280</v>
      </c>
      <c r="H10" s="88">
        <v>266360</v>
      </c>
      <c r="I10" s="88">
        <v>272833</v>
      </c>
      <c r="J10" s="88">
        <v>298078</v>
      </c>
      <c r="K10" s="88">
        <v>305122</v>
      </c>
      <c r="L10" s="88">
        <v>307566</v>
      </c>
      <c r="M10" s="88">
        <v>311054</v>
      </c>
      <c r="N10" s="88">
        <v>312514</v>
      </c>
      <c r="O10" s="88">
        <v>316004</v>
      </c>
      <c r="P10" s="88">
        <v>321014</v>
      </c>
      <c r="Q10" s="88">
        <v>326140</v>
      </c>
      <c r="R10" s="88">
        <v>333621</v>
      </c>
      <c r="S10" s="88">
        <v>340882</v>
      </c>
      <c r="T10" s="88">
        <v>348453</v>
      </c>
      <c r="U10" s="88">
        <v>350814</v>
      </c>
      <c r="V10" s="88">
        <v>361095</v>
      </c>
      <c r="W10" s="88">
        <v>363357</v>
      </c>
      <c r="X10" s="88">
        <v>364200</v>
      </c>
      <c r="Y10" s="88">
        <v>365293</v>
      </c>
      <c r="Z10" s="88">
        <v>365533</v>
      </c>
      <c r="AA10" s="88">
        <v>366367</v>
      </c>
      <c r="AB10" s="88">
        <v>367465</v>
      </c>
      <c r="AC10" s="88">
        <v>368722</v>
      </c>
      <c r="AD10" s="88">
        <v>372110</v>
      </c>
      <c r="AE10" s="88">
        <v>374478</v>
      </c>
      <c r="AF10" s="88">
        <v>377532</v>
      </c>
      <c r="AG10" s="88">
        <v>378497</v>
      </c>
      <c r="AH10" s="88">
        <v>382777</v>
      </c>
      <c r="AI10" s="88">
        <v>383011</v>
      </c>
      <c r="AJ10" s="88">
        <v>382779</v>
      </c>
      <c r="AK10" s="88">
        <v>382928</v>
      </c>
      <c r="AL10" s="88">
        <v>382872</v>
      </c>
      <c r="AM10" s="88">
        <v>383261</v>
      </c>
      <c r="AN10" s="88">
        <v>384396</v>
      </c>
      <c r="AO10" s="88">
        <v>384886</v>
      </c>
      <c r="AP10" s="88">
        <v>385704</v>
      </c>
      <c r="AQ10" s="88">
        <v>388578</v>
      </c>
      <c r="AR10" s="88">
        <v>387293</v>
      </c>
      <c r="AS10" s="88">
        <v>387257</v>
      </c>
      <c r="AT10" s="88">
        <v>389416</v>
      </c>
      <c r="AU10" s="88">
        <v>389424</v>
      </c>
      <c r="AV10" s="88">
        <v>389799</v>
      </c>
      <c r="AW10" s="88">
        <v>389671</v>
      </c>
      <c r="AX10" s="88">
        <v>389130</v>
      </c>
      <c r="AY10" s="88">
        <v>389693</v>
      </c>
      <c r="AZ10" s="88">
        <v>390408</v>
      </c>
      <c r="BA10" s="88">
        <v>390820</v>
      </c>
      <c r="BB10" s="88">
        <v>392760</v>
      </c>
      <c r="BC10" s="88">
        <v>394572</v>
      </c>
      <c r="BD10" s="88">
        <v>394787</v>
      </c>
      <c r="BE10" s="88">
        <v>395586</v>
      </c>
      <c r="BF10" s="88">
        <v>401735</v>
      </c>
      <c r="BG10" s="88">
        <v>403336</v>
      </c>
      <c r="BH10" s="88">
        <v>403147</v>
      </c>
      <c r="BI10" s="88">
        <v>402892</v>
      </c>
      <c r="BJ10" s="88">
        <v>402510</v>
      </c>
      <c r="BK10" s="88">
        <v>403692</v>
      </c>
      <c r="BL10" s="208">
        <f>(Tableau5[[#This Row],[mars-20]]-Tableau5[[#This Row],[dec-19]])/Tableau5[[#This Row],[dec-19]]</f>
        <v>2.9365730043974061E-3</v>
      </c>
      <c r="BM10" s="211">
        <f>Tableau5[[#This Row],[mars-20]]-Tableau5[[#This Row],[dec-19]]</f>
        <v>1182</v>
      </c>
      <c r="BN10" s="2">
        <v>415536</v>
      </c>
      <c r="BO10" s="242">
        <v>423940</v>
      </c>
      <c r="BP10" s="2">
        <v>446523</v>
      </c>
      <c r="BQ10" s="2">
        <v>439206</v>
      </c>
      <c r="BR10" s="2">
        <v>439567</v>
      </c>
      <c r="BS10" s="242">
        <v>457279</v>
      </c>
      <c r="BT10" s="242">
        <v>457267</v>
      </c>
      <c r="BU10" s="242">
        <v>446274</v>
      </c>
      <c r="BV10" s="242">
        <v>474000</v>
      </c>
      <c r="BW10" s="242">
        <v>477000</v>
      </c>
      <c r="BX10" s="242"/>
      <c r="BY10" s="554">
        <f>(Tableau5[[#This Row],[juin-24]]-Tableau5[[#This Row],[avr-24]])/Tableau5[[#This Row],[avr-24]]</f>
        <v>6.3291139240506328E-3</v>
      </c>
      <c r="BZ10" s="548">
        <f>Tableau5[[#This Row],[juin-24]]-Tableau5[[#This Row],[avr-24]]</f>
        <v>3000</v>
      </c>
    </row>
    <row r="11" spans="1:78" ht="16.5" x14ac:dyDescent="0.3">
      <c r="B11" s="55" t="s">
        <v>286</v>
      </c>
      <c r="C11" s="54" t="s">
        <v>54</v>
      </c>
      <c r="D11" s="88">
        <v>230577</v>
      </c>
      <c r="E11" s="88">
        <v>231890</v>
      </c>
      <c r="F11" s="88">
        <v>229398</v>
      </c>
      <c r="G11" s="88">
        <v>230680</v>
      </c>
      <c r="H11" s="88">
        <v>233137</v>
      </c>
      <c r="I11" s="88">
        <v>235044</v>
      </c>
      <c r="J11" s="88">
        <v>240415</v>
      </c>
      <c r="K11" s="88">
        <v>242135</v>
      </c>
      <c r="L11" s="88">
        <v>242656</v>
      </c>
      <c r="M11" s="88">
        <v>243555</v>
      </c>
      <c r="N11" s="88">
        <v>243836</v>
      </c>
      <c r="O11" s="88">
        <v>244156</v>
      </c>
      <c r="P11" s="88">
        <v>244822</v>
      </c>
      <c r="Q11" s="88">
        <v>245683</v>
      </c>
      <c r="R11" s="88">
        <v>246927</v>
      </c>
      <c r="S11" s="88">
        <v>248133</v>
      </c>
      <c r="T11" s="88">
        <v>249582</v>
      </c>
      <c r="U11" s="88">
        <v>249940</v>
      </c>
      <c r="V11" s="88">
        <v>252365</v>
      </c>
      <c r="W11" s="88">
        <v>252975</v>
      </c>
      <c r="X11" s="88">
        <v>253568</v>
      </c>
      <c r="Y11" s="88">
        <v>253390</v>
      </c>
      <c r="Z11" s="88">
        <v>253200</v>
      </c>
      <c r="AA11" s="88">
        <v>252765</v>
      </c>
      <c r="AB11" s="88">
        <v>252864</v>
      </c>
      <c r="AC11" s="88">
        <v>253067</v>
      </c>
      <c r="AD11" s="88">
        <v>253052</v>
      </c>
      <c r="AE11" s="88">
        <v>253050</v>
      </c>
      <c r="AF11" s="88">
        <v>253537</v>
      </c>
      <c r="AG11" s="88">
        <v>253870</v>
      </c>
      <c r="AH11" s="88">
        <v>255686</v>
      </c>
      <c r="AI11" s="88">
        <v>256694</v>
      </c>
      <c r="AJ11" s="88">
        <v>256883</v>
      </c>
      <c r="AK11" s="88">
        <v>256749</v>
      </c>
      <c r="AL11" s="88">
        <v>256660</v>
      </c>
      <c r="AM11" s="88">
        <v>256486</v>
      </c>
      <c r="AN11" s="88">
        <v>256298</v>
      </c>
      <c r="AO11" s="88">
        <v>256267</v>
      </c>
      <c r="AP11" s="88">
        <v>256059</v>
      </c>
      <c r="AQ11" s="88">
        <v>255397</v>
      </c>
      <c r="AR11" s="88">
        <v>255058</v>
      </c>
      <c r="AS11" s="88">
        <v>254895</v>
      </c>
      <c r="AT11" s="88">
        <v>256342</v>
      </c>
      <c r="AU11" s="88">
        <v>256193</v>
      </c>
      <c r="AV11" s="88">
        <v>256445</v>
      </c>
      <c r="AW11" s="88">
        <v>256329</v>
      </c>
      <c r="AX11" s="88">
        <v>255997</v>
      </c>
      <c r="AY11" s="88">
        <v>255881</v>
      </c>
      <c r="AZ11" s="88">
        <v>256476</v>
      </c>
      <c r="BA11" s="88">
        <v>256905</v>
      </c>
      <c r="BB11" s="88">
        <v>257215</v>
      </c>
      <c r="BC11" s="88">
        <v>258329</v>
      </c>
      <c r="BD11" s="88">
        <v>259000</v>
      </c>
      <c r="BE11" s="88">
        <v>260149</v>
      </c>
      <c r="BF11" s="88">
        <v>262459</v>
      </c>
      <c r="BG11" s="88">
        <v>263213</v>
      </c>
      <c r="BH11" s="88">
        <v>263449</v>
      </c>
      <c r="BI11" s="88">
        <v>263448</v>
      </c>
      <c r="BJ11" s="88">
        <v>263342</v>
      </c>
      <c r="BK11" s="88">
        <v>263389</v>
      </c>
      <c r="BL11" s="208">
        <f>(Tableau5[[#This Row],[mars-20]]-Tableau5[[#This Row],[dec-19]])/Tableau5[[#This Row],[dec-19]]</f>
        <v>1.784751387929005E-4</v>
      </c>
      <c r="BM11" s="211">
        <f>Tableau5[[#This Row],[mars-20]]-Tableau5[[#This Row],[dec-19]]</f>
        <v>47</v>
      </c>
      <c r="BN11" s="2">
        <v>265298</v>
      </c>
      <c r="BO11" s="242">
        <v>267940</v>
      </c>
      <c r="BP11" s="2">
        <v>269058</v>
      </c>
      <c r="BQ11" s="2">
        <v>270702</v>
      </c>
      <c r="BR11" s="2">
        <v>270454</v>
      </c>
      <c r="BS11" s="242">
        <v>292527</v>
      </c>
      <c r="BT11" s="242">
        <v>292553</v>
      </c>
      <c r="BU11" s="242">
        <v>289788</v>
      </c>
      <c r="BV11" s="242">
        <v>306000</v>
      </c>
      <c r="BW11" s="242">
        <v>307000</v>
      </c>
      <c r="BX11" s="242"/>
      <c r="BY11" s="554">
        <f>(Tableau5[[#This Row],[juin-24]]-Tableau5[[#This Row],[avr-24]])/Tableau5[[#This Row],[avr-24]]</f>
        <v>3.2679738562091504E-3</v>
      </c>
      <c r="BZ11" s="548">
        <f>Tableau5[[#This Row],[juin-24]]-Tableau5[[#This Row],[avr-24]]</f>
        <v>1000</v>
      </c>
    </row>
    <row r="12" spans="1:78" ht="16.5" x14ac:dyDescent="0.3">
      <c r="B12" s="55" t="s">
        <v>173</v>
      </c>
      <c r="C12" s="54" t="s">
        <v>54</v>
      </c>
      <c r="D12" s="88">
        <v>62770</v>
      </c>
      <c r="E12" s="88">
        <v>63186</v>
      </c>
      <c r="F12" s="88">
        <v>62198</v>
      </c>
      <c r="G12" s="88">
        <v>62691</v>
      </c>
      <c r="H12" s="88">
        <v>63418</v>
      </c>
      <c r="I12" s="88">
        <v>64473</v>
      </c>
      <c r="J12" s="88">
        <v>70518</v>
      </c>
      <c r="K12" s="88">
        <v>71367</v>
      </c>
      <c r="L12" s="88">
        <v>71484</v>
      </c>
      <c r="M12" s="88">
        <v>71650</v>
      </c>
      <c r="N12" s="88">
        <v>71723</v>
      </c>
      <c r="O12" s="88">
        <v>72021</v>
      </c>
      <c r="P12" s="88">
        <v>72689</v>
      </c>
      <c r="Q12" s="88">
        <v>73211</v>
      </c>
      <c r="R12" s="88">
        <v>74644</v>
      </c>
      <c r="S12" s="88">
        <v>75583</v>
      </c>
      <c r="T12" s="88">
        <v>76556</v>
      </c>
      <c r="U12" s="88">
        <v>78473</v>
      </c>
      <c r="V12" s="88">
        <v>83849</v>
      </c>
      <c r="W12" s="88">
        <v>84782</v>
      </c>
      <c r="X12" s="88">
        <v>85223</v>
      </c>
      <c r="Y12" s="88">
        <v>85571</v>
      </c>
      <c r="Z12" s="88">
        <v>85905</v>
      </c>
      <c r="AA12" s="88">
        <v>86044</v>
      </c>
      <c r="AB12" s="88">
        <v>86406</v>
      </c>
      <c r="AC12" s="88">
        <v>86902</v>
      </c>
      <c r="AD12" s="88">
        <v>87611</v>
      </c>
      <c r="AE12" s="88">
        <v>88692</v>
      </c>
      <c r="AF12" s="88">
        <v>90219</v>
      </c>
      <c r="AG12" s="88">
        <v>91915</v>
      </c>
      <c r="AH12" s="88">
        <v>95356</v>
      </c>
      <c r="AI12" s="88">
        <v>95963</v>
      </c>
      <c r="AJ12" s="88">
        <v>96056</v>
      </c>
      <c r="AK12" s="88">
        <v>96264</v>
      </c>
      <c r="AL12" s="88">
        <v>96397</v>
      </c>
      <c r="AM12" s="88">
        <v>96851</v>
      </c>
      <c r="AN12" s="88">
        <v>97269</v>
      </c>
      <c r="AO12" s="88">
        <v>97480</v>
      </c>
      <c r="AP12" s="88">
        <v>98088</v>
      </c>
      <c r="AQ12" s="88">
        <v>98373</v>
      </c>
      <c r="AR12" s="88">
        <v>98865</v>
      </c>
      <c r="AS12" s="88">
        <v>99267</v>
      </c>
      <c r="AT12" s="88">
        <v>100294</v>
      </c>
      <c r="AU12" s="88">
        <v>100473</v>
      </c>
      <c r="AV12" s="88">
        <v>100548</v>
      </c>
      <c r="AW12" s="88">
        <v>100752</v>
      </c>
      <c r="AX12" s="88">
        <v>100747</v>
      </c>
      <c r="AY12" s="88">
        <v>100878</v>
      </c>
      <c r="AZ12" s="88">
        <v>101069</v>
      </c>
      <c r="BA12" s="88">
        <v>101340</v>
      </c>
      <c r="BB12" s="88">
        <v>101575</v>
      </c>
      <c r="BC12" s="88">
        <v>101751</v>
      </c>
      <c r="BD12" s="88">
        <v>102000</v>
      </c>
      <c r="BE12" s="88">
        <v>102893</v>
      </c>
      <c r="BF12" s="88">
        <v>107301</v>
      </c>
      <c r="BG12" s="88">
        <v>108305</v>
      </c>
      <c r="BH12" s="88">
        <v>108430</v>
      </c>
      <c r="BI12" s="88">
        <v>108473</v>
      </c>
      <c r="BJ12" s="88">
        <v>108439</v>
      </c>
      <c r="BK12" s="88">
        <v>109130</v>
      </c>
      <c r="BL12" s="208">
        <f>(Tableau5[[#This Row],[mars-20]]-Tableau5[[#This Row],[dec-19]])/Tableau5[[#This Row],[dec-19]]</f>
        <v>6.3722461476037216E-3</v>
      </c>
      <c r="BM12" s="211">
        <f>Tableau5[[#This Row],[mars-20]]-Tableau5[[#This Row],[dec-19]]</f>
        <v>691</v>
      </c>
      <c r="BN12" s="2">
        <v>113609</v>
      </c>
      <c r="BO12" s="242">
        <v>114256</v>
      </c>
      <c r="BP12" s="2">
        <v>121006</v>
      </c>
      <c r="BQ12" s="2">
        <v>118360</v>
      </c>
      <c r="BR12" s="2">
        <v>118738</v>
      </c>
      <c r="BS12" s="242">
        <v>127492</v>
      </c>
      <c r="BT12" s="242">
        <v>127338</v>
      </c>
      <c r="BU12" s="242">
        <v>124636</v>
      </c>
      <c r="BV12" s="242">
        <v>139000</v>
      </c>
      <c r="BW12" s="242">
        <v>138000</v>
      </c>
      <c r="BX12" s="242"/>
      <c r="BY12" s="554">
        <f>(Tableau5[[#This Row],[juin-24]]-Tableau5[[#This Row],[avr-24]])/Tableau5[[#This Row],[avr-24]]</f>
        <v>-7.1942446043165471E-3</v>
      </c>
      <c r="BZ12" s="548">
        <f>Tableau5[[#This Row],[juin-24]]-Tableau5[[#This Row],[avr-24]]</f>
        <v>-1000</v>
      </c>
    </row>
    <row r="13" spans="1:78" ht="16.5" x14ac:dyDescent="0.3">
      <c r="B13" s="55" t="s">
        <v>220</v>
      </c>
      <c r="C13" s="54" t="s">
        <v>54</v>
      </c>
      <c r="D13" s="88">
        <v>584726</v>
      </c>
      <c r="E13" s="88">
        <v>588891</v>
      </c>
      <c r="F13" s="88">
        <v>584285</v>
      </c>
      <c r="G13" s="88">
        <v>592281</v>
      </c>
      <c r="H13" s="88">
        <v>605082</v>
      </c>
      <c r="I13" s="88">
        <v>615132</v>
      </c>
      <c r="J13" s="88">
        <v>668583</v>
      </c>
      <c r="K13" s="88">
        <v>691103</v>
      </c>
      <c r="L13" s="88">
        <v>702506</v>
      </c>
      <c r="M13" s="88">
        <v>714815</v>
      </c>
      <c r="N13" s="88">
        <v>719435</v>
      </c>
      <c r="O13" s="88">
        <v>729311</v>
      </c>
      <c r="P13" s="88">
        <v>739338</v>
      </c>
      <c r="Q13" s="88">
        <v>746494</v>
      </c>
      <c r="R13" s="88">
        <v>758275</v>
      </c>
      <c r="S13" s="88">
        <v>768575</v>
      </c>
      <c r="T13" s="88">
        <v>778788</v>
      </c>
      <c r="U13" s="88">
        <v>785275</v>
      </c>
      <c r="V13" s="88">
        <v>828188</v>
      </c>
      <c r="W13" s="88">
        <v>838642</v>
      </c>
      <c r="X13" s="88">
        <v>844369</v>
      </c>
      <c r="Y13" s="88">
        <v>846155</v>
      </c>
      <c r="Z13" s="88">
        <v>848431</v>
      </c>
      <c r="AA13" s="88">
        <v>848818</v>
      </c>
      <c r="AB13" s="88">
        <v>850923</v>
      </c>
      <c r="AC13" s="88">
        <v>852035</v>
      </c>
      <c r="AD13" s="88">
        <v>853747</v>
      </c>
      <c r="AE13" s="88">
        <v>855613</v>
      </c>
      <c r="AF13" s="88">
        <v>859922</v>
      </c>
      <c r="AG13" s="88">
        <v>867335</v>
      </c>
      <c r="AH13" s="88">
        <v>882748</v>
      </c>
      <c r="AI13" s="88">
        <v>885279</v>
      </c>
      <c r="AJ13" s="88">
        <v>887078</v>
      </c>
      <c r="AK13" s="88">
        <v>886767</v>
      </c>
      <c r="AL13" s="88">
        <v>887203</v>
      </c>
      <c r="AM13" s="88">
        <v>889495</v>
      </c>
      <c r="AN13" s="88">
        <v>889790</v>
      </c>
      <c r="AO13" s="88">
        <v>891318</v>
      </c>
      <c r="AP13" s="88">
        <v>890495</v>
      </c>
      <c r="AQ13" s="88">
        <v>888909</v>
      </c>
      <c r="AR13" s="88">
        <v>891693</v>
      </c>
      <c r="AS13" s="88">
        <v>891870</v>
      </c>
      <c r="AT13" s="88">
        <v>898001</v>
      </c>
      <c r="AU13" s="88">
        <v>898666</v>
      </c>
      <c r="AV13" s="88">
        <v>898284</v>
      </c>
      <c r="AW13" s="88">
        <v>897894</v>
      </c>
      <c r="AX13" s="88">
        <v>897094</v>
      </c>
      <c r="AY13" s="88">
        <v>897754</v>
      </c>
      <c r="AZ13" s="88">
        <v>897393</v>
      </c>
      <c r="BA13" s="88">
        <v>897800</v>
      </c>
      <c r="BB13" s="88">
        <v>897870</v>
      </c>
      <c r="BC13" s="88">
        <v>897467</v>
      </c>
      <c r="BD13" s="88">
        <v>898752</v>
      </c>
      <c r="BE13" s="88">
        <v>900285</v>
      </c>
      <c r="BF13" s="88">
        <v>907764</v>
      </c>
      <c r="BG13" s="88">
        <v>908734</v>
      </c>
      <c r="BH13" s="88">
        <v>908636</v>
      </c>
      <c r="BI13" s="88">
        <v>909367</v>
      </c>
      <c r="BJ13" s="88">
        <v>908074</v>
      </c>
      <c r="BK13" s="88">
        <v>910371</v>
      </c>
      <c r="BL13" s="208">
        <f>(Tableau5[[#This Row],[mars-20]]-Tableau5[[#This Row],[dec-19]])/Tableau5[[#This Row],[dec-19]]</f>
        <v>2.5295295317341979E-3</v>
      </c>
      <c r="BM13" s="211">
        <f>Tableau5[[#This Row],[mars-20]]-Tableau5[[#This Row],[dec-19]]</f>
        <v>2297</v>
      </c>
      <c r="BN13" s="2">
        <v>923009</v>
      </c>
      <c r="BO13" s="242">
        <v>932094</v>
      </c>
      <c r="BP13" s="2">
        <v>969292</v>
      </c>
      <c r="BQ13" s="2">
        <v>950942</v>
      </c>
      <c r="BR13" s="2">
        <v>950690</v>
      </c>
      <c r="BS13" s="242">
        <v>982711</v>
      </c>
      <c r="BT13" s="242">
        <v>981239</v>
      </c>
      <c r="BU13" s="242">
        <v>952059</v>
      </c>
      <c r="BV13" s="242">
        <v>980000</v>
      </c>
      <c r="BW13" s="242">
        <v>989000</v>
      </c>
      <c r="BX13" s="242"/>
      <c r="BY13" s="554">
        <f>(Tableau5[[#This Row],[juin-24]]-Tableau5[[#This Row],[avr-24]])/Tableau5[[#This Row],[avr-24]]</f>
        <v>9.1836734693877559E-3</v>
      </c>
      <c r="BZ13" s="548">
        <f>Tableau5[[#This Row],[juin-24]]-Tableau5[[#This Row],[avr-24]]</f>
        <v>9000</v>
      </c>
    </row>
    <row r="14" spans="1:78" ht="16.5" x14ac:dyDescent="0.3">
      <c r="B14" s="55" t="s">
        <v>219</v>
      </c>
      <c r="C14" s="54" t="s">
        <v>54</v>
      </c>
      <c r="D14" s="88">
        <v>3781</v>
      </c>
      <c r="E14" s="88">
        <v>4007</v>
      </c>
      <c r="F14" s="88">
        <v>5925</v>
      </c>
      <c r="G14" s="88">
        <v>7267</v>
      </c>
      <c r="H14" s="88">
        <v>7585</v>
      </c>
      <c r="I14" s="88">
        <v>7789</v>
      </c>
      <c r="J14" s="88">
        <v>7822</v>
      </c>
      <c r="K14" s="88">
        <v>8371</v>
      </c>
      <c r="L14" s="88">
        <v>8464</v>
      </c>
      <c r="M14" s="88">
        <v>9070</v>
      </c>
      <c r="N14" s="88">
        <v>10436</v>
      </c>
      <c r="O14" s="88">
        <v>11771</v>
      </c>
      <c r="P14" s="88">
        <v>12610</v>
      </c>
      <c r="Q14" s="88">
        <v>12930</v>
      </c>
      <c r="R14" s="88">
        <v>14739</v>
      </c>
      <c r="S14" s="88">
        <v>15965</v>
      </c>
      <c r="T14" s="88">
        <v>16248</v>
      </c>
      <c r="U14" s="88">
        <v>16422</v>
      </c>
      <c r="V14" s="88">
        <v>16710</v>
      </c>
      <c r="W14" s="88">
        <v>16794</v>
      </c>
      <c r="X14" s="88">
        <v>16905</v>
      </c>
      <c r="Y14" s="88">
        <v>17047</v>
      </c>
      <c r="Z14" s="88">
        <v>17339</v>
      </c>
      <c r="AA14" s="88">
        <v>17530</v>
      </c>
      <c r="AB14" s="88">
        <v>18467</v>
      </c>
      <c r="AC14" s="88">
        <v>19055</v>
      </c>
      <c r="AD14" s="88">
        <v>19868</v>
      </c>
      <c r="AE14" s="88">
        <v>20157</v>
      </c>
      <c r="AF14" s="88">
        <v>20280</v>
      </c>
      <c r="AG14" s="88">
        <v>21092</v>
      </c>
      <c r="AH14" s="88">
        <v>23931</v>
      </c>
      <c r="AI14" s="88">
        <v>24158</v>
      </c>
      <c r="AJ14" s="88">
        <v>24406</v>
      </c>
      <c r="AK14" s="88">
        <v>24646</v>
      </c>
      <c r="AL14" s="88">
        <v>24788</v>
      </c>
      <c r="AM14" s="88">
        <v>24954</v>
      </c>
      <c r="AN14" s="88">
        <v>25915</v>
      </c>
      <c r="AO14" s="88"/>
      <c r="AP14" s="88"/>
      <c r="AQ14" s="88"/>
      <c r="AR14" s="88"/>
      <c r="AS14" s="88"/>
      <c r="AT14" s="88"/>
      <c r="AU14" s="88"/>
      <c r="AV14" s="88"/>
      <c r="AW14" s="88">
        <v>28212</v>
      </c>
      <c r="AX14" s="88">
        <v>28204</v>
      </c>
      <c r="AY14" s="88">
        <v>28376</v>
      </c>
      <c r="AZ14" s="88">
        <v>28734</v>
      </c>
      <c r="BA14" s="88">
        <v>28905</v>
      </c>
      <c r="BB14" s="88">
        <v>29190</v>
      </c>
      <c r="BC14" s="88">
        <v>29631</v>
      </c>
      <c r="BD14" s="88">
        <v>29741</v>
      </c>
      <c r="BE14" s="88">
        <v>29935</v>
      </c>
      <c r="BF14" s="88">
        <v>31685</v>
      </c>
      <c r="BG14" s="88">
        <v>32009</v>
      </c>
      <c r="BH14" s="88">
        <v>32084</v>
      </c>
      <c r="BI14" s="88">
        <v>32127</v>
      </c>
      <c r="BJ14" s="88">
        <v>32191</v>
      </c>
      <c r="BK14" s="88">
        <v>33125</v>
      </c>
      <c r="BL14" s="208">
        <f>(Tableau5[[#This Row],[mars-20]]-Tableau5[[#This Row],[dec-19]])/Tableau5[[#This Row],[dec-19]]</f>
        <v>2.9014320772886831E-2</v>
      </c>
      <c r="BM14" s="211">
        <f>Tableau5[[#This Row],[mars-20]]-Tableau5[[#This Row],[dec-19]]</f>
        <v>934</v>
      </c>
      <c r="BN14" s="2">
        <v>33881</v>
      </c>
      <c r="BO14" s="242">
        <v>34288</v>
      </c>
      <c r="BP14" s="2">
        <v>509215</v>
      </c>
      <c r="BQ14" s="2">
        <v>518392</v>
      </c>
      <c r="BR14" s="2">
        <v>520337</v>
      </c>
      <c r="BS14" s="242">
        <v>529113</v>
      </c>
      <c r="BT14" s="242">
        <v>528546</v>
      </c>
      <c r="BU14" s="242">
        <v>527546</v>
      </c>
      <c r="BV14" s="242">
        <v>538000</v>
      </c>
      <c r="BW14" s="242">
        <v>539000</v>
      </c>
      <c r="BX14" s="242"/>
      <c r="BY14" s="554">
        <f>(Tableau5[[#This Row],[juin-24]]-Tableau5[[#This Row],[avr-24]])/Tableau5[[#This Row],[avr-24]]</f>
        <v>1.8587360594795538E-3</v>
      </c>
      <c r="BZ14" s="548">
        <f>Tableau5[[#This Row],[juin-24]]-Tableau5[[#This Row],[avr-24]]</f>
        <v>1000</v>
      </c>
    </row>
    <row r="15" spans="1:78" ht="16.5" x14ac:dyDescent="0.3">
      <c r="B15" s="329" t="s">
        <v>288</v>
      </c>
      <c r="C15" s="54" t="s">
        <v>54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>
        <v>135624</v>
      </c>
      <c r="AD15" s="90">
        <v>171467</v>
      </c>
      <c r="AE15" s="90">
        <v>209983</v>
      </c>
      <c r="AF15" s="90">
        <v>281057</v>
      </c>
      <c r="AG15" s="90">
        <v>354529</v>
      </c>
      <c r="AH15" s="90">
        <v>413216</v>
      </c>
      <c r="AI15" s="90">
        <v>469251</v>
      </c>
      <c r="AJ15" s="90">
        <v>483698</v>
      </c>
      <c r="AK15" s="90">
        <v>528898</v>
      </c>
      <c r="AL15" s="90">
        <v>548992</v>
      </c>
      <c r="AM15" s="90">
        <v>588735</v>
      </c>
      <c r="AN15" s="90">
        <v>600809</v>
      </c>
      <c r="AO15" s="90">
        <v>614394</v>
      </c>
      <c r="AP15" s="90">
        <v>622897</v>
      </c>
      <c r="AQ15" s="90">
        <v>635558</v>
      </c>
      <c r="AR15" s="90">
        <v>637182</v>
      </c>
      <c r="AS15" s="90">
        <v>644250</v>
      </c>
      <c r="AT15" s="90">
        <v>641210</v>
      </c>
      <c r="AU15" s="90">
        <v>638786</v>
      </c>
      <c r="AV15" s="90">
        <v>636807</v>
      </c>
      <c r="AW15" s="90">
        <v>644411</v>
      </c>
      <c r="AX15" s="90">
        <v>642608</v>
      </c>
      <c r="AY15" s="90">
        <v>641108</v>
      </c>
      <c r="AZ15" s="90">
        <v>644707</v>
      </c>
      <c r="BA15" s="90">
        <v>655730</v>
      </c>
      <c r="BB15" s="90">
        <v>696000</v>
      </c>
      <c r="BC15" s="90">
        <v>697932</v>
      </c>
      <c r="BD15" s="90">
        <v>704000</v>
      </c>
      <c r="BE15" s="90">
        <v>712986</v>
      </c>
      <c r="BF15" s="90">
        <v>711200</v>
      </c>
      <c r="BG15" s="90">
        <v>709307</v>
      </c>
      <c r="BH15" s="90">
        <v>707526</v>
      </c>
      <c r="BI15" s="90">
        <v>705720</v>
      </c>
      <c r="BJ15" s="90">
        <v>704792</v>
      </c>
      <c r="BK15" s="88">
        <v>710021</v>
      </c>
      <c r="BL15" s="208">
        <f>(Tableau5[[#This Row],[mars-20]]-Tableau5[[#This Row],[dec-19]])/Tableau5[[#This Row],[dec-19]]</f>
        <v>7.4192102066992817E-3</v>
      </c>
      <c r="BM15" s="211">
        <f>Tableau5[[#This Row],[mars-20]]-Tableau5[[#This Row],[dec-19]]</f>
        <v>5229</v>
      </c>
      <c r="BN15" s="2">
        <v>708033</v>
      </c>
      <c r="BO15" s="242">
        <v>706102</v>
      </c>
      <c r="BP15" s="2">
        <v>706241</v>
      </c>
      <c r="BQ15" s="2">
        <v>689743</v>
      </c>
      <c r="BR15" s="2">
        <v>687790</v>
      </c>
      <c r="BS15" s="242">
        <v>697670</v>
      </c>
      <c r="BT15" s="242">
        <v>692742</v>
      </c>
      <c r="BU15" s="242">
        <v>676151</v>
      </c>
      <c r="BV15" s="242">
        <v>685000</v>
      </c>
      <c r="BW15" s="242">
        <v>684000</v>
      </c>
      <c r="BX15" s="242"/>
      <c r="BY15" s="554">
        <f>(Tableau5[[#This Row],[juin-24]]-Tableau5[[#This Row],[avr-24]])/Tableau5[[#This Row],[avr-24]]</f>
        <v>-1.4598540145985401E-3</v>
      </c>
      <c r="BZ15" s="548">
        <f>Tableau5[[#This Row],[juin-24]]-Tableau5[[#This Row],[avr-24]]</f>
        <v>-1000</v>
      </c>
    </row>
    <row r="16" spans="1:78" ht="16.5" x14ac:dyDescent="0.3">
      <c r="B16" s="55" t="s">
        <v>171</v>
      </c>
      <c r="C16" s="54" t="s">
        <v>54</v>
      </c>
      <c r="D16" s="88">
        <v>112937</v>
      </c>
      <c r="E16" s="88">
        <v>114271</v>
      </c>
      <c r="F16" s="88">
        <v>115477</v>
      </c>
      <c r="G16" s="88">
        <v>117775</v>
      </c>
      <c r="H16" s="88">
        <v>120709</v>
      </c>
      <c r="I16" s="88">
        <v>123122</v>
      </c>
      <c r="J16" s="88">
        <v>133716</v>
      </c>
      <c r="K16" s="88">
        <v>138392</v>
      </c>
      <c r="L16" s="88">
        <v>139579</v>
      </c>
      <c r="M16" s="88">
        <v>141418</v>
      </c>
      <c r="N16" s="88">
        <v>142163</v>
      </c>
      <c r="O16" s="88">
        <v>144124</v>
      </c>
      <c r="P16" s="88">
        <v>146639</v>
      </c>
      <c r="Q16" s="88">
        <v>149652</v>
      </c>
      <c r="R16" s="88">
        <v>153677</v>
      </c>
      <c r="S16" s="88">
        <v>156912</v>
      </c>
      <c r="T16" s="88">
        <v>161139</v>
      </c>
      <c r="U16" s="88">
        <v>163203</v>
      </c>
      <c r="V16" s="88">
        <v>168177</v>
      </c>
      <c r="W16" s="88">
        <v>168029</v>
      </c>
      <c r="X16" s="88">
        <v>168456</v>
      </c>
      <c r="Y16" s="88">
        <v>168286</v>
      </c>
      <c r="Z16" s="88">
        <v>168131</v>
      </c>
      <c r="AA16" s="88">
        <v>168307</v>
      </c>
      <c r="AB16" s="88">
        <v>168526</v>
      </c>
      <c r="AC16" s="88">
        <v>172258</v>
      </c>
      <c r="AD16" s="88">
        <v>172570</v>
      </c>
      <c r="AE16" s="88">
        <v>172678</v>
      </c>
      <c r="AF16" s="88">
        <v>172971</v>
      </c>
      <c r="AG16" s="88">
        <v>173120</v>
      </c>
      <c r="AH16" s="88">
        <v>173922</v>
      </c>
      <c r="AI16" s="88">
        <v>174026</v>
      </c>
      <c r="AJ16" s="88">
        <v>174262</v>
      </c>
      <c r="AK16" s="88">
        <v>174217</v>
      </c>
      <c r="AL16" s="88">
        <v>174305</v>
      </c>
      <c r="AM16" s="88">
        <v>174754</v>
      </c>
      <c r="AN16" s="88">
        <v>174781</v>
      </c>
      <c r="AO16" s="88">
        <v>174809</v>
      </c>
      <c r="AP16" s="88">
        <v>174975</v>
      </c>
      <c r="AQ16" s="88">
        <v>174712</v>
      </c>
      <c r="AR16" s="88">
        <v>174609</v>
      </c>
      <c r="AS16" s="88">
        <v>174374</v>
      </c>
      <c r="AT16" s="88">
        <v>174446</v>
      </c>
      <c r="AU16" s="88">
        <v>174300</v>
      </c>
      <c r="AV16" s="88">
        <v>174206</v>
      </c>
      <c r="AW16" s="88">
        <v>174114</v>
      </c>
      <c r="AX16" s="88">
        <v>173797</v>
      </c>
      <c r="AY16" s="88">
        <v>174196</v>
      </c>
      <c r="AZ16" s="88">
        <v>174103</v>
      </c>
      <c r="BA16" s="88">
        <v>174060</v>
      </c>
      <c r="BB16" s="88">
        <v>174190</v>
      </c>
      <c r="BC16" s="88">
        <v>174462</v>
      </c>
      <c r="BD16" s="88">
        <v>174542</v>
      </c>
      <c r="BE16" s="88">
        <v>174455</v>
      </c>
      <c r="BF16" s="88">
        <v>175770</v>
      </c>
      <c r="BG16" s="88">
        <v>181165</v>
      </c>
      <c r="BH16" s="88">
        <v>181058</v>
      </c>
      <c r="BI16" s="88">
        <v>180865</v>
      </c>
      <c r="BJ16" s="88">
        <v>180706</v>
      </c>
      <c r="BK16" s="88">
        <v>181473</v>
      </c>
      <c r="BL16" s="208">
        <f>(Tableau5[[#This Row],[mars-20]]-Tableau5[[#This Row],[dec-19]])/Tableau5[[#This Row],[dec-19]]</f>
        <v>4.2444633825108186E-3</v>
      </c>
      <c r="BM16" s="211">
        <f>Tableau5[[#This Row],[mars-20]]-Tableau5[[#This Row],[dec-19]]</f>
        <v>767</v>
      </c>
      <c r="BN16" s="2">
        <v>183145</v>
      </c>
      <c r="BO16" s="242">
        <v>183490</v>
      </c>
      <c r="BP16" s="2">
        <v>189575</v>
      </c>
      <c r="BQ16" s="2">
        <v>185767</v>
      </c>
      <c r="BR16" s="2">
        <v>185822</v>
      </c>
      <c r="BS16" s="242">
        <v>195156</v>
      </c>
      <c r="BT16" s="242">
        <v>194971</v>
      </c>
      <c r="BU16" s="242">
        <v>188620</v>
      </c>
      <c r="BV16" s="242"/>
      <c r="BW16" s="242">
        <v>205000</v>
      </c>
      <c r="BX16" s="242"/>
      <c r="BY16" s="554">
        <f>(Tableau5[[#This Row],[juin-24]]-Tableau5[[#This Row],[oct-23]])/Tableau5[[#This Row],[oct-23]]</f>
        <v>8.6841268158201673E-2</v>
      </c>
      <c r="BZ16" s="548">
        <f>Tableau5[[#This Row],[juin-24]]-Tableau5[[#This Row],[oct-23]]</f>
        <v>16380</v>
      </c>
    </row>
    <row r="17" spans="1:78" ht="16.5" x14ac:dyDescent="0.3">
      <c r="B17" s="55" t="s">
        <v>170</v>
      </c>
      <c r="C17" s="54" t="s">
        <v>54</v>
      </c>
      <c r="D17" s="88">
        <v>164500</v>
      </c>
      <c r="E17" s="88">
        <v>166126</v>
      </c>
      <c r="F17" s="88">
        <v>169399</v>
      </c>
      <c r="G17" s="88">
        <v>173013</v>
      </c>
      <c r="H17" s="88">
        <v>183257</v>
      </c>
      <c r="I17" s="88">
        <v>187638</v>
      </c>
      <c r="J17" s="88">
        <v>206768</v>
      </c>
      <c r="K17" s="88">
        <v>221055</v>
      </c>
      <c r="L17" s="88">
        <v>223593</v>
      </c>
      <c r="M17" s="88">
        <v>229280</v>
      </c>
      <c r="N17" s="88">
        <v>232608</v>
      </c>
      <c r="O17" s="88">
        <v>236648</v>
      </c>
      <c r="P17" s="88">
        <v>243142</v>
      </c>
      <c r="Q17" s="88">
        <v>249422</v>
      </c>
      <c r="R17" s="88">
        <v>258824</v>
      </c>
      <c r="S17" s="88">
        <v>273504</v>
      </c>
      <c r="T17" s="88">
        <v>318713</v>
      </c>
      <c r="U17" s="88">
        <v>334045</v>
      </c>
      <c r="V17" s="88">
        <v>378159</v>
      </c>
      <c r="W17" s="88">
        <v>396087</v>
      </c>
      <c r="X17" s="88">
        <v>428605</v>
      </c>
      <c r="Y17" s="88">
        <v>434852</v>
      </c>
      <c r="Z17" s="88">
        <v>441628</v>
      </c>
      <c r="AA17" s="88">
        <v>447479</v>
      </c>
      <c r="AB17" s="88">
        <v>454452</v>
      </c>
      <c r="AC17" s="88">
        <v>461954</v>
      </c>
      <c r="AD17" s="88">
        <v>469309</v>
      </c>
      <c r="AE17" s="88">
        <v>477287</v>
      </c>
      <c r="AF17" s="88">
        <v>493050</v>
      </c>
      <c r="AG17" s="88">
        <v>504469</v>
      </c>
      <c r="AH17" s="88">
        <v>516244</v>
      </c>
      <c r="AI17" s="88">
        <v>520420</v>
      </c>
      <c r="AJ17" s="88">
        <v>522711</v>
      </c>
      <c r="AK17" s="88">
        <v>523392</v>
      </c>
      <c r="AL17" s="88">
        <v>526229</v>
      </c>
      <c r="AM17" s="88">
        <v>528576</v>
      </c>
      <c r="AN17" s="88">
        <v>530984</v>
      </c>
      <c r="AO17" s="88">
        <v>532620</v>
      </c>
      <c r="AP17" s="88">
        <v>533784</v>
      </c>
      <c r="AQ17" s="88">
        <v>534704</v>
      </c>
      <c r="AR17" s="88">
        <v>540623</v>
      </c>
      <c r="AS17" s="88">
        <v>542940</v>
      </c>
      <c r="AT17" s="88">
        <v>548949</v>
      </c>
      <c r="AU17" s="88">
        <v>551298</v>
      </c>
      <c r="AV17" s="88">
        <v>554350</v>
      </c>
      <c r="AW17" s="88">
        <v>555871</v>
      </c>
      <c r="AX17" s="88">
        <v>555537</v>
      </c>
      <c r="AY17" s="88">
        <v>555537</v>
      </c>
      <c r="AZ17" s="88">
        <v>555412</v>
      </c>
      <c r="BA17" s="88">
        <v>555370</v>
      </c>
      <c r="BB17" s="88">
        <v>555545</v>
      </c>
      <c r="BC17" s="88">
        <v>555240</v>
      </c>
      <c r="BD17" s="88">
        <v>587804</v>
      </c>
      <c r="BE17" s="88">
        <v>592298</v>
      </c>
      <c r="BF17" s="88">
        <v>593694</v>
      </c>
      <c r="BG17" s="88">
        <v>594077</v>
      </c>
      <c r="BH17" s="88">
        <v>594364</v>
      </c>
      <c r="BI17" s="88">
        <v>593059</v>
      </c>
      <c r="BJ17" s="88">
        <v>592247</v>
      </c>
      <c r="BK17" s="88">
        <v>588767</v>
      </c>
      <c r="BL17" s="208">
        <f>(Tableau5[[#This Row],[mars-20]]-Tableau5[[#This Row],[dec-19]])/Tableau5[[#This Row],[dec-19]]</f>
        <v>-5.8759267670414539E-3</v>
      </c>
      <c r="BM17" s="211">
        <f>Tableau5[[#This Row],[mars-20]]-Tableau5[[#This Row],[dec-19]]</f>
        <v>-3480</v>
      </c>
      <c r="BN17" s="2">
        <v>601007</v>
      </c>
      <c r="BO17" s="242">
        <v>600833</v>
      </c>
      <c r="BP17" s="2">
        <v>649280</v>
      </c>
      <c r="BQ17" s="2">
        <v>601783</v>
      </c>
      <c r="BR17" s="2">
        <v>601331</v>
      </c>
      <c r="BS17" s="242">
        <v>652983</v>
      </c>
      <c r="BT17" s="242">
        <v>652861</v>
      </c>
      <c r="BU17" s="242">
        <v>599059</v>
      </c>
      <c r="BV17" s="242">
        <v>662000</v>
      </c>
      <c r="BW17" s="242">
        <v>663000</v>
      </c>
      <c r="BX17" s="242"/>
      <c r="BY17" s="554">
        <f>(Tableau5[[#This Row],[juin-24]]-Tableau5[[#This Row],[avr-24]])/Tableau5[[#This Row],[avr-24]]</f>
        <v>1.5105740181268882E-3</v>
      </c>
      <c r="BZ17" s="548">
        <f>Tableau5[[#This Row],[juin-24]]-Tableau5[[#This Row],[avr-24]]</f>
        <v>1000</v>
      </c>
    </row>
    <row r="18" spans="1:78" ht="16.5" x14ac:dyDescent="0.3">
      <c r="B18" s="55" t="s">
        <v>167</v>
      </c>
      <c r="C18" s="54" t="s">
        <v>55</v>
      </c>
      <c r="D18" s="88">
        <v>7025</v>
      </c>
      <c r="E18" s="88">
        <v>7209</v>
      </c>
      <c r="F18" s="88">
        <v>7456</v>
      </c>
      <c r="G18" s="88">
        <v>7755</v>
      </c>
      <c r="H18" s="88">
        <v>7976</v>
      </c>
      <c r="I18" s="88">
        <v>8352</v>
      </c>
      <c r="J18" s="88">
        <v>9717</v>
      </c>
      <c r="K18" s="88">
        <v>9904</v>
      </c>
      <c r="L18" s="88">
        <v>10051</v>
      </c>
      <c r="M18" s="88">
        <v>10160</v>
      </c>
      <c r="N18" s="88">
        <v>10273</v>
      </c>
      <c r="O18" s="88">
        <v>10910</v>
      </c>
      <c r="P18" s="88">
        <v>11800</v>
      </c>
      <c r="Q18" s="88">
        <v>12237</v>
      </c>
      <c r="R18" s="88">
        <v>12743</v>
      </c>
      <c r="S18" s="88">
        <v>13697</v>
      </c>
      <c r="T18" s="88">
        <v>14257</v>
      </c>
      <c r="U18" s="88">
        <v>15354</v>
      </c>
      <c r="V18" s="88">
        <v>18932</v>
      </c>
      <c r="W18" s="88">
        <v>19516</v>
      </c>
      <c r="X18" s="88">
        <v>19771</v>
      </c>
      <c r="Y18" s="88">
        <v>19862</v>
      </c>
      <c r="Z18" s="88">
        <v>20046</v>
      </c>
      <c r="AA18" s="88">
        <v>20541</v>
      </c>
      <c r="AB18" s="88">
        <v>22039</v>
      </c>
      <c r="AC18" s="88">
        <v>22486</v>
      </c>
      <c r="AD18" s="88">
        <v>23391</v>
      </c>
      <c r="AE18" s="88">
        <v>23939</v>
      </c>
      <c r="AF18" s="88">
        <v>24218</v>
      </c>
      <c r="AG18" s="88">
        <v>25113</v>
      </c>
      <c r="AH18" s="88">
        <v>27134</v>
      </c>
      <c r="AI18" s="88">
        <v>28636</v>
      </c>
      <c r="AJ18" s="88">
        <v>28969</v>
      </c>
      <c r="AK18" s="88">
        <v>29069</v>
      </c>
      <c r="AL18" s="88">
        <v>29227</v>
      </c>
      <c r="AM18" s="88">
        <v>30679</v>
      </c>
      <c r="AN18" s="88">
        <v>31038</v>
      </c>
      <c r="AO18" s="88">
        <v>31268</v>
      </c>
      <c r="AP18" s="88">
        <v>31636</v>
      </c>
      <c r="AQ18" s="88">
        <v>31680</v>
      </c>
      <c r="AR18" s="88">
        <v>31715</v>
      </c>
      <c r="AS18" s="88">
        <v>32174</v>
      </c>
      <c r="AT18" s="88">
        <v>33162</v>
      </c>
      <c r="AU18" s="88">
        <v>33467</v>
      </c>
      <c r="AV18" s="88">
        <v>33498</v>
      </c>
      <c r="AW18" s="88">
        <v>33519</v>
      </c>
      <c r="AX18" s="88">
        <v>33560</v>
      </c>
      <c r="AY18" s="88">
        <v>33950</v>
      </c>
      <c r="AZ18" s="88">
        <v>34852</v>
      </c>
      <c r="BA18" s="88">
        <v>35230</v>
      </c>
      <c r="BB18" s="88">
        <v>35845</v>
      </c>
      <c r="BC18" s="88">
        <v>36043</v>
      </c>
      <c r="BD18" s="88">
        <v>36344</v>
      </c>
      <c r="BE18" s="88">
        <v>37288</v>
      </c>
      <c r="BF18" s="88">
        <v>39406</v>
      </c>
      <c r="BG18" s="88">
        <v>42774</v>
      </c>
      <c r="BH18" s="88">
        <v>43903</v>
      </c>
      <c r="BI18" s="88">
        <v>44726</v>
      </c>
      <c r="BJ18" s="88">
        <v>46166</v>
      </c>
      <c r="BK18" s="88">
        <v>54306</v>
      </c>
      <c r="BL18" s="208">
        <f>(Tableau5[[#This Row],[mars-20]]-Tableau5[[#This Row],[dec-19]])/Tableau5[[#This Row],[dec-19]]</f>
        <v>0.17632023567127322</v>
      </c>
      <c r="BM18" s="211">
        <f>Tableau5[[#This Row],[mars-20]]-Tableau5[[#This Row],[dec-19]]</f>
        <v>8140</v>
      </c>
      <c r="BN18" s="2">
        <v>64598</v>
      </c>
      <c r="BO18" s="242">
        <v>64790</v>
      </c>
      <c r="BP18" s="2">
        <v>75947</v>
      </c>
      <c r="BQ18" s="2">
        <v>71517</v>
      </c>
      <c r="BR18" s="2">
        <v>71844</v>
      </c>
      <c r="BS18" s="242">
        <v>73000</v>
      </c>
      <c r="BT18" s="242">
        <v>78000</v>
      </c>
      <c r="BU18" s="242">
        <v>73029</v>
      </c>
      <c r="BV18" s="242">
        <v>82000</v>
      </c>
      <c r="BW18" s="242">
        <v>82000</v>
      </c>
      <c r="BX18" s="242"/>
      <c r="BY18" s="554">
        <f>(Tableau5[[#This Row],[juin-24]]-Tableau5[[#This Row],[avr-24]])/Tableau5[[#This Row],[avr-24]]</f>
        <v>0</v>
      </c>
      <c r="BZ18" s="548">
        <f>Tableau5[[#This Row],[juin-24]]-Tableau5[[#This Row],[avr-24]]</f>
        <v>0</v>
      </c>
    </row>
    <row r="19" spans="1:78" ht="16.5" x14ac:dyDescent="0.3">
      <c r="B19" s="55" t="s">
        <v>221</v>
      </c>
      <c r="C19" s="54" t="s">
        <v>54</v>
      </c>
      <c r="D19" s="88">
        <v>141063</v>
      </c>
      <c r="E19" s="88">
        <v>141125</v>
      </c>
      <c r="F19" s="88">
        <v>139497</v>
      </c>
      <c r="G19" s="88">
        <v>139935</v>
      </c>
      <c r="H19" s="88">
        <v>143185</v>
      </c>
      <c r="I19" s="88">
        <v>145523</v>
      </c>
      <c r="J19" s="88">
        <v>151194</v>
      </c>
      <c r="K19" s="88">
        <v>156666</v>
      </c>
      <c r="L19" s="88">
        <v>158488</v>
      </c>
      <c r="M19" s="88">
        <v>160122</v>
      </c>
      <c r="N19" s="88">
        <v>160411</v>
      </c>
      <c r="O19" s="88">
        <v>160986</v>
      </c>
      <c r="P19" s="88">
        <v>163041</v>
      </c>
      <c r="Q19" s="88">
        <v>164933</v>
      </c>
      <c r="R19" s="88">
        <v>167387</v>
      </c>
      <c r="S19" s="88">
        <v>173298</v>
      </c>
      <c r="T19" s="88">
        <v>183245</v>
      </c>
      <c r="U19" s="88">
        <v>186928</v>
      </c>
      <c r="V19" s="88">
        <v>192448</v>
      </c>
      <c r="W19" s="88">
        <v>194313</v>
      </c>
      <c r="X19" s="88">
        <v>197644</v>
      </c>
      <c r="Y19" s="88">
        <v>198713</v>
      </c>
      <c r="Z19" s="88">
        <v>199217</v>
      </c>
      <c r="AA19" s="88">
        <v>200157</v>
      </c>
      <c r="AB19" s="88">
        <v>204513</v>
      </c>
      <c r="AC19" s="88">
        <v>206989</v>
      </c>
      <c r="AD19" s="88">
        <v>207990</v>
      </c>
      <c r="AE19" s="88">
        <v>209296</v>
      </c>
      <c r="AF19" s="88">
        <v>210893</v>
      </c>
      <c r="AG19" s="88">
        <v>214592</v>
      </c>
      <c r="AH19" s="88">
        <v>219232</v>
      </c>
      <c r="AI19" s="88">
        <v>220519</v>
      </c>
      <c r="AJ19" s="88">
        <v>221829</v>
      </c>
      <c r="AK19" s="88">
        <v>221985</v>
      </c>
      <c r="AL19" s="88">
        <v>222146</v>
      </c>
      <c r="AM19" s="88">
        <v>222519</v>
      </c>
      <c r="AN19" s="88">
        <v>222743</v>
      </c>
      <c r="AO19" s="88">
        <v>222729</v>
      </c>
      <c r="AP19" s="88">
        <v>222730</v>
      </c>
      <c r="AQ19" s="88">
        <v>222368</v>
      </c>
      <c r="AR19" s="88">
        <v>224908</v>
      </c>
      <c r="AS19" s="88">
        <v>225070</v>
      </c>
      <c r="AT19" s="88">
        <v>226178</v>
      </c>
      <c r="AU19" s="88">
        <v>226035</v>
      </c>
      <c r="AV19" s="88">
        <v>226826</v>
      </c>
      <c r="AW19" s="88">
        <v>226799</v>
      </c>
      <c r="AX19" s="88">
        <v>226573</v>
      </c>
      <c r="AY19" s="88">
        <v>226472</v>
      </c>
      <c r="AZ19" s="88">
        <v>226717</v>
      </c>
      <c r="BA19" s="88">
        <v>226870</v>
      </c>
      <c r="BB19" s="88">
        <v>227165</v>
      </c>
      <c r="BC19" s="88">
        <v>227473</v>
      </c>
      <c r="BD19" s="88">
        <v>228752</v>
      </c>
      <c r="BE19" s="88">
        <v>228989</v>
      </c>
      <c r="BF19" s="88">
        <v>231660</v>
      </c>
      <c r="BG19" s="88">
        <v>232107</v>
      </c>
      <c r="BH19" s="88">
        <v>232038</v>
      </c>
      <c r="BI19" s="88">
        <v>231864</v>
      </c>
      <c r="BJ19" s="88">
        <v>231618</v>
      </c>
      <c r="BK19" s="88">
        <v>231533</v>
      </c>
      <c r="BL19" s="208">
        <f>(Tableau5[[#This Row],[mars-20]]-Tableau5[[#This Row],[dec-19]])/Tableau5[[#This Row],[dec-19]]</f>
        <v>-3.6698356777107135E-4</v>
      </c>
      <c r="BM19" s="211">
        <f>Tableau5[[#This Row],[mars-20]]-Tableau5[[#This Row],[dec-19]]</f>
        <v>-85</v>
      </c>
      <c r="BN19" s="2">
        <v>233415</v>
      </c>
      <c r="BO19" s="242">
        <v>233845</v>
      </c>
      <c r="BP19" s="2">
        <v>237729</v>
      </c>
      <c r="BQ19" s="2">
        <v>232215</v>
      </c>
      <c r="BR19" s="2">
        <v>232071</v>
      </c>
      <c r="BS19" s="242">
        <v>240751</v>
      </c>
      <c r="BT19" s="242">
        <v>240570</v>
      </c>
      <c r="BU19" s="242">
        <v>234000</v>
      </c>
      <c r="BV19" s="242">
        <v>244000</v>
      </c>
      <c r="BW19" s="242">
        <v>244000</v>
      </c>
      <c r="BX19" s="242"/>
      <c r="BY19" s="554">
        <f>(Tableau5[[#This Row],[juin-24]]-Tableau5[[#This Row],[avr-24]])/Tableau5[[#This Row],[avr-24]]</f>
        <v>0</v>
      </c>
      <c r="BZ19" s="548">
        <f>Tableau5[[#This Row],[juin-24]]-Tableau5[[#This Row],[avr-24]]</f>
        <v>0</v>
      </c>
    </row>
    <row r="20" spans="1:78" ht="16.5" x14ac:dyDescent="0.3">
      <c r="B20" s="55" t="s">
        <v>222</v>
      </c>
      <c r="C20" s="54" t="s">
        <v>54</v>
      </c>
      <c r="D20" s="88">
        <v>67875</v>
      </c>
      <c r="E20" s="88">
        <v>68492</v>
      </c>
      <c r="F20" s="88">
        <v>69215</v>
      </c>
      <c r="G20" s="88">
        <v>70561</v>
      </c>
      <c r="H20" s="88">
        <v>71763</v>
      </c>
      <c r="I20" s="88">
        <v>73189</v>
      </c>
      <c r="J20" s="88">
        <v>78923</v>
      </c>
      <c r="K20" s="88">
        <v>82766</v>
      </c>
      <c r="L20" s="88">
        <v>83350</v>
      </c>
      <c r="M20" s="88">
        <v>84078</v>
      </c>
      <c r="N20" s="88">
        <v>84437</v>
      </c>
      <c r="O20" s="88">
        <v>85446</v>
      </c>
      <c r="P20" s="88">
        <v>90485</v>
      </c>
      <c r="Q20" s="88">
        <v>91254</v>
      </c>
      <c r="R20" s="88">
        <v>92184</v>
      </c>
      <c r="S20" s="88">
        <v>93548</v>
      </c>
      <c r="T20" s="88">
        <v>96895</v>
      </c>
      <c r="U20" s="88">
        <v>99402</v>
      </c>
      <c r="V20" s="88">
        <v>108956</v>
      </c>
      <c r="W20" s="88">
        <v>110662</v>
      </c>
      <c r="X20" s="88">
        <v>111692</v>
      </c>
      <c r="Y20" s="88">
        <v>112226</v>
      </c>
      <c r="Z20" s="88">
        <v>112395</v>
      </c>
      <c r="AA20" s="88">
        <v>112274</v>
      </c>
      <c r="AB20" s="88">
        <v>112590</v>
      </c>
      <c r="AC20" s="88">
        <v>112651</v>
      </c>
      <c r="AD20" s="88">
        <v>113057</v>
      </c>
      <c r="AE20" s="88">
        <v>113522</v>
      </c>
      <c r="AF20" s="88">
        <v>123041</v>
      </c>
      <c r="AG20" s="88">
        <v>125246</v>
      </c>
      <c r="AH20" s="88">
        <v>132613</v>
      </c>
      <c r="AI20" s="88">
        <v>133230</v>
      </c>
      <c r="AJ20" s="88">
        <v>134511</v>
      </c>
      <c r="AK20" s="88">
        <v>134606</v>
      </c>
      <c r="AL20" s="88">
        <v>134579</v>
      </c>
      <c r="AM20" s="88">
        <v>135003</v>
      </c>
      <c r="AN20" s="88">
        <v>135188</v>
      </c>
      <c r="AO20" s="88">
        <v>135732</v>
      </c>
      <c r="AP20" s="88">
        <v>135858</v>
      </c>
      <c r="AQ20" s="88">
        <v>135484</v>
      </c>
      <c r="AR20" s="88">
        <v>136728</v>
      </c>
      <c r="AS20" s="88">
        <v>136935</v>
      </c>
      <c r="AT20" s="88">
        <v>138978</v>
      </c>
      <c r="AU20" s="88">
        <v>139306</v>
      </c>
      <c r="AV20" s="88">
        <v>139703</v>
      </c>
      <c r="AW20" s="88">
        <v>140003</v>
      </c>
      <c r="AX20" s="88">
        <v>139764</v>
      </c>
      <c r="AY20" s="88">
        <v>140044</v>
      </c>
      <c r="AZ20" s="88">
        <v>140121</v>
      </c>
      <c r="BA20" s="88">
        <v>140180</v>
      </c>
      <c r="BB20" s="88">
        <v>140260</v>
      </c>
      <c r="BC20" s="88">
        <v>140320</v>
      </c>
      <c r="BD20" s="88">
        <v>141199</v>
      </c>
      <c r="BE20" s="88">
        <v>141382</v>
      </c>
      <c r="BF20" s="88">
        <v>141987</v>
      </c>
      <c r="BG20" s="88">
        <v>142111</v>
      </c>
      <c r="BH20" s="88">
        <v>141876</v>
      </c>
      <c r="BI20" s="88">
        <v>141707</v>
      </c>
      <c r="BJ20" s="88">
        <v>141531</v>
      </c>
      <c r="BK20" s="88">
        <v>140859</v>
      </c>
      <c r="BL20" s="208">
        <f>(Tableau5[[#This Row],[mars-20]]-Tableau5[[#This Row],[dec-19]])/Tableau5[[#This Row],[dec-19]]</f>
        <v>-4.748076393157683E-3</v>
      </c>
      <c r="BM20" s="211">
        <f>Tableau5[[#This Row],[mars-20]]-Tableau5[[#This Row],[dec-19]]</f>
        <v>-672</v>
      </c>
      <c r="BN20" s="2">
        <v>142389</v>
      </c>
      <c r="BO20" s="242">
        <v>143302</v>
      </c>
      <c r="BP20" s="2">
        <v>145095</v>
      </c>
      <c r="BQ20" s="2">
        <v>140635</v>
      </c>
      <c r="BR20" s="2">
        <v>140534</v>
      </c>
      <c r="BS20" s="242">
        <v>146074</v>
      </c>
      <c r="BT20" s="242">
        <v>146090</v>
      </c>
      <c r="BU20" s="242">
        <v>142000</v>
      </c>
      <c r="BV20" s="242">
        <v>141000</v>
      </c>
      <c r="BW20" s="242">
        <v>141000</v>
      </c>
      <c r="BX20" s="242"/>
      <c r="BY20" s="554">
        <f>(Tableau5[[#This Row],[juin-24]]-Tableau5[[#This Row],[avr-24]])/Tableau5[[#This Row],[avr-24]]</f>
        <v>0</v>
      </c>
      <c r="BZ20" s="548">
        <f>Tableau5[[#This Row],[juin-24]]-Tableau5[[#This Row],[avr-24]]</f>
        <v>0</v>
      </c>
    </row>
    <row r="21" spans="1:78" ht="16.5" x14ac:dyDescent="0.3">
      <c r="B21" s="55" t="s">
        <v>166</v>
      </c>
      <c r="C21" s="54" t="s">
        <v>54</v>
      </c>
      <c r="D21" s="88">
        <v>112961</v>
      </c>
      <c r="E21" s="88">
        <v>114414</v>
      </c>
      <c r="F21" s="88">
        <v>115418</v>
      </c>
      <c r="G21" s="88">
        <v>117452</v>
      </c>
      <c r="H21" s="88">
        <v>120709</v>
      </c>
      <c r="I21" s="88">
        <v>124673</v>
      </c>
      <c r="J21" s="88">
        <v>146131</v>
      </c>
      <c r="K21" s="88">
        <v>151299</v>
      </c>
      <c r="L21" s="88">
        <v>152611</v>
      </c>
      <c r="M21" s="88">
        <v>154543</v>
      </c>
      <c r="N21" s="88">
        <v>155598</v>
      </c>
      <c r="O21" s="88">
        <v>156997</v>
      </c>
      <c r="P21" s="88">
        <v>159411</v>
      </c>
      <c r="Q21" s="88">
        <v>161733</v>
      </c>
      <c r="R21" s="88">
        <v>164944</v>
      </c>
      <c r="S21" s="88">
        <v>170765</v>
      </c>
      <c r="T21" s="88">
        <v>183045</v>
      </c>
      <c r="U21" s="88">
        <v>185879</v>
      </c>
      <c r="V21" s="88">
        <v>190920</v>
      </c>
      <c r="W21" s="88">
        <v>191608</v>
      </c>
      <c r="X21" s="88">
        <v>191690</v>
      </c>
      <c r="Y21" s="88">
        <v>191491</v>
      </c>
      <c r="Z21" s="88">
        <v>191224</v>
      </c>
      <c r="AA21" s="88">
        <v>191155</v>
      </c>
      <c r="AB21" s="88">
        <v>191192</v>
      </c>
      <c r="AC21" s="88">
        <v>191138</v>
      </c>
      <c r="AD21" s="88">
        <v>191085</v>
      </c>
      <c r="AE21" s="88">
        <v>191523</v>
      </c>
      <c r="AF21" s="88">
        <v>192859</v>
      </c>
      <c r="AG21" s="88">
        <v>193725</v>
      </c>
      <c r="AH21" s="88">
        <v>195776</v>
      </c>
      <c r="AI21" s="88">
        <v>195882</v>
      </c>
      <c r="AJ21" s="88">
        <v>195709</v>
      </c>
      <c r="AK21" s="88">
        <v>195446</v>
      </c>
      <c r="AL21" s="88">
        <v>195227</v>
      </c>
      <c r="AM21" s="88">
        <v>195184</v>
      </c>
      <c r="AN21" s="88">
        <v>195031</v>
      </c>
      <c r="AO21" s="88">
        <v>194983</v>
      </c>
      <c r="AP21" s="88">
        <v>194912</v>
      </c>
      <c r="AQ21" s="88">
        <v>194155</v>
      </c>
      <c r="AR21" s="88">
        <v>194447</v>
      </c>
      <c r="AS21" s="88">
        <v>194367</v>
      </c>
      <c r="AT21" s="88">
        <v>196793</v>
      </c>
      <c r="AU21" s="88">
        <v>197120</v>
      </c>
      <c r="AV21" s="88">
        <v>197276</v>
      </c>
      <c r="AW21" s="88">
        <v>197158</v>
      </c>
      <c r="AX21" s="88">
        <v>196851</v>
      </c>
      <c r="AY21" s="88">
        <v>196789</v>
      </c>
      <c r="AZ21" s="88">
        <v>196668</v>
      </c>
      <c r="BA21" s="88">
        <v>196760</v>
      </c>
      <c r="BB21" s="88">
        <v>197000</v>
      </c>
      <c r="BC21" s="88">
        <v>197148</v>
      </c>
      <c r="BD21" s="88">
        <v>198884</v>
      </c>
      <c r="BE21" s="88">
        <v>199919</v>
      </c>
      <c r="BF21" s="88">
        <v>207321</v>
      </c>
      <c r="BG21" s="88">
        <v>208893</v>
      </c>
      <c r="BH21" s="88">
        <v>210555</v>
      </c>
      <c r="BI21" s="88">
        <v>210671</v>
      </c>
      <c r="BJ21" s="88">
        <v>210513</v>
      </c>
      <c r="BK21" s="88">
        <v>211845</v>
      </c>
      <c r="BL21" s="208">
        <f>(Tableau5[[#This Row],[mars-20]]-Tableau5[[#This Row],[dec-19]])/Tableau5[[#This Row],[dec-19]]</f>
        <v>6.32740020806316E-3</v>
      </c>
      <c r="BM21" s="211">
        <f>Tableau5[[#This Row],[mars-20]]-Tableau5[[#This Row],[dec-19]]</f>
        <v>1332</v>
      </c>
      <c r="BN21" s="2">
        <v>226969</v>
      </c>
      <c r="BO21" s="242">
        <v>233570</v>
      </c>
      <c r="BP21" s="2">
        <v>257638</v>
      </c>
      <c r="BQ21" s="2">
        <v>253428</v>
      </c>
      <c r="BR21" s="2">
        <v>254567</v>
      </c>
      <c r="BS21" s="242">
        <v>301401</v>
      </c>
      <c r="BT21" s="242">
        <v>302078</v>
      </c>
      <c r="BU21" s="242">
        <v>301647</v>
      </c>
      <c r="BV21" s="242">
        <v>362000</v>
      </c>
      <c r="BW21" s="2">
        <v>367000</v>
      </c>
      <c r="BX21" s="242"/>
      <c r="BY21" s="554">
        <f>(Tableau5[[#This Row],[juin-24]]-Tableau5[[#This Row],[avr-24]])/Tableau5[[#This Row],[avr-24]]</f>
        <v>1.3812154696132596E-2</v>
      </c>
      <c r="BZ21" s="548">
        <f>Tableau5[[#This Row],[juin-24]]-Tableau5[[#This Row],[avr-24]]</f>
        <v>5000</v>
      </c>
    </row>
    <row r="22" spans="1:78" ht="16.5" x14ac:dyDescent="0.3">
      <c r="B22" s="55" t="s">
        <v>168</v>
      </c>
      <c r="C22" s="54" t="s">
        <v>55</v>
      </c>
      <c r="D22" s="88">
        <v>1134966</v>
      </c>
      <c r="E22" s="88">
        <v>1183619</v>
      </c>
      <c r="F22" s="88">
        <v>1223485</v>
      </c>
      <c r="G22" s="88">
        <v>1264304</v>
      </c>
      <c r="H22" s="88">
        <v>1297978</v>
      </c>
      <c r="I22" s="88">
        <v>1342557</v>
      </c>
      <c r="J22" s="88">
        <v>1424133</v>
      </c>
      <c r="K22" s="88">
        <v>1527429</v>
      </c>
      <c r="L22" s="88">
        <v>1565286</v>
      </c>
      <c r="M22" s="88">
        <v>1636659</v>
      </c>
      <c r="N22" s="88">
        <v>1684885</v>
      </c>
      <c r="O22" s="88">
        <v>1744424</v>
      </c>
      <c r="P22" s="88">
        <v>1812077</v>
      </c>
      <c r="Q22" s="88">
        <v>1875590</v>
      </c>
      <c r="R22" s="88">
        <v>1927932</v>
      </c>
      <c r="S22" s="88">
        <v>1986725</v>
      </c>
      <c r="T22" s="88">
        <v>2055271</v>
      </c>
      <c r="U22" s="88">
        <v>2136512</v>
      </c>
      <c r="V22" s="88">
        <v>2284191</v>
      </c>
      <c r="W22" s="88">
        <v>2368038</v>
      </c>
      <c r="X22" s="88">
        <v>2846205</v>
      </c>
      <c r="Y22" s="88">
        <v>3476610</v>
      </c>
      <c r="Z22" s="88">
        <v>4064846</v>
      </c>
      <c r="AA22" s="88">
        <v>4534479</v>
      </c>
      <c r="AB22" s="88">
        <v>4934190</v>
      </c>
      <c r="AC22" s="88">
        <v>5191701</v>
      </c>
      <c r="AD22" s="88">
        <v>5515126</v>
      </c>
      <c r="AE22" s="88">
        <v>5772596</v>
      </c>
      <c r="AF22" s="88">
        <v>6078073</v>
      </c>
      <c r="AG22" s="88">
        <v>6256768</v>
      </c>
      <c r="AH22" s="88">
        <v>6419709</v>
      </c>
      <c r="AI22" s="88">
        <v>6539123</v>
      </c>
      <c r="AJ22" s="88">
        <v>6648359</v>
      </c>
      <c r="AK22" s="88">
        <v>6722101</v>
      </c>
      <c r="AL22" s="88">
        <v>6786774</v>
      </c>
      <c r="AM22" s="88">
        <v>6938627</v>
      </c>
      <c r="AN22" s="88">
        <v>7075411</v>
      </c>
      <c r="AO22" s="88">
        <v>7208487</v>
      </c>
      <c r="AP22" s="88">
        <v>7321609</v>
      </c>
      <c r="AQ22" s="88">
        <v>7458778</v>
      </c>
      <c r="AR22" s="88">
        <v>7581250</v>
      </c>
      <c r="AS22" s="88">
        <v>7697151</v>
      </c>
      <c r="AT22" s="88">
        <v>7795243</v>
      </c>
      <c r="AU22" s="88">
        <v>7904883</v>
      </c>
      <c r="AV22" s="88">
        <v>8008968</v>
      </c>
      <c r="AW22" s="88">
        <v>8114809</v>
      </c>
      <c r="AX22" s="88">
        <v>8186000</v>
      </c>
      <c r="AY22" s="88">
        <v>8261309</v>
      </c>
      <c r="AZ22" s="88">
        <v>8328971</v>
      </c>
      <c r="BA22" s="88">
        <v>8391470</v>
      </c>
      <c r="BB22" s="88">
        <v>8366620</v>
      </c>
      <c r="BC22" s="88">
        <v>8337213</v>
      </c>
      <c r="BD22" s="88">
        <v>8321489</v>
      </c>
      <c r="BE22" s="88">
        <v>8294333</v>
      </c>
      <c r="BF22" s="88">
        <v>8280082</v>
      </c>
      <c r="BG22" s="88">
        <v>8279178</v>
      </c>
      <c r="BH22" s="88">
        <v>8305629</v>
      </c>
      <c r="BI22" s="88">
        <v>8314416</v>
      </c>
      <c r="BJ22" s="88">
        <v>8339847</v>
      </c>
      <c r="BK22" s="88">
        <v>8317002</v>
      </c>
      <c r="BL22" s="208">
        <f>(Tableau5[[#This Row],[mars-20]]-Tableau5[[#This Row],[dec-19]])/Tableau5[[#This Row],[dec-19]]</f>
        <v>-2.7392588856845934E-3</v>
      </c>
      <c r="BM22" s="211">
        <f>Tableau5[[#This Row],[mars-20]]-Tableau5[[#This Row],[dec-19]]</f>
        <v>-22845</v>
      </c>
      <c r="BN22" s="2">
        <v>8225177</v>
      </c>
      <c r="BO22" s="242">
        <v>8205799</v>
      </c>
      <c r="BP22" s="2">
        <v>8032838</v>
      </c>
      <c r="BQ22" s="2">
        <v>8001784</v>
      </c>
      <c r="BR22" s="2">
        <v>7989596</v>
      </c>
      <c r="BS22" s="242">
        <v>7953415</v>
      </c>
      <c r="BT22" s="242">
        <v>7861029</v>
      </c>
      <c r="BU22" s="242">
        <v>7800000</v>
      </c>
      <c r="BV22" s="242">
        <v>7800000</v>
      </c>
      <c r="BW22" s="242">
        <v>7700000</v>
      </c>
      <c r="BX22" s="242"/>
      <c r="BY22" s="554">
        <f>(Tableau5[[#This Row],[juin-24]]-Tableau5[[#This Row],[avr-24]])/Tableau5[[#This Row],[avr-24]]</f>
        <v>-1.282051282051282E-2</v>
      </c>
      <c r="BZ22" s="548">
        <f>Tableau5[[#This Row],[juin-24]]-Tableau5[[#This Row],[avr-24]]</f>
        <v>-100000</v>
      </c>
    </row>
    <row r="23" spans="1:78" ht="16.5" x14ac:dyDescent="0.3">
      <c r="B23" s="55" t="s">
        <v>223</v>
      </c>
      <c r="C23" s="54" t="s">
        <v>55</v>
      </c>
      <c r="D23" s="91">
        <v>122526</v>
      </c>
      <c r="E23" s="91">
        <v>123313</v>
      </c>
      <c r="F23" s="91">
        <v>121980</v>
      </c>
      <c r="G23" s="91">
        <v>122778</v>
      </c>
      <c r="H23" s="91">
        <v>124137</v>
      </c>
      <c r="I23" s="91">
        <v>126217</v>
      </c>
      <c r="J23" s="91">
        <v>135758</v>
      </c>
      <c r="K23" s="91">
        <v>139573</v>
      </c>
      <c r="L23" s="91">
        <v>140079</v>
      </c>
      <c r="M23" s="91">
        <v>140737</v>
      </c>
      <c r="N23" s="91">
        <v>140915</v>
      </c>
      <c r="O23" s="91">
        <v>140829</v>
      </c>
      <c r="P23" s="91">
        <v>142581</v>
      </c>
      <c r="Q23" s="91">
        <v>144521</v>
      </c>
      <c r="R23" s="91">
        <v>146287</v>
      </c>
      <c r="S23" s="91">
        <v>147587</v>
      </c>
      <c r="T23" s="91">
        <v>149263</v>
      </c>
      <c r="U23" s="91">
        <v>150043</v>
      </c>
      <c r="V23" s="91">
        <v>153596</v>
      </c>
      <c r="W23" s="91">
        <v>154196</v>
      </c>
      <c r="X23" s="91">
        <v>154441</v>
      </c>
      <c r="Y23" s="91">
        <v>154239</v>
      </c>
      <c r="Z23" s="91">
        <v>154040</v>
      </c>
      <c r="AA23" s="91">
        <v>153831</v>
      </c>
      <c r="AB23" s="91">
        <v>153717</v>
      </c>
      <c r="AC23" s="91">
        <v>153609</v>
      </c>
      <c r="AD23" s="91">
        <v>153760</v>
      </c>
      <c r="AE23" s="91">
        <v>153789</v>
      </c>
      <c r="AF23" s="91">
        <v>153926</v>
      </c>
      <c r="AG23" s="91">
        <v>154647</v>
      </c>
      <c r="AH23" s="91">
        <v>157010</v>
      </c>
      <c r="AI23" s="91">
        <v>157115</v>
      </c>
      <c r="AJ23" s="91">
        <v>156905</v>
      </c>
      <c r="AK23" s="91">
        <v>156813</v>
      </c>
      <c r="AL23" s="91">
        <v>156699</v>
      </c>
      <c r="AM23" s="91">
        <v>156752</v>
      </c>
      <c r="AN23" s="91">
        <v>156895</v>
      </c>
      <c r="AO23" s="91">
        <v>156879</v>
      </c>
      <c r="AP23" s="91">
        <v>156908</v>
      </c>
      <c r="AQ23" s="91">
        <v>156701</v>
      </c>
      <c r="AR23" s="91">
        <v>156444</v>
      </c>
      <c r="AS23" s="91">
        <v>156291</v>
      </c>
      <c r="AT23" s="91">
        <v>157090</v>
      </c>
      <c r="AU23" s="91">
        <v>157053</v>
      </c>
      <c r="AV23" s="91">
        <v>156943</v>
      </c>
      <c r="AW23" s="91">
        <v>156837</v>
      </c>
      <c r="AX23" s="91">
        <v>156523</v>
      </c>
      <c r="AY23" s="91">
        <v>156423</v>
      </c>
      <c r="AZ23" s="91">
        <v>156525</v>
      </c>
      <c r="BA23" s="91">
        <v>156425</v>
      </c>
      <c r="BB23" s="91">
        <v>156475</v>
      </c>
      <c r="BC23" s="91">
        <v>156716</v>
      </c>
      <c r="BD23" s="91">
        <v>156562</v>
      </c>
      <c r="BE23" s="91">
        <v>156398</v>
      </c>
      <c r="BF23" s="91">
        <v>156283</v>
      </c>
      <c r="BG23" s="91">
        <v>156048</v>
      </c>
      <c r="BH23" s="91">
        <v>155835</v>
      </c>
      <c r="BI23" s="91">
        <v>155611</v>
      </c>
      <c r="BJ23" s="91">
        <v>155372</v>
      </c>
      <c r="BK23" s="88">
        <v>154465</v>
      </c>
      <c r="BL23" s="208">
        <f>(Tableau5[[#This Row],[mars-20]]-Tableau5[[#This Row],[dec-19]])/Tableau5[[#This Row],[dec-19]]</f>
        <v>-5.8376026568493682E-3</v>
      </c>
      <c r="BM23" s="211">
        <f>Tableau5[[#This Row],[mars-20]]-Tableau5[[#This Row],[dec-19]]</f>
        <v>-907</v>
      </c>
      <c r="BN23" s="2">
        <v>152783</v>
      </c>
      <c r="BO23" s="242">
        <v>152348</v>
      </c>
      <c r="BP23" s="2">
        <v>154526</v>
      </c>
      <c r="BQ23" s="2">
        <v>150607</v>
      </c>
      <c r="BR23" s="2">
        <v>150540</v>
      </c>
      <c r="BS23" s="242">
        <v>169204</v>
      </c>
      <c r="BT23" s="242">
        <v>169054</v>
      </c>
      <c r="BU23" s="242">
        <v>151155</v>
      </c>
      <c r="BV23" s="242">
        <v>175000</v>
      </c>
      <c r="BW23" s="242">
        <v>175000</v>
      </c>
      <c r="BX23" s="242"/>
      <c r="BY23" s="554">
        <f>(Tableau5[[#This Row],[juin-24]]-Tableau5[[#This Row],[avr-24]])/Tableau5[[#This Row],[avr-24]]</f>
        <v>0</v>
      </c>
      <c r="BZ23" s="548">
        <f>Tableau5[[#This Row],[juin-24]]-Tableau5[[#This Row],[avr-24]]</f>
        <v>0</v>
      </c>
    </row>
    <row r="24" spans="1:78" ht="16.5" x14ac:dyDescent="0.3">
      <c r="B24" s="55" t="s">
        <v>169</v>
      </c>
      <c r="C24" s="54" t="s">
        <v>54</v>
      </c>
      <c r="D24" s="88">
        <v>498683</v>
      </c>
      <c r="E24" s="88">
        <v>502421</v>
      </c>
      <c r="F24" s="88">
        <v>494308</v>
      </c>
      <c r="G24" s="88">
        <v>500601</v>
      </c>
      <c r="H24" s="88">
        <v>510332</v>
      </c>
      <c r="I24" s="88">
        <v>518443</v>
      </c>
      <c r="J24" s="88">
        <v>536227</v>
      </c>
      <c r="K24" s="88">
        <v>547792</v>
      </c>
      <c r="L24" s="88">
        <v>551743</v>
      </c>
      <c r="M24" s="88">
        <v>557968</v>
      </c>
      <c r="N24" s="88">
        <v>562419</v>
      </c>
      <c r="O24" s="88">
        <v>567003</v>
      </c>
      <c r="P24" s="88">
        <v>570976</v>
      </c>
      <c r="Q24" s="88">
        <v>575129</v>
      </c>
      <c r="R24" s="88">
        <v>582490</v>
      </c>
      <c r="S24" s="88">
        <v>588445</v>
      </c>
      <c r="T24" s="88">
        <v>593643</v>
      </c>
      <c r="U24" s="88">
        <v>596321</v>
      </c>
      <c r="V24" s="88">
        <v>606684</v>
      </c>
      <c r="W24" s="88">
        <v>608872</v>
      </c>
      <c r="X24" s="88">
        <v>611259</v>
      </c>
      <c r="Y24" s="88">
        <v>612428</v>
      </c>
      <c r="Z24" s="88">
        <v>613020</v>
      </c>
      <c r="AA24" s="88">
        <v>613643</v>
      </c>
      <c r="AB24" s="88">
        <v>616133</v>
      </c>
      <c r="AC24" s="88">
        <v>617220</v>
      </c>
      <c r="AD24" s="88">
        <v>618291</v>
      </c>
      <c r="AE24" s="88">
        <v>618911</v>
      </c>
      <c r="AF24" s="88">
        <v>620907</v>
      </c>
      <c r="AG24" s="88">
        <v>624311</v>
      </c>
      <c r="AH24" s="88">
        <v>629065</v>
      </c>
      <c r="AI24" s="88">
        <v>629710</v>
      </c>
      <c r="AJ24" s="88">
        <v>631444</v>
      </c>
      <c r="AK24" s="88">
        <v>630842</v>
      </c>
      <c r="AL24" s="88">
        <v>630830</v>
      </c>
      <c r="AM24" s="88">
        <v>631565</v>
      </c>
      <c r="AN24" s="88">
        <v>631907</v>
      </c>
      <c r="AO24" s="88">
        <v>632215</v>
      </c>
      <c r="AP24" s="88">
        <v>632100</v>
      </c>
      <c r="AQ24" s="88">
        <v>630711</v>
      </c>
      <c r="AR24" s="88">
        <v>630064</v>
      </c>
      <c r="AS24" s="88">
        <v>629482</v>
      </c>
      <c r="AT24" s="88">
        <v>630228</v>
      </c>
      <c r="AU24" s="88">
        <v>630356</v>
      </c>
      <c r="AV24" s="88">
        <v>630181</v>
      </c>
      <c r="AW24" s="88">
        <v>630004</v>
      </c>
      <c r="AX24" s="88">
        <v>629285</v>
      </c>
      <c r="AY24" s="88">
        <v>629150</v>
      </c>
      <c r="AZ24" s="88">
        <v>629254</v>
      </c>
      <c r="BA24" s="88">
        <v>629050</v>
      </c>
      <c r="BB24" s="88">
        <v>628860</v>
      </c>
      <c r="BC24" s="88">
        <v>628605</v>
      </c>
      <c r="BD24" s="88">
        <v>628707</v>
      </c>
      <c r="BE24" s="88">
        <v>628781</v>
      </c>
      <c r="BF24" s="88">
        <v>630431</v>
      </c>
      <c r="BG24" s="88">
        <v>630576</v>
      </c>
      <c r="BH24" s="88">
        <v>630273</v>
      </c>
      <c r="BI24" s="88">
        <v>629928</v>
      </c>
      <c r="BJ24" s="88">
        <v>629508</v>
      </c>
      <c r="BK24" s="88">
        <v>628292</v>
      </c>
      <c r="BL24" s="208">
        <f>(Tableau5[[#This Row],[mars-20]]-Tableau5[[#This Row],[dec-19]])/Tableau5[[#This Row],[dec-19]]</f>
        <v>-1.9316672703126887E-3</v>
      </c>
      <c r="BM24" s="211">
        <f>Tableau5[[#This Row],[mars-20]]-Tableau5[[#This Row],[dec-19]]</f>
        <v>-1216</v>
      </c>
      <c r="BN24" s="2">
        <v>629007</v>
      </c>
      <c r="BO24" s="242">
        <v>629863</v>
      </c>
      <c r="BP24" s="257">
        <v>617693</v>
      </c>
      <c r="BQ24" s="257">
        <v>619626</v>
      </c>
      <c r="BR24" s="257">
        <v>619044</v>
      </c>
      <c r="BS24" s="346">
        <v>632259</v>
      </c>
      <c r="BT24" s="346">
        <v>631896</v>
      </c>
      <c r="BU24" s="346">
        <v>620000</v>
      </c>
      <c r="BV24" s="346">
        <v>633000</v>
      </c>
      <c r="BW24" s="346">
        <v>637000</v>
      </c>
      <c r="BX24" s="346"/>
      <c r="BY24" s="554">
        <f>(Tableau5[[#This Row],[juin-24]]-Tableau5[[#This Row],[avr-24]])/Tableau5[[#This Row],[avr-24]]</f>
        <v>6.3191153238546603E-3</v>
      </c>
      <c r="BZ24" s="548">
        <f>Tableau5[[#This Row],[juin-24]]-Tableau5[[#This Row],[avr-24]]</f>
        <v>4000</v>
      </c>
    </row>
    <row r="25" spans="1:78" ht="16.5" x14ac:dyDescent="0.3">
      <c r="B25" s="121" t="s">
        <v>83</v>
      </c>
      <c r="C25" s="54" t="s">
        <v>54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207"/>
      <c r="BL25" s="208"/>
      <c r="BM25" s="211">
        <f>Tableau5[[#This Row],[mars-20]]-Tableau5[[#This Row],[dec-19]]</f>
        <v>0</v>
      </c>
      <c r="BN25" s="1"/>
      <c r="BO25" s="1">
        <v>46000</v>
      </c>
      <c r="BP25" s="2">
        <v>74059</v>
      </c>
      <c r="BQ25" s="2">
        <v>71016</v>
      </c>
      <c r="BR25" s="2">
        <v>72114</v>
      </c>
      <c r="BS25" s="242">
        <v>104473</v>
      </c>
      <c r="BT25" s="242">
        <v>107063</v>
      </c>
      <c r="BU25" s="242">
        <v>96532</v>
      </c>
      <c r="BV25" s="242">
        <v>99000</v>
      </c>
      <c r="BW25" s="242">
        <v>169000</v>
      </c>
      <c r="BX25" s="242"/>
      <c r="BY25" s="554">
        <f>(Tableau5[[#This Row],[juin-24]]-Tableau5[[#This Row],[avr-24]])/Tableau5[[#This Row],[avr-24]]</f>
        <v>0.70707070707070707</v>
      </c>
      <c r="BZ25" s="548">
        <f>Tableau5[[#This Row],[juin-24]]-Tableau5[[#This Row],[avr-24]]</f>
        <v>70000</v>
      </c>
    </row>
    <row r="26" spans="1:78" ht="16.5" x14ac:dyDescent="0.3">
      <c r="A26" s="254"/>
      <c r="B26" s="121" t="s">
        <v>242</v>
      </c>
      <c r="C26" s="54" t="s">
        <v>55</v>
      </c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256"/>
      <c r="BL26" s="208"/>
      <c r="BM26" s="292">
        <f>Tableau5[[#This Row],[mars-20]]-Tableau5[[#This Row],[dec-19]]</f>
        <v>0</v>
      </c>
      <c r="BN26" s="1"/>
      <c r="BO26" s="243"/>
      <c r="BP26" s="242"/>
      <c r="BQ26" s="242">
        <v>12000</v>
      </c>
      <c r="BR26" s="2">
        <v>12000</v>
      </c>
      <c r="BS26" s="242">
        <v>13000</v>
      </c>
      <c r="BT26" s="242">
        <v>13000</v>
      </c>
      <c r="BU26" s="242">
        <v>19000</v>
      </c>
      <c r="BV26" s="242">
        <v>22000</v>
      </c>
      <c r="BW26" s="242">
        <v>23000</v>
      </c>
      <c r="BX26" s="242"/>
      <c r="BY26" s="554">
        <f>(Tableau5[[#This Row],[juin-24]]-Tableau5[[#This Row],[avr-24]])/Tableau5[[#This Row],[avr-24]]</f>
        <v>4.5454545454545456E-2</v>
      </c>
      <c r="BZ26" s="548">
        <f>Tableau5[[#This Row],[juin-24]]-Tableau5[[#This Row],[avr-24]]</f>
        <v>1000</v>
      </c>
    </row>
    <row r="27" spans="1:78" ht="16.5" x14ac:dyDescent="0.3">
      <c r="A27" s="254"/>
      <c r="B27" s="121" t="s">
        <v>245</v>
      </c>
      <c r="C27" s="54" t="s">
        <v>55</v>
      </c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256"/>
      <c r="BL27" s="208"/>
      <c r="BM27" s="292">
        <f>Tableau5[[#This Row],[mars-20]]-Tableau5[[#This Row],[dec-19]]</f>
        <v>0</v>
      </c>
      <c r="BN27" s="1"/>
      <c r="BO27" s="243"/>
      <c r="BP27" s="242"/>
      <c r="BQ27" s="242">
        <v>6135</v>
      </c>
      <c r="BR27" s="2">
        <v>6245</v>
      </c>
      <c r="BS27" s="242">
        <v>12000</v>
      </c>
      <c r="BT27" s="242">
        <v>12000</v>
      </c>
      <c r="BU27" s="242">
        <v>12000</v>
      </c>
      <c r="BV27" s="242">
        <v>15000</v>
      </c>
      <c r="BW27" s="242">
        <v>16000</v>
      </c>
      <c r="BX27" s="242"/>
      <c r="BY27" s="554">
        <f>(Tableau5[[#This Row],[juin-24]]-Tableau5[[#This Row],[avr-24]])/Tableau5[[#This Row],[avr-24]]</f>
        <v>6.6666666666666666E-2</v>
      </c>
      <c r="BZ27" s="548">
        <f>Tableau5[[#This Row],[juin-24]]-Tableau5[[#This Row],[avr-24]]</f>
        <v>1000</v>
      </c>
    </row>
    <row r="28" spans="1:78" ht="16.5" x14ac:dyDescent="0.3">
      <c r="A28" s="254"/>
      <c r="B28" s="121" t="s">
        <v>243</v>
      </c>
      <c r="C28" s="54" t="s">
        <v>55</v>
      </c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256"/>
      <c r="BL28" s="208"/>
      <c r="BM28" s="292">
        <f>Tableau5[[#This Row],[mars-20]]-Tableau5[[#This Row],[dec-19]]</f>
        <v>0</v>
      </c>
      <c r="BN28" s="1"/>
      <c r="BO28" s="243"/>
      <c r="BP28" s="242"/>
      <c r="BQ28" s="242">
        <v>17054</v>
      </c>
      <c r="BR28" s="2">
        <v>16269</v>
      </c>
      <c r="BS28" s="242">
        <v>17259</v>
      </c>
      <c r="BT28" s="242">
        <v>17281</v>
      </c>
      <c r="BU28" s="242">
        <v>17000</v>
      </c>
      <c r="BV28" s="242">
        <v>17000</v>
      </c>
      <c r="BW28" s="242">
        <v>17000</v>
      </c>
      <c r="BX28" s="242"/>
      <c r="BY28" s="554">
        <f>(Tableau5[[#This Row],[juin-24]]-Tableau5[[#This Row],[avr-24]])/Tableau5[[#This Row],[avr-24]]</f>
        <v>0</v>
      </c>
      <c r="BZ28" s="548">
        <f>Tableau5[[#This Row],[juin-24]]-Tableau5[[#This Row],[avr-24]]</f>
        <v>0</v>
      </c>
    </row>
    <row r="29" spans="1:78" ht="16.5" x14ac:dyDescent="0.3">
      <c r="A29" s="254"/>
      <c r="B29" s="121" t="s">
        <v>244</v>
      </c>
      <c r="C29" s="54" t="s">
        <v>55</v>
      </c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256"/>
      <c r="BL29" s="208"/>
      <c r="BM29" s="292">
        <f>Tableau5[[#This Row],[mars-20]]-Tableau5[[#This Row],[dec-19]]</f>
        <v>0</v>
      </c>
      <c r="BN29" s="1"/>
      <c r="BO29" s="243"/>
      <c r="BP29" s="242"/>
      <c r="BQ29" s="242">
        <v>8200</v>
      </c>
      <c r="BR29" s="2">
        <v>8400</v>
      </c>
      <c r="BS29" s="242">
        <v>9100</v>
      </c>
      <c r="BT29" s="242">
        <v>9300</v>
      </c>
      <c r="BU29" s="242">
        <v>15204</v>
      </c>
      <c r="BV29" s="242">
        <v>16000</v>
      </c>
      <c r="BW29" s="242">
        <v>16000</v>
      </c>
      <c r="BX29" s="242"/>
      <c r="BY29" s="554">
        <f>(Tableau5[[#This Row],[juin-24]]-Tableau5[[#This Row],[avr-24]])/Tableau5[[#This Row],[avr-24]]</f>
        <v>0</v>
      </c>
      <c r="BZ29" s="548">
        <f>Tableau5[[#This Row],[juin-24]]-Tableau5[[#This Row],[avr-24]]</f>
        <v>0</v>
      </c>
    </row>
    <row r="30" spans="1:78" ht="16.5" x14ac:dyDescent="0.3">
      <c r="A30" s="254"/>
      <c r="B30" s="121" t="s">
        <v>289</v>
      </c>
      <c r="C30" s="254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  <c r="AA30" s="255"/>
      <c r="AB30" s="255"/>
      <c r="AC30" s="255"/>
      <c r="AD30" s="255"/>
      <c r="AE30" s="255"/>
      <c r="AF30" s="255"/>
      <c r="AG30" s="255"/>
      <c r="AH30" s="255"/>
      <c r="AI30" s="255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256"/>
      <c r="BL30" s="179"/>
      <c r="BM30" s="292">
        <f>Tableau5[[#This Row],[mars-20]]-Tableau5[[#This Row],[dec-19]]</f>
        <v>0</v>
      </c>
      <c r="BN30" s="1"/>
      <c r="BO30" s="243"/>
      <c r="BP30" s="242"/>
      <c r="BQ30" s="242"/>
      <c r="BR30" s="242"/>
      <c r="BS30" s="242">
        <v>33000</v>
      </c>
      <c r="BT30" s="242">
        <v>33000</v>
      </c>
      <c r="BU30" s="242">
        <v>0</v>
      </c>
      <c r="BV30" s="242">
        <v>0</v>
      </c>
      <c r="BW30" s="242">
        <v>0</v>
      </c>
      <c r="BX30" s="242"/>
      <c r="BY30" s="554" t="e">
        <f>(Tableau5[[#This Row],[juin-24]]-Tableau5[[#This Row],[avr-24]])/Tableau5[[#This Row],[avr-24]]</f>
        <v>#DIV/0!</v>
      </c>
      <c r="BZ30" s="548">
        <f>Tableau5[[#This Row],[juin-24]]-Tableau5[[#This Row],[avr-24]]</f>
        <v>0</v>
      </c>
    </row>
    <row r="31" spans="1:78" ht="16.5" x14ac:dyDescent="0.3">
      <c r="A31" s="54"/>
      <c r="B31" s="121" t="s">
        <v>290</v>
      </c>
      <c r="C31" s="54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207"/>
      <c r="BL31" s="179"/>
      <c r="BM31" s="210">
        <f>Tableau5[[#This Row],[mars-20]]-Tableau5[[#This Row],[dec-19]]</f>
        <v>0</v>
      </c>
      <c r="BN31" s="1"/>
      <c r="BO31" s="1"/>
      <c r="BP31" s="2"/>
      <c r="BQ31" s="2"/>
      <c r="BR31" s="2"/>
      <c r="BS31" s="2">
        <v>15000</v>
      </c>
      <c r="BT31" s="242">
        <v>15000</v>
      </c>
      <c r="BU31" s="242">
        <v>15000</v>
      </c>
      <c r="BV31" s="242">
        <v>0</v>
      </c>
      <c r="BW31" s="242">
        <v>15000</v>
      </c>
      <c r="BX31" s="242"/>
      <c r="BY31" s="554">
        <f>(Tableau5[[#This Row],[juin-24]]-Tableau5[[#This Row],[oct-23]])/Tableau5[[#This Row],[oct-23]]</f>
        <v>0</v>
      </c>
      <c r="BZ31" s="548">
        <f>Tableau5[[#This Row],[juin-24]]-Tableau5[[#This Row],[oct-23]]</f>
        <v>0</v>
      </c>
    </row>
    <row r="32" spans="1:78" ht="16.5" x14ac:dyDescent="0.3">
      <c r="A32" s="54"/>
      <c r="B32" s="252" t="s">
        <v>291</v>
      </c>
      <c r="C32" s="54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207"/>
      <c r="BL32" s="179"/>
      <c r="BM32" s="210">
        <f>Tableau5[[#This Row],[mars-20]]-Tableau5[[#This Row],[dec-19]]</f>
        <v>0</v>
      </c>
      <c r="BN32" s="1"/>
      <c r="BO32" s="1"/>
      <c r="BP32" s="2"/>
      <c r="BQ32" s="2"/>
      <c r="BR32" s="2"/>
      <c r="BS32" s="2">
        <v>36011</v>
      </c>
      <c r="BT32" s="242">
        <v>36000</v>
      </c>
      <c r="BU32" s="242">
        <v>37928</v>
      </c>
      <c r="BV32" s="242">
        <v>0</v>
      </c>
      <c r="BW32" s="242">
        <v>42224</v>
      </c>
      <c r="BX32" s="242"/>
      <c r="BY32" s="554">
        <f>(Tableau5[[#This Row],[juin-24]]-Tableau5[[#This Row],[oct-23]])/Tableau5[[#This Row],[oct-23]]</f>
        <v>0.11326724319763763</v>
      </c>
      <c r="BZ32" s="548">
        <f>Tableau5[[#This Row],[juin-24]]-Tableau5[[#This Row],[oct-23]]</f>
        <v>4296</v>
      </c>
    </row>
    <row r="33" spans="1:78" ht="16.5" x14ac:dyDescent="0.3">
      <c r="A33" s="54"/>
      <c r="B33" s="367" t="s">
        <v>292</v>
      </c>
      <c r="C33" s="54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207"/>
      <c r="BL33" s="179"/>
      <c r="BM33" s="210">
        <f>Tableau5[[#This Row],[mars-20]]-Tableau5[[#This Row],[dec-19]]</f>
        <v>0</v>
      </c>
      <c r="BN33" s="1"/>
      <c r="BO33" s="1"/>
      <c r="BP33" s="2"/>
      <c r="BQ33" s="2"/>
      <c r="BR33" s="2"/>
      <c r="BS33" s="2">
        <v>12000</v>
      </c>
      <c r="BT33" s="242">
        <v>12000</v>
      </c>
      <c r="BU33" s="242">
        <v>14000</v>
      </c>
      <c r="BV33" s="242">
        <v>14000</v>
      </c>
      <c r="BW33" s="242">
        <v>14000</v>
      </c>
      <c r="BX33" s="242"/>
      <c r="BY33" s="554">
        <f>(Tableau5[[#This Row],[juin-24]]-Tableau5[[#This Row],[avr-24]])/Tableau5[[#This Row],[avr-24]]</f>
        <v>0</v>
      </c>
      <c r="BZ33" s="548">
        <f>Tableau5[[#This Row],[juin-24]]-Tableau5[[#This Row],[avr-24]]</f>
        <v>0</v>
      </c>
    </row>
    <row r="34" spans="1:78" ht="16.5" x14ac:dyDescent="0.3">
      <c r="A34" s="54"/>
      <c r="B34" s="252" t="s">
        <v>293</v>
      </c>
      <c r="C34" s="54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207"/>
      <c r="BL34" s="179"/>
      <c r="BM34" s="210">
        <f>Tableau5[[#This Row],[mars-20]]-Tableau5[[#This Row],[dec-19]]</f>
        <v>0</v>
      </c>
      <c r="BN34" s="1"/>
      <c r="BO34" s="1"/>
      <c r="BP34" s="2"/>
      <c r="BQ34" s="2"/>
      <c r="BR34" s="2"/>
      <c r="BS34" s="2">
        <v>27844</v>
      </c>
      <c r="BT34" s="242">
        <v>27000</v>
      </c>
      <c r="BU34" s="242">
        <v>29000</v>
      </c>
      <c r="BV34" s="242">
        <v>0</v>
      </c>
      <c r="BW34" s="242">
        <v>30000</v>
      </c>
      <c r="BX34" s="242"/>
      <c r="BY34" s="554">
        <f>(Tableau5[[#This Row],[juin-24]]-Tableau5[[#This Row],[oct-23]])/Tableau5[[#This Row],[oct-23]]</f>
        <v>3.4482758620689655E-2</v>
      </c>
      <c r="BZ34" s="548">
        <f>Tableau5[[#This Row],[juin-24]]-Tableau5[[#This Row],[oct-23]]</f>
        <v>1000</v>
      </c>
    </row>
    <row r="35" spans="1:78" ht="16.5" x14ac:dyDescent="0.3">
      <c r="A35" s="54"/>
      <c r="B35" s="367" t="s">
        <v>294</v>
      </c>
      <c r="C35" s="54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207"/>
      <c r="BL35" s="179"/>
      <c r="BM35" s="210">
        <f>Tableau5[[#This Row],[mars-20]]-Tableau5[[#This Row],[dec-19]]</f>
        <v>0</v>
      </c>
      <c r="BN35" s="1"/>
      <c r="BO35" s="1"/>
      <c r="BP35" s="2"/>
      <c r="BQ35" s="2"/>
      <c r="BR35" s="2"/>
      <c r="BS35" s="2">
        <v>34000</v>
      </c>
      <c r="BT35" s="242">
        <v>36000</v>
      </c>
      <c r="BU35" s="242">
        <v>42000</v>
      </c>
      <c r="BV35" s="242">
        <v>0</v>
      </c>
      <c r="BW35" s="242">
        <v>52000</v>
      </c>
      <c r="BX35" s="242"/>
      <c r="BY35" s="554">
        <f>(Tableau5[[#This Row],[juin-24]]-Tableau5[[#This Row],[oct-23]])/Tableau5[[#This Row],[oct-23]]</f>
        <v>0.23809523809523808</v>
      </c>
      <c r="BZ35" s="548">
        <f>Tableau5[[#This Row],[juin-24]]-Tableau5[[#This Row],[oct-23]]</f>
        <v>10000</v>
      </c>
    </row>
    <row r="36" spans="1:78" ht="16.5" x14ac:dyDescent="0.3">
      <c r="A36" s="254"/>
      <c r="B36" s="526" t="s">
        <v>368</v>
      </c>
      <c r="C36" s="54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207"/>
      <c r="BL36" s="179" t="e">
        <f>(Tableau5[[#This Row],[mars-20]]-Tableau5[[#This Row],[dec-19]])/Tableau5[[#This Row],[dec-19]]</f>
        <v>#DIV/0!</v>
      </c>
      <c r="BM36" s="210">
        <f>Tableau5[[#This Row],[mars-20]]-Tableau5[[#This Row],[dec-19]]</f>
        <v>0</v>
      </c>
      <c r="BN36" s="1"/>
      <c r="BO36" s="1"/>
      <c r="BP36" s="2"/>
      <c r="BQ36" s="2"/>
      <c r="BR36" s="2"/>
      <c r="BS36" s="2"/>
      <c r="BT36" s="242"/>
      <c r="BU36" s="242">
        <v>3400</v>
      </c>
      <c r="BV36" s="242">
        <v>4200</v>
      </c>
      <c r="BW36" s="242">
        <v>4600</v>
      </c>
      <c r="BX36" s="242"/>
      <c r="BY36" s="554">
        <f>(Tableau5[[#This Row],[juin-24]]-Tableau5[[#This Row],[avr-24]])/Tableau5[[#This Row],[avr-24]]</f>
        <v>9.5238095238095233E-2</v>
      </c>
      <c r="BZ36" s="548">
        <f>Tableau5[[#This Row],[juin-24]]-Tableau5[[#This Row],[avr-24]]</f>
        <v>400</v>
      </c>
    </row>
    <row r="37" spans="1:78" ht="16.5" x14ac:dyDescent="0.3">
      <c r="A37" s="54"/>
      <c r="B37" s="526" t="s">
        <v>371</v>
      </c>
      <c r="C37" s="54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207"/>
      <c r="BL37" s="179" t="e">
        <f>(Tableau5[[#This Row],[mars-20]]-Tableau5[[#This Row],[dec-19]])/Tableau5[[#This Row],[dec-19]]</f>
        <v>#DIV/0!</v>
      </c>
      <c r="BM37" s="210">
        <f>Tableau5[[#This Row],[mars-20]]-Tableau5[[#This Row],[dec-19]]</f>
        <v>0</v>
      </c>
      <c r="BN37" s="1"/>
      <c r="BO37" s="1"/>
      <c r="BP37" s="2"/>
      <c r="BQ37" s="2"/>
      <c r="BR37" s="2"/>
      <c r="BS37" s="2"/>
      <c r="BT37" s="2"/>
      <c r="BU37" s="2">
        <v>13000</v>
      </c>
      <c r="BV37" s="242">
        <v>14000</v>
      </c>
      <c r="BW37" s="242">
        <v>17000</v>
      </c>
      <c r="BX37" s="242"/>
      <c r="BY37" s="554">
        <f>(Tableau5[[#This Row],[juin-24]]-Tableau5[[#This Row],[avr-24]])/Tableau5[[#This Row],[avr-24]]</f>
        <v>0.21428571428571427</v>
      </c>
      <c r="BZ37" s="548">
        <f>Tableau5[[#This Row],[juin-24]]-Tableau5[[#This Row],[avr-24]]</f>
        <v>3000</v>
      </c>
    </row>
    <row r="38" spans="1:78" ht="16.5" x14ac:dyDescent="0.3">
      <c r="A38" s="254"/>
      <c r="B38" s="526" t="s">
        <v>374</v>
      </c>
      <c r="C38" s="54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207"/>
      <c r="BL38" s="179" t="e">
        <f>(Tableau5[[#This Row],[mars-20]]-Tableau5[[#This Row],[dec-19]])/Tableau5[[#This Row],[dec-19]]</f>
        <v>#DIV/0!</v>
      </c>
      <c r="BM38" s="210">
        <f>Tableau5[[#This Row],[mars-20]]-Tableau5[[#This Row],[dec-19]]</f>
        <v>0</v>
      </c>
      <c r="BN38" s="1"/>
      <c r="BO38" s="1"/>
      <c r="BP38" s="2"/>
      <c r="BQ38" s="2"/>
      <c r="BR38" s="2"/>
      <c r="BS38" s="2"/>
      <c r="BT38" s="242"/>
      <c r="BU38" s="242">
        <v>202000</v>
      </c>
      <c r="BV38" s="242">
        <v>201000</v>
      </c>
      <c r="BW38" s="242">
        <v>201000</v>
      </c>
      <c r="BX38" s="242"/>
      <c r="BY38" s="554">
        <f>(Tableau5[[#This Row],[juin-24]]-Tableau5[[#This Row],[avr-24]])/Tableau5[[#This Row],[avr-24]]</f>
        <v>0</v>
      </c>
      <c r="BZ38" s="548">
        <f>Tableau5[[#This Row],[juin-24]]-Tableau5[[#This Row],[avr-24]]</f>
        <v>0</v>
      </c>
    </row>
    <row r="39" spans="1:78" s="340" customFormat="1" ht="16.5" x14ac:dyDescent="0.3">
      <c r="A39" s="523"/>
      <c r="B39" s="49" t="s">
        <v>56</v>
      </c>
      <c r="C39" s="49"/>
      <c r="D39" s="279">
        <f>SUBTOTAL(109,Tableau5[févr-15])</f>
        <v>3850520</v>
      </c>
      <c r="E39" s="279">
        <f>SUBTOTAL(109,Tableau5[mars-15])</f>
        <v>3947343</v>
      </c>
      <c r="F39" s="279">
        <f>SUBTOTAL(109,Tableau5[avr-15])</f>
        <v>3986278</v>
      </c>
      <c r="G39" s="279">
        <f>SUBTOTAL(109,Tableau5[mai-15])</f>
        <v>4069495</v>
      </c>
      <c r="H39" s="279">
        <f>SUBTOTAL(109,Tableau5[juin-15])</f>
        <v>4176235</v>
      </c>
      <c r="I39" s="279">
        <f>SUBTOTAL(109,Tableau5[juil-15])</f>
        <v>4279578</v>
      </c>
      <c r="J39" s="279">
        <f>SUBTOTAL(109,Tableau5[août-15])</f>
        <v>4579502</v>
      </c>
      <c r="K39" s="279">
        <f>SUBTOTAL(109,Tableau5[sept-15])</f>
        <v>4783889</v>
      </c>
      <c r="L39" s="279">
        <f>SUBTOTAL(109,Tableau5[oct-15])</f>
        <v>4852772</v>
      </c>
      <c r="M39" s="279">
        <f>SUBTOTAL(109,Tableau5[nov-15])</f>
        <v>4966954</v>
      </c>
      <c r="N39" s="279">
        <f>SUBTOTAL(109,Tableau5[déc-15])</f>
        <v>5036172</v>
      </c>
      <c r="O39" s="279">
        <f>SUBTOTAL(109,Tableau5[janv-16])</f>
        <v>5129298</v>
      </c>
      <c r="P39" s="279">
        <f>SUBTOTAL(109,Tableau5[févr-16])</f>
        <v>5248196</v>
      </c>
      <c r="Q39" s="279">
        <f>SUBTOTAL(109,Tableau5[mars-16])</f>
        <v>5354964</v>
      </c>
      <c r="R39" s="279">
        <f>SUBTOTAL(109,Tableau5[avr-16])</f>
        <v>5471812</v>
      </c>
      <c r="S39" s="279">
        <f>SUBTOTAL(109,Tableau5[mai-16])</f>
        <v>5601067</v>
      </c>
      <c r="T39" s="279">
        <f>SUBTOTAL(109,Tableau5[juin-16])</f>
        <v>5787582</v>
      </c>
      <c r="U39" s="279">
        <f>SUBTOTAL(109,Tableau5[juil-16])</f>
        <v>5920785</v>
      </c>
      <c r="V39" s="279">
        <f>SUBTOTAL(109,Tableau5[août-16])</f>
        <v>6246866</v>
      </c>
      <c r="W39" s="279">
        <f>SUBTOTAL(109,Tableau5[sept-16])</f>
        <v>6379373</v>
      </c>
      <c r="X39" s="279">
        <f>SUBTOTAL(109,Tableau5[oct-16])</f>
        <v>6912160</v>
      </c>
      <c r="Y39" s="279">
        <f>SUBTOTAL(109,Tableau5[nov-16])</f>
        <v>7567263</v>
      </c>
      <c r="Z39" s="279">
        <f>SUBTOTAL(109,Tableau5[déc-16])</f>
        <v>8172562</v>
      </c>
      <c r="AA39" s="279">
        <f>SUBTOTAL(109,Tableau5[janv-17])</f>
        <v>8670705</v>
      </c>
      <c r="AB39" s="279">
        <f>SUBTOTAL(109,Tableau5[févr-17])</f>
        <v>9117001</v>
      </c>
      <c r="AC39" s="279">
        <f>SUBTOTAL(109,Tableau5[mars-17])</f>
        <v>9542443</v>
      </c>
      <c r="AD39" s="279">
        <f>SUBTOTAL(109,Tableau5[avr-17])</f>
        <v>9929749</v>
      </c>
      <c r="AE39" s="279">
        <f>SUBTOTAL(109,Tableau5[mai-17])</f>
        <v>10261344</v>
      </c>
      <c r="AF39" s="279">
        <f>SUBTOTAL(109,Tableau5[juin-17])</f>
        <v>10691817</v>
      </c>
      <c r="AG39" s="279">
        <f>SUBTOTAL(109,Tableau5[juil-17])</f>
        <v>10988375</v>
      </c>
      <c r="AH39" s="279">
        <f>SUBTOTAL(109,Tableau5[août-17])</f>
        <v>11297317</v>
      </c>
      <c r="AI39" s="279">
        <f>SUBTOTAL(109,Tableau5[sept-17])</f>
        <v>11489848</v>
      </c>
      <c r="AJ39" s="279">
        <f>SUBTOTAL(109,Tableau5[oct-17])</f>
        <v>11625418</v>
      </c>
      <c r="AK39" s="279">
        <f>SUBTOTAL(109,Tableau5[nov-17])</f>
        <v>11744394</v>
      </c>
      <c r="AL39" s="279">
        <f>SUBTOTAL(109,Tableau5[déc-17])</f>
        <v>11833566</v>
      </c>
      <c r="AM39" s="279">
        <f>SUBTOTAL(109,Tableau5[janv-18])</f>
        <v>12038540</v>
      </c>
      <c r="AN39" s="279">
        <f>SUBTOTAL(109,Tableau5[fev-18])</f>
        <v>12202881</v>
      </c>
      <c r="AO39" s="279">
        <f>SUBTOTAL(109,Tableau5[mars-18])</f>
        <v>12329367</v>
      </c>
      <c r="AP39" s="279">
        <f>SUBTOTAL(109,Tableau5[avr-18])</f>
        <v>12457775</v>
      </c>
      <c r="AQ39" s="279">
        <f>SUBTOTAL(109,Tableau5[mai-18])</f>
        <v>12613797</v>
      </c>
      <c r="AR39" s="279">
        <f>SUBTOTAL(109,Tableau5[juin-18])</f>
        <v>12752391</v>
      </c>
      <c r="AS39" s="279">
        <f>SUBTOTAL(109,Tableau5[juil-18])</f>
        <v>12881400</v>
      </c>
      <c r="AT39" s="279">
        <f>SUBTOTAL(109,Tableau5[août-18])</f>
        <v>13015574</v>
      </c>
      <c r="AU39" s="279">
        <f>SUBTOTAL(109,Tableau5[sept-18])</f>
        <v>13129882</v>
      </c>
      <c r="AV39" s="279">
        <f>SUBTOTAL(109,Tableau5[oct-18])</f>
        <v>13241218</v>
      </c>
      <c r="AW39" s="279">
        <f>SUBTOTAL(109,Tableau5[nov-18])</f>
        <v>13395400</v>
      </c>
      <c r="AX39" s="279">
        <f>SUBTOTAL(109,Tableau5[dec-18])</f>
        <v>13460586</v>
      </c>
      <c r="AY39" s="279">
        <f>SUBTOTAL(109,Tableau5[janv-19])</f>
        <v>13539611</v>
      </c>
      <c r="AZ39" s="279">
        <f>SUBTOTAL(109,Tableau5[févr-19])</f>
        <v>13616181</v>
      </c>
      <c r="BA39" s="279">
        <f>SUBTOTAL(109,Tableau5[mars-19])</f>
        <v>13693960</v>
      </c>
      <c r="BB39" s="279">
        <f>SUBTOTAL(109,Tableau5[avr-19])</f>
        <v>13717465</v>
      </c>
      <c r="BC39" s="279">
        <f>SUBTOTAL(109,Tableau5[mai-19])</f>
        <v>13695790</v>
      </c>
      <c r="BD39" s="279">
        <f>SUBTOTAL(109,Tableau5[juin-19])</f>
        <v>13732710</v>
      </c>
      <c r="BE39" s="279">
        <f>SUBTOTAL(109,Tableau5[juil-19])</f>
        <v>13733726</v>
      </c>
      <c r="BF39" s="279">
        <f>SUBTOTAL(109,Tableau5[août-19])</f>
        <v>13769885</v>
      </c>
      <c r="BG39" s="279">
        <f>SUBTOTAL(109,Tableau5[sept-19])</f>
        <v>13791245</v>
      </c>
      <c r="BH39" s="279">
        <f>SUBTOTAL(109,Tableau5[oct-19])</f>
        <v>13821657</v>
      </c>
      <c r="BI39" s="279">
        <f>SUBTOTAL(109,Tableau5[nov-19])</f>
        <v>13827911</v>
      </c>
      <c r="BJ39" s="279">
        <f>SUBTOTAL(109,Tableau5[dec-19])</f>
        <v>13849085</v>
      </c>
      <c r="BK39" s="279">
        <f>SUBTOTAL(109,Tableau5[mars-20])</f>
        <v>13846100</v>
      </c>
      <c r="BL39" s="280"/>
      <c r="BM39" s="49"/>
      <c r="BN39" s="279">
        <f>SUBTOTAL(109,Tableau5[sept-20])</f>
        <v>13852360</v>
      </c>
      <c r="BO39" s="279">
        <f>SUBTOTAL(109,Tableau5[nov-20])</f>
        <v>13992095</v>
      </c>
      <c r="BP39" s="279">
        <f>SUBTOTAL(109,Tableau5[sept-21])</f>
        <v>14563912</v>
      </c>
      <c r="BQ39" s="279">
        <f>SUBTOTAL(109,Tableau5[mars-22])</f>
        <v>14441179</v>
      </c>
      <c r="BR39" s="279">
        <f>SUBTOTAL(109,Tableau5[avr-22])</f>
        <v>14429664</v>
      </c>
      <c r="BS39" s="524">
        <f>SUBTOTAL(109,Tableau5[sept-22])</f>
        <v>14913988</v>
      </c>
      <c r="BT39" s="524">
        <f>SUBTOTAL(109,Tableau5[nov-22])</f>
        <v>14816711</v>
      </c>
      <c r="BU39" s="279">
        <f>SUBTOTAL(109,Tableau5[oct-23])</f>
        <v>14729745</v>
      </c>
      <c r="BV39" s="279">
        <f>SUBTOTAL(109,Tableau5[avr-24])</f>
        <v>14726428</v>
      </c>
      <c r="BW39" s="279">
        <f>SUBTOTAL(109,Tableau5[juin-24])</f>
        <v>15115824</v>
      </c>
      <c r="BX39" s="532"/>
      <c r="BY39" s="555">
        <f>(BW39-BV39)/BV39</f>
        <v>2.6441985795876637E-2</v>
      </c>
      <c r="BZ39" s="556">
        <f>BW39-BV39</f>
        <v>389396</v>
      </c>
    </row>
    <row r="40" spans="1:78" ht="16.5" x14ac:dyDescent="0.3">
      <c r="T40" s="7"/>
      <c r="AC40" s="6"/>
      <c r="AD40" s="6"/>
      <c r="AG40" s="4"/>
      <c r="AH40" s="5"/>
      <c r="AJ40" s="3"/>
      <c r="AK40" s="8"/>
      <c r="AM40" s="6"/>
      <c r="AN40" s="8"/>
      <c r="BP40" s="208"/>
      <c r="BQ40" s="208"/>
      <c r="BR40" s="208"/>
      <c r="BS40" s="208"/>
      <c r="BT40" s="208"/>
      <c r="BU40" s="208"/>
      <c r="BV40" s="208"/>
      <c r="BW40" s="208"/>
      <c r="BX40" s="208"/>
      <c r="BY40" s="211"/>
    </row>
    <row r="42" spans="1:78" ht="16.5" x14ac:dyDescent="0.3">
      <c r="A42" s="36" t="s">
        <v>185</v>
      </c>
      <c r="B42" s="36" t="s">
        <v>15</v>
      </c>
      <c r="C42" s="36" t="s">
        <v>118</v>
      </c>
      <c r="D42" s="37" t="s">
        <v>0</v>
      </c>
      <c r="E42" s="38" t="s">
        <v>1</v>
      </c>
      <c r="F42" s="38" t="s">
        <v>4</v>
      </c>
      <c r="G42" s="38" t="s">
        <v>5</v>
      </c>
      <c r="H42" s="38" t="s">
        <v>6</v>
      </c>
      <c r="I42" s="38" t="s">
        <v>7</v>
      </c>
      <c r="J42" s="38" t="s">
        <v>8</v>
      </c>
      <c r="K42" s="38" t="s">
        <v>9</v>
      </c>
      <c r="L42" s="38" t="s">
        <v>10</v>
      </c>
      <c r="M42" s="38" t="s">
        <v>11</v>
      </c>
      <c r="N42" s="38" t="s">
        <v>12</v>
      </c>
      <c r="O42" s="38" t="s">
        <v>3</v>
      </c>
      <c r="P42" s="38" t="s">
        <v>2</v>
      </c>
      <c r="Q42" s="38" t="s">
        <v>63</v>
      </c>
      <c r="R42" s="38" t="s">
        <v>64</v>
      </c>
      <c r="S42" s="38" t="s">
        <v>65</v>
      </c>
      <c r="T42" s="38" t="s">
        <v>66</v>
      </c>
      <c r="U42" s="38" t="s">
        <v>68</v>
      </c>
      <c r="V42" s="38" t="s">
        <v>69</v>
      </c>
      <c r="W42" s="38" t="s">
        <v>70</v>
      </c>
      <c r="X42" s="38" t="s">
        <v>71</v>
      </c>
      <c r="Y42" s="38" t="s">
        <v>72</v>
      </c>
      <c r="Z42" s="38" t="s">
        <v>73</v>
      </c>
      <c r="AA42" s="38" t="s">
        <v>75</v>
      </c>
      <c r="AB42" s="38" t="s">
        <v>77</v>
      </c>
      <c r="AC42" s="38" t="s">
        <v>81</v>
      </c>
      <c r="AD42" s="38" t="s">
        <v>84</v>
      </c>
      <c r="AE42" s="38" t="s">
        <v>85</v>
      </c>
      <c r="AF42" s="38" t="s">
        <v>86</v>
      </c>
      <c r="AG42" s="38" t="s">
        <v>99</v>
      </c>
      <c r="AH42" s="38" t="s">
        <v>101</v>
      </c>
      <c r="AI42" s="38" t="s">
        <v>102</v>
      </c>
      <c r="AJ42" s="38" t="s">
        <v>105</v>
      </c>
      <c r="AK42" s="38" t="s">
        <v>106</v>
      </c>
      <c r="AL42" s="38" t="s">
        <v>108</v>
      </c>
      <c r="AM42" s="38" t="s">
        <v>109</v>
      </c>
      <c r="AN42" s="38" t="s">
        <v>110</v>
      </c>
      <c r="AO42" s="38" t="s">
        <v>117</v>
      </c>
      <c r="AP42" s="38" t="s">
        <v>127</v>
      </c>
      <c r="AQ42" s="38" t="s">
        <v>129</v>
      </c>
      <c r="AR42" s="38" t="s">
        <v>131</v>
      </c>
      <c r="AS42" s="38" t="s">
        <v>142</v>
      </c>
      <c r="AT42" s="38" t="s">
        <v>143</v>
      </c>
      <c r="AU42" s="38" t="s">
        <v>151</v>
      </c>
      <c r="AV42" s="38" t="s">
        <v>156</v>
      </c>
      <c r="AW42" s="38" t="s">
        <v>157</v>
      </c>
      <c r="AX42" s="38" t="s">
        <v>163</v>
      </c>
      <c r="AY42" s="38" t="s">
        <v>164</v>
      </c>
      <c r="AZ42" s="38" t="s">
        <v>177</v>
      </c>
      <c r="BA42" s="38" t="s">
        <v>179</v>
      </c>
      <c r="BB42" s="38" t="s">
        <v>183</v>
      </c>
      <c r="BC42" s="38" t="s">
        <v>184</v>
      </c>
      <c r="BD42" s="38" t="s">
        <v>186</v>
      </c>
      <c r="BE42" s="38" t="s">
        <v>188</v>
      </c>
      <c r="BF42" s="38" t="s">
        <v>200</v>
      </c>
      <c r="BG42" s="38" t="s">
        <v>201</v>
      </c>
      <c r="BH42" s="38" t="s">
        <v>203</v>
      </c>
      <c r="BI42" s="38" t="s">
        <v>207</v>
      </c>
      <c r="BJ42" s="38" t="s">
        <v>208</v>
      </c>
      <c r="BK42" s="38" t="s">
        <v>209</v>
      </c>
      <c r="BL42" s="37" t="s">
        <v>53</v>
      </c>
      <c r="BM42" s="38" t="s">
        <v>78</v>
      </c>
      <c r="BN42" s="38" t="s">
        <v>210</v>
      </c>
      <c r="BO42" s="244" t="s">
        <v>211</v>
      </c>
      <c r="BP42" s="244" t="s">
        <v>214</v>
      </c>
      <c r="BQ42" s="38" t="s">
        <v>213</v>
      </c>
      <c r="BR42" s="38" t="s">
        <v>272</v>
      </c>
      <c r="BS42" s="236" t="s">
        <v>330</v>
      </c>
      <c r="BT42" s="503" t="s">
        <v>331</v>
      </c>
      <c r="BU42" s="503" t="s">
        <v>333</v>
      </c>
      <c r="BV42" s="503" t="s">
        <v>389</v>
      </c>
      <c r="BW42" s="503" t="s">
        <v>405</v>
      </c>
      <c r="BX42" s="503"/>
      <c r="BY42" s="570" t="s">
        <v>235</v>
      </c>
      <c r="BZ42" s="570" t="s">
        <v>237</v>
      </c>
    </row>
    <row r="43" spans="1:78" ht="16.5" x14ac:dyDescent="0.3">
      <c r="A43" s="275"/>
      <c r="B43" s="55" t="s">
        <v>224</v>
      </c>
      <c r="C43" s="54" t="s">
        <v>54</v>
      </c>
      <c r="D43" s="88">
        <v>36684</v>
      </c>
      <c r="E43" s="88">
        <v>37443</v>
      </c>
      <c r="F43" s="88">
        <v>38754</v>
      </c>
      <c r="G43" s="88">
        <v>39766</v>
      </c>
      <c r="H43" s="88">
        <v>41920</v>
      </c>
      <c r="I43" s="88">
        <v>43206</v>
      </c>
      <c r="J43" s="88">
        <v>48452</v>
      </c>
      <c r="K43" s="88">
        <v>50548</v>
      </c>
      <c r="L43" s="88">
        <v>50931</v>
      </c>
      <c r="M43" s="88">
        <v>51618</v>
      </c>
      <c r="N43" s="88">
        <v>52192</v>
      </c>
      <c r="O43" s="88">
        <v>53069</v>
      </c>
      <c r="P43" s="88">
        <v>54131</v>
      </c>
      <c r="Q43" s="88">
        <v>55047</v>
      </c>
      <c r="R43" s="88">
        <v>56696</v>
      </c>
      <c r="S43" s="88">
        <v>57841</v>
      </c>
      <c r="T43" s="88">
        <v>60008</v>
      </c>
      <c r="U43" s="88">
        <v>61468</v>
      </c>
      <c r="V43" s="88">
        <v>66447</v>
      </c>
      <c r="W43" s="88">
        <v>67519</v>
      </c>
      <c r="X43" s="88">
        <v>69072</v>
      </c>
      <c r="Y43" s="88">
        <v>69831</v>
      </c>
      <c r="Z43" s="88">
        <v>70475</v>
      </c>
      <c r="AA43" s="88">
        <v>71231</v>
      </c>
      <c r="AB43" s="88">
        <v>72359</v>
      </c>
      <c r="AC43" s="88">
        <v>73399</v>
      </c>
      <c r="AD43" s="88">
        <v>74259</v>
      </c>
      <c r="AE43" s="88">
        <v>75060</v>
      </c>
      <c r="AF43" s="88">
        <v>76175</v>
      </c>
      <c r="AG43" s="88">
        <v>77907</v>
      </c>
      <c r="AH43" s="88">
        <v>83475</v>
      </c>
      <c r="AI43" s="88">
        <v>85456</v>
      </c>
      <c r="AJ43" s="88">
        <v>86437</v>
      </c>
      <c r="AK43" s="88">
        <v>86917</v>
      </c>
      <c r="AL43" s="88">
        <v>87101</v>
      </c>
      <c r="AM43" s="88">
        <v>87654</v>
      </c>
      <c r="AN43" s="88">
        <v>88233</v>
      </c>
      <c r="AO43" s="88">
        <v>88755</v>
      </c>
      <c r="AP43" s="88">
        <v>89473</v>
      </c>
      <c r="AQ43" s="88">
        <v>90357</v>
      </c>
      <c r="AR43" s="88">
        <v>90725</v>
      </c>
      <c r="AS43" s="88">
        <v>91344</v>
      </c>
      <c r="AT43" s="88">
        <v>92776</v>
      </c>
      <c r="AU43" s="88">
        <v>93386</v>
      </c>
      <c r="AV43" s="88">
        <v>93897</v>
      </c>
      <c r="AW43" s="88">
        <v>94307</v>
      </c>
      <c r="AX43" s="88">
        <v>94258</v>
      </c>
      <c r="AY43" s="88">
        <v>94611</v>
      </c>
      <c r="AZ43" s="88">
        <v>94817</v>
      </c>
      <c r="BA43" s="88">
        <v>94945</v>
      </c>
      <c r="BB43" s="88">
        <v>95425</v>
      </c>
      <c r="BC43" s="88">
        <v>95994</v>
      </c>
      <c r="BD43" s="88">
        <v>96718</v>
      </c>
      <c r="BE43" s="88">
        <v>97413</v>
      </c>
      <c r="BF43" s="88">
        <v>100171</v>
      </c>
      <c r="BG43" s="88">
        <v>101612</v>
      </c>
      <c r="BH43" s="88">
        <v>101976</v>
      </c>
      <c r="BI43" s="88">
        <v>102042</v>
      </c>
      <c r="BJ43" s="88">
        <v>102050</v>
      </c>
      <c r="BK43" s="216">
        <v>102825</v>
      </c>
      <c r="BL43" s="208">
        <f>(Tableau6[[#This Row],[mars-20]]-Tableau6[[#This Row],[dec-19]])/Tableau6[[#This Row],[dec-19]]</f>
        <v>7.5943165115139634E-3</v>
      </c>
      <c r="BM43" s="211">
        <f>Tableau6[[#This Row],[mars-20]]-Tableau6[[#This Row],[dec-19]]</f>
        <v>775</v>
      </c>
      <c r="BN43" s="2">
        <v>107685</v>
      </c>
      <c r="BO43" s="242">
        <v>108767</v>
      </c>
      <c r="BP43" s="242">
        <v>115708</v>
      </c>
      <c r="BQ43" s="2">
        <v>116866</v>
      </c>
      <c r="BR43" s="2">
        <v>117341</v>
      </c>
      <c r="BS43" s="242">
        <v>120800</v>
      </c>
      <c r="BT43" s="242">
        <v>120056</v>
      </c>
      <c r="BU43" s="242">
        <v>122336</v>
      </c>
      <c r="BV43" s="242">
        <v>123401</v>
      </c>
      <c r="BW43" s="242">
        <v>124077</v>
      </c>
      <c r="BX43" s="242"/>
      <c r="BY43" s="554">
        <f>(Tableau6[[#This Row],[juin-24]]-Tableau6[[#This Row],[avr-24]])/Tableau6[[#This Row],[avr-24]]</f>
        <v>5.4780755423375826E-3</v>
      </c>
      <c r="BZ43" s="548">
        <f>Tableau6[[#This Row],[juin-24]]-Tableau6[[#This Row],[avr-24]]</f>
        <v>676</v>
      </c>
    </row>
    <row r="44" spans="1:78" ht="16.5" x14ac:dyDescent="0.3">
      <c r="A44" s="122"/>
      <c r="B44" s="121" t="s">
        <v>283</v>
      </c>
      <c r="C44" s="54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179"/>
      <c r="BL44" s="208" t="e">
        <f>(Tableau6[[#This Row],[mars-20]]-Tableau6[[#This Row],[dec-19]])/Tableau6[[#This Row],[dec-19]]</f>
        <v>#DIV/0!</v>
      </c>
      <c r="BM44" s="211">
        <f>Tableau6[[#This Row],[mars-20]]-Tableau6[[#This Row],[dec-19]]</f>
        <v>0</v>
      </c>
      <c r="BN44" s="1"/>
      <c r="BO44" s="1">
        <v>11856</v>
      </c>
      <c r="BP44" s="282">
        <v>22479</v>
      </c>
      <c r="BQ44" s="282">
        <v>27745</v>
      </c>
      <c r="BR44" s="2">
        <v>30645</v>
      </c>
      <c r="BS44" s="242">
        <v>42800</v>
      </c>
      <c r="BT44" s="242">
        <v>43477</v>
      </c>
      <c r="BU44" s="242">
        <v>54865</v>
      </c>
      <c r="BV44" s="242">
        <v>58885</v>
      </c>
      <c r="BW44" s="242">
        <v>59943</v>
      </c>
      <c r="BX44" s="242"/>
      <c r="BY44" s="554">
        <f>(Tableau6[[#This Row],[juin-24]]-Tableau6[[#This Row],[avr-24]])/Tableau6[[#This Row],[avr-24]]</f>
        <v>1.7967224250658061E-2</v>
      </c>
      <c r="BZ44" s="548">
        <f>Tableau6[[#This Row],[juin-24]]-Tableau6[[#This Row],[avr-24]]</f>
        <v>1058</v>
      </c>
    </row>
    <row r="45" spans="1:78" ht="16.5" x14ac:dyDescent="0.3">
      <c r="A45" s="122"/>
      <c r="B45" s="55" t="s">
        <v>284</v>
      </c>
      <c r="C45" s="54" t="s">
        <v>54</v>
      </c>
      <c r="D45" s="88">
        <v>77437</v>
      </c>
      <c r="E45" s="88">
        <v>78566</v>
      </c>
      <c r="F45" s="88">
        <v>80186</v>
      </c>
      <c r="G45" s="88">
        <v>81213</v>
      </c>
      <c r="H45" s="88">
        <v>84333</v>
      </c>
      <c r="I45" s="88">
        <v>85603</v>
      </c>
      <c r="J45" s="88">
        <v>94208</v>
      </c>
      <c r="K45" s="88">
        <v>98350</v>
      </c>
      <c r="L45" s="88">
        <v>99394</v>
      </c>
      <c r="M45" s="88">
        <v>101027</v>
      </c>
      <c r="N45" s="88">
        <v>102259</v>
      </c>
      <c r="O45" s="88">
        <v>104032</v>
      </c>
      <c r="P45" s="88">
        <v>106118</v>
      </c>
      <c r="Q45" s="88">
        <v>108049</v>
      </c>
      <c r="R45" s="88">
        <v>110442</v>
      </c>
      <c r="S45" s="88">
        <v>112662</v>
      </c>
      <c r="T45" s="88">
        <v>117113</v>
      </c>
      <c r="U45" s="88">
        <v>119195</v>
      </c>
      <c r="V45" s="88">
        <v>126140</v>
      </c>
      <c r="W45" s="88">
        <v>127773</v>
      </c>
      <c r="X45" s="88">
        <v>130569</v>
      </c>
      <c r="Y45" s="88">
        <v>132702</v>
      </c>
      <c r="Z45" s="88">
        <v>133835</v>
      </c>
      <c r="AA45" s="88">
        <v>137123</v>
      </c>
      <c r="AB45" s="88">
        <v>141488</v>
      </c>
      <c r="AC45" s="88">
        <v>145458</v>
      </c>
      <c r="AD45" s="88">
        <v>147606</v>
      </c>
      <c r="AE45" s="88">
        <v>151303</v>
      </c>
      <c r="AF45" s="88">
        <v>153804</v>
      </c>
      <c r="AG45" s="88">
        <v>156775</v>
      </c>
      <c r="AH45" s="88">
        <v>167674</v>
      </c>
      <c r="AI45" s="88">
        <v>172347</v>
      </c>
      <c r="AJ45" s="88">
        <v>178128</v>
      </c>
      <c r="AK45" s="88">
        <v>182979</v>
      </c>
      <c r="AL45" s="88">
        <v>183129</v>
      </c>
      <c r="AM45" s="88">
        <v>187451</v>
      </c>
      <c r="AN45" s="88">
        <v>184806</v>
      </c>
      <c r="AO45" s="88">
        <v>184126</v>
      </c>
      <c r="AP45" s="88">
        <v>185169</v>
      </c>
      <c r="AQ45" s="88">
        <v>186665</v>
      </c>
      <c r="AR45" s="88">
        <v>186696</v>
      </c>
      <c r="AS45" s="88">
        <v>186177</v>
      </c>
      <c r="AT45" s="88">
        <v>184131</v>
      </c>
      <c r="AU45" s="88">
        <v>185002</v>
      </c>
      <c r="AV45" s="88">
        <v>186029</v>
      </c>
      <c r="AW45" s="88">
        <v>187303</v>
      </c>
      <c r="AX45" s="88">
        <v>185450</v>
      </c>
      <c r="AY45" s="88">
        <v>185740</v>
      </c>
      <c r="AZ45" s="88">
        <v>185891</v>
      </c>
      <c r="BA45" s="88">
        <v>186345</v>
      </c>
      <c r="BB45" s="88">
        <v>187105</v>
      </c>
      <c r="BC45" s="88">
        <v>188208</v>
      </c>
      <c r="BD45" s="88">
        <v>190466</v>
      </c>
      <c r="BE45" s="88">
        <v>191479</v>
      </c>
      <c r="BF45" s="88">
        <v>194742</v>
      </c>
      <c r="BG45" s="88">
        <v>196629</v>
      </c>
      <c r="BH45" s="88">
        <v>197877</v>
      </c>
      <c r="BI45" s="88">
        <v>197675</v>
      </c>
      <c r="BJ45" s="88">
        <v>197523</v>
      </c>
      <c r="BK45" s="148">
        <v>198375</v>
      </c>
      <c r="BL45" s="208">
        <f>(Tableau6[[#This Row],[mars-20]]-Tableau6[[#This Row],[dec-19]])/Tableau6[[#This Row],[dec-19]]</f>
        <v>4.31342172810255E-3</v>
      </c>
      <c r="BM45" s="211">
        <f>Tableau6[[#This Row],[mars-20]]-Tableau6[[#This Row],[dec-19]]</f>
        <v>852</v>
      </c>
      <c r="BN45" s="2">
        <v>204456</v>
      </c>
      <c r="BO45" s="242">
        <v>206040</v>
      </c>
      <c r="BP45" s="242">
        <v>208524</v>
      </c>
      <c r="BQ45" s="2">
        <v>210311</v>
      </c>
      <c r="BR45" s="2">
        <v>210410</v>
      </c>
      <c r="BS45" s="242">
        <v>212500</v>
      </c>
      <c r="BT45" s="242">
        <v>211809</v>
      </c>
      <c r="BU45" s="242">
        <v>216659</v>
      </c>
      <c r="BV45" s="242">
        <v>217427</v>
      </c>
      <c r="BW45" s="242">
        <v>218008</v>
      </c>
      <c r="BX45" s="242"/>
      <c r="BY45" s="554">
        <f>(Tableau6[[#This Row],[juin-24]]-Tableau6[[#This Row],[avr-24]])/Tableau6[[#This Row],[avr-24]]</f>
        <v>2.6721612311258491E-3</v>
      </c>
      <c r="BZ45" s="548">
        <f>Tableau6[[#This Row],[juin-24]]-Tableau6[[#This Row],[avr-24]]</f>
        <v>581</v>
      </c>
    </row>
    <row r="46" spans="1:78" ht="16.5" x14ac:dyDescent="0.3">
      <c r="A46" s="275"/>
      <c r="B46" s="55" t="s">
        <v>285</v>
      </c>
      <c r="C46" s="89" t="s">
        <v>55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88"/>
      <c r="AK46" s="88"/>
      <c r="AL46" s="88"/>
      <c r="AM46" s="88"/>
      <c r="AN46" s="88">
        <v>5172</v>
      </c>
      <c r="AO46" s="88"/>
      <c r="AP46" s="88"/>
      <c r="AQ46" s="88"/>
      <c r="AR46" s="88"/>
      <c r="AS46" s="88"/>
      <c r="AT46" s="88"/>
      <c r="AU46" s="88"/>
      <c r="AV46" s="88"/>
      <c r="AW46" s="88">
        <v>7924</v>
      </c>
      <c r="AX46" s="88">
        <v>7974</v>
      </c>
      <c r="AY46" s="88">
        <v>8320</v>
      </c>
      <c r="AZ46" s="88">
        <v>8544</v>
      </c>
      <c r="BA46" s="88">
        <v>8880</v>
      </c>
      <c r="BB46" s="88">
        <v>9245</v>
      </c>
      <c r="BC46" s="88">
        <v>9638</v>
      </c>
      <c r="BD46" s="88">
        <v>9986</v>
      </c>
      <c r="BE46" s="88">
        <v>10251</v>
      </c>
      <c r="BF46" s="88">
        <v>10516</v>
      </c>
      <c r="BG46" s="88">
        <v>10909</v>
      </c>
      <c r="BH46" s="88">
        <v>11005</v>
      </c>
      <c r="BI46" s="88">
        <v>11274</v>
      </c>
      <c r="BJ46" s="88">
        <v>11464</v>
      </c>
      <c r="BK46" s="148">
        <v>12507</v>
      </c>
      <c r="BL46" s="208">
        <f>(Tableau6[[#This Row],[mars-20]]-Tableau6[[#This Row],[dec-19]])/Tableau6[[#This Row],[dec-19]]</f>
        <v>9.0980460572226099E-2</v>
      </c>
      <c r="BM46" s="211">
        <f>Tableau6[[#This Row],[mars-20]]-Tableau6[[#This Row],[dec-19]]</f>
        <v>1043</v>
      </c>
      <c r="BN46" s="2">
        <v>15629</v>
      </c>
      <c r="BO46" s="242">
        <v>16056</v>
      </c>
      <c r="BP46" s="242">
        <v>18777</v>
      </c>
      <c r="BQ46" s="2">
        <v>19900</v>
      </c>
      <c r="BR46" s="2">
        <v>20310</v>
      </c>
      <c r="BS46" s="242">
        <v>22000</v>
      </c>
      <c r="BT46" s="242">
        <v>22603</v>
      </c>
      <c r="BU46" s="242">
        <v>0</v>
      </c>
      <c r="BV46" s="242">
        <v>0</v>
      </c>
      <c r="BW46" s="242">
        <v>0</v>
      </c>
      <c r="BX46" s="242"/>
      <c r="BY46" s="554" t="e">
        <f>(Tableau6[[#This Row],[juin-24]]-Tableau6[[#This Row],[avr-24]])/Tableau6[[#This Row],[avr-24]]</f>
        <v>#DIV/0!</v>
      </c>
      <c r="BZ46" s="548">
        <f>Tableau6[[#This Row],[juin-24]]-Tableau6[[#This Row],[avr-24]]</f>
        <v>0</v>
      </c>
    </row>
    <row r="47" spans="1:78" ht="16.5" x14ac:dyDescent="0.3">
      <c r="A47" s="122"/>
      <c r="B47" s="55" t="s">
        <v>218</v>
      </c>
      <c r="C47" s="89" t="s">
        <v>54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>
        <v>11210</v>
      </c>
      <c r="AC47" s="90">
        <v>11957</v>
      </c>
      <c r="AD47" s="90">
        <v>12646</v>
      </c>
      <c r="AE47" s="90">
        <v>13268</v>
      </c>
      <c r="AF47" s="90">
        <v>14409</v>
      </c>
      <c r="AG47" s="90">
        <v>15369</v>
      </c>
      <c r="AH47" s="90">
        <v>16121</v>
      </c>
      <c r="AI47" s="90">
        <v>16609</v>
      </c>
      <c r="AJ47" s="90">
        <v>16970</v>
      </c>
      <c r="AK47" s="90">
        <v>17203</v>
      </c>
      <c r="AL47" s="90">
        <v>17282</v>
      </c>
      <c r="AM47" s="90">
        <v>17632</v>
      </c>
      <c r="AN47" s="90">
        <v>18157</v>
      </c>
      <c r="AO47" s="90">
        <v>18668</v>
      </c>
      <c r="AP47" s="90">
        <v>19461</v>
      </c>
      <c r="AQ47" s="90">
        <v>20253</v>
      </c>
      <c r="AR47" s="90">
        <v>20970</v>
      </c>
      <c r="AS47" s="90">
        <v>21407</v>
      </c>
      <c r="AT47" s="90">
        <v>22709</v>
      </c>
      <c r="AU47" s="90">
        <v>23234</v>
      </c>
      <c r="AV47" s="90">
        <v>23646</v>
      </c>
      <c r="AW47" s="90">
        <v>23929</v>
      </c>
      <c r="AX47" s="90">
        <v>24111</v>
      </c>
      <c r="AY47" s="90">
        <v>24548</v>
      </c>
      <c r="AZ47" s="90">
        <v>24960</v>
      </c>
      <c r="BA47" s="90">
        <v>25390</v>
      </c>
      <c r="BB47" s="90">
        <v>25950</v>
      </c>
      <c r="BC47" s="90">
        <v>26417</v>
      </c>
      <c r="BD47" s="90">
        <v>27875</v>
      </c>
      <c r="BE47" s="90">
        <v>29006</v>
      </c>
      <c r="BF47" s="90">
        <v>30879</v>
      </c>
      <c r="BG47" s="90">
        <v>32680</v>
      </c>
      <c r="BH47" s="90">
        <v>33376</v>
      </c>
      <c r="BI47" s="90">
        <v>34285</v>
      </c>
      <c r="BJ47" s="90">
        <v>34393</v>
      </c>
      <c r="BK47" s="148">
        <v>37963</v>
      </c>
      <c r="BL47" s="208">
        <f>(Tableau6[[#This Row],[mars-20]]-Tableau6[[#This Row],[dec-19]])/Tableau6[[#This Row],[dec-19]]</f>
        <v>0.10380019189951444</v>
      </c>
      <c r="BM47" s="211">
        <f>Tableau6[[#This Row],[mars-20]]-Tableau6[[#This Row],[dec-19]]</f>
        <v>3570</v>
      </c>
      <c r="BN47" s="2">
        <v>43196</v>
      </c>
      <c r="BO47" s="242">
        <v>44439</v>
      </c>
      <c r="BP47" s="242">
        <v>50204</v>
      </c>
      <c r="BQ47" s="2">
        <v>52520</v>
      </c>
      <c r="BR47" s="2">
        <v>53629</v>
      </c>
      <c r="BS47" s="242">
        <v>57400</v>
      </c>
      <c r="BT47" s="242">
        <v>57493</v>
      </c>
      <c r="BU47" s="242">
        <v>65600</v>
      </c>
      <c r="BV47" s="242">
        <v>66848</v>
      </c>
      <c r="BW47" s="242">
        <v>67508</v>
      </c>
      <c r="BX47" s="242"/>
      <c r="BY47" s="554">
        <f>(Tableau6[[#This Row],[juin-24]]-Tableau6[[#This Row],[avr-24]])/Tableau6[[#This Row],[avr-24]]</f>
        <v>9.8731450454763049E-3</v>
      </c>
      <c r="BZ47" s="548">
        <f>Tableau6[[#This Row],[juin-24]]-Tableau6[[#This Row],[avr-24]]</f>
        <v>660</v>
      </c>
    </row>
    <row r="48" spans="1:78" ht="16.5" x14ac:dyDescent="0.3">
      <c r="A48" s="122"/>
      <c r="B48" s="55" t="s">
        <v>172</v>
      </c>
      <c r="C48" s="54" t="s">
        <v>54</v>
      </c>
      <c r="D48" s="88">
        <v>14254</v>
      </c>
      <c r="E48" s="88">
        <v>14654</v>
      </c>
      <c r="F48" s="88">
        <v>15071</v>
      </c>
      <c r="G48" s="88">
        <v>15537</v>
      </c>
      <c r="H48" s="88">
        <v>15841</v>
      </c>
      <c r="I48" s="88">
        <v>16426</v>
      </c>
      <c r="J48" s="88">
        <v>19294</v>
      </c>
      <c r="K48" s="88">
        <v>20134</v>
      </c>
      <c r="L48" s="88">
        <v>20271</v>
      </c>
      <c r="M48" s="88">
        <v>20444</v>
      </c>
      <c r="N48" s="88">
        <v>20532</v>
      </c>
      <c r="O48" s="88">
        <v>20798</v>
      </c>
      <c r="P48" s="88">
        <v>21228</v>
      </c>
      <c r="Q48" s="88">
        <v>21577</v>
      </c>
      <c r="R48" s="88">
        <v>22092</v>
      </c>
      <c r="S48" s="88">
        <v>22562</v>
      </c>
      <c r="T48" s="88">
        <v>23240</v>
      </c>
      <c r="U48" s="88">
        <v>23947</v>
      </c>
      <c r="V48" s="88">
        <v>27209</v>
      </c>
      <c r="W48" s="88">
        <v>28000</v>
      </c>
      <c r="X48" s="88">
        <v>28839</v>
      </c>
      <c r="Y48" s="88">
        <v>30005</v>
      </c>
      <c r="Z48" s="88">
        <v>30686</v>
      </c>
      <c r="AA48" s="88">
        <v>33772</v>
      </c>
      <c r="AB48" s="88">
        <v>37867</v>
      </c>
      <c r="AC48" s="88">
        <v>40400</v>
      </c>
      <c r="AD48" s="88">
        <v>42693</v>
      </c>
      <c r="AE48" s="88">
        <v>44382</v>
      </c>
      <c r="AF48" s="88">
        <v>46001</v>
      </c>
      <c r="AG48" s="88">
        <v>48122</v>
      </c>
      <c r="AH48" s="88">
        <v>55943</v>
      </c>
      <c r="AI48" s="88">
        <v>59062</v>
      </c>
      <c r="AJ48" s="88">
        <v>61226</v>
      </c>
      <c r="AK48" s="88">
        <v>62569</v>
      </c>
      <c r="AL48" s="88">
        <v>63361</v>
      </c>
      <c r="AM48" s="88">
        <v>65445</v>
      </c>
      <c r="AN48" s="88">
        <v>66891</v>
      </c>
      <c r="AO48" s="88">
        <v>67353</v>
      </c>
      <c r="AP48" s="88">
        <v>68536</v>
      </c>
      <c r="AQ48" s="88">
        <v>70407</v>
      </c>
      <c r="AR48" s="88">
        <v>71182</v>
      </c>
      <c r="AS48" s="88">
        <v>71919</v>
      </c>
      <c r="AT48" s="88">
        <v>76088</v>
      </c>
      <c r="AU48" s="88">
        <v>77018</v>
      </c>
      <c r="AV48" s="88">
        <v>77839</v>
      </c>
      <c r="AW48" s="88">
        <v>78149</v>
      </c>
      <c r="AX48" s="88">
        <v>78088</v>
      </c>
      <c r="AY48" s="88">
        <v>78704</v>
      </c>
      <c r="AZ48" s="88">
        <v>79272</v>
      </c>
      <c r="BA48" s="88">
        <v>79670</v>
      </c>
      <c r="BB48" s="88">
        <v>81070</v>
      </c>
      <c r="BC48" s="88">
        <v>82839</v>
      </c>
      <c r="BD48" s="88">
        <v>85395</v>
      </c>
      <c r="BE48" s="88">
        <v>87298</v>
      </c>
      <c r="BF48" s="88">
        <v>93382</v>
      </c>
      <c r="BG48" s="88">
        <v>96381</v>
      </c>
      <c r="BH48" s="88">
        <v>97570</v>
      </c>
      <c r="BI48" s="88">
        <v>98028</v>
      </c>
      <c r="BJ48" s="88">
        <v>98285</v>
      </c>
      <c r="BK48" s="148">
        <v>100742</v>
      </c>
      <c r="BL48" s="208">
        <f>(Tableau6[[#This Row],[mars-20]]-Tableau6[[#This Row],[dec-19]])/Tableau6[[#This Row],[dec-19]]</f>
        <v>2.4998728188431601E-2</v>
      </c>
      <c r="BM48" s="211">
        <f>Tableau6[[#This Row],[mars-20]]-Tableau6[[#This Row],[dec-19]]</f>
        <v>2457</v>
      </c>
      <c r="BN48" s="2">
        <v>114482</v>
      </c>
      <c r="BO48" s="242">
        <v>117361</v>
      </c>
      <c r="BP48" s="242">
        <v>130518</v>
      </c>
      <c r="BQ48" s="2">
        <v>133243</v>
      </c>
      <c r="BR48" s="2">
        <v>134920</v>
      </c>
      <c r="BS48" s="242">
        <v>142800</v>
      </c>
      <c r="BT48" s="242">
        <v>141841</v>
      </c>
      <c r="BU48" s="242">
        <v>147976</v>
      </c>
      <c r="BV48" s="242">
        <v>152720</v>
      </c>
      <c r="BW48" s="242">
        <v>154282</v>
      </c>
      <c r="BX48" s="242"/>
      <c r="BY48" s="554">
        <f>(Tableau6[[#This Row],[juin-24]]-Tableau6[[#This Row],[avr-24]])/Tableau6[[#This Row],[avr-24]]</f>
        <v>1.0227867993713986E-2</v>
      </c>
      <c r="BZ48" s="548">
        <f>Tableau6[[#This Row],[juin-24]]-Tableau6[[#This Row],[avr-24]]</f>
        <v>1562</v>
      </c>
    </row>
    <row r="49" spans="1:78" ht="16.5" x14ac:dyDescent="0.3">
      <c r="A49" s="275"/>
      <c r="B49" s="55" t="s">
        <v>175</v>
      </c>
      <c r="C49" s="54" t="s">
        <v>55</v>
      </c>
      <c r="D49" s="88">
        <v>14954</v>
      </c>
      <c r="E49" s="88">
        <v>15318</v>
      </c>
      <c r="F49" s="88">
        <v>15674</v>
      </c>
      <c r="G49" s="88">
        <v>16064</v>
      </c>
      <c r="H49" s="88">
        <v>16470</v>
      </c>
      <c r="I49" s="88">
        <v>16742</v>
      </c>
      <c r="J49" s="88">
        <v>17184</v>
      </c>
      <c r="K49" s="88">
        <v>18173</v>
      </c>
      <c r="L49" s="88">
        <v>18339</v>
      </c>
      <c r="M49" s="88">
        <v>18504</v>
      </c>
      <c r="N49" s="88">
        <v>18627</v>
      </c>
      <c r="O49" s="88">
        <v>18716</v>
      </c>
      <c r="P49" s="88">
        <v>18973</v>
      </c>
      <c r="Q49" s="88">
        <v>19309</v>
      </c>
      <c r="R49" s="88">
        <v>19695</v>
      </c>
      <c r="S49" s="88">
        <v>20231</v>
      </c>
      <c r="T49" s="88">
        <v>20589</v>
      </c>
      <c r="U49" s="88">
        <v>20770</v>
      </c>
      <c r="V49" s="88">
        <v>21196</v>
      </c>
      <c r="W49" s="88">
        <v>21619</v>
      </c>
      <c r="X49" s="88">
        <v>22002</v>
      </c>
      <c r="Y49" s="88">
        <v>22109</v>
      </c>
      <c r="Z49" s="88">
        <v>22198</v>
      </c>
      <c r="AA49" s="88">
        <v>22297</v>
      </c>
      <c r="AB49" s="88">
        <v>22421</v>
      </c>
      <c r="AC49" s="88">
        <v>22509</v>
      </c>
      <c r="AD49" s="88">
        <v>22719</v>
      </c>
      <c r="AE49" s="88">
        <v>22986</v>
      </c>
      <c r="AF49" s="88">
        <v>23224</v>
      </c>
      <c r="AG49" s="88">
        <v>23377</v>
      </c>
      <c r="AH49" s="88">
        <v>23712</v>
      </c>
      <c r="AI49" s="88">
        <v>24284</v>
      </c>
      <c r="AJ49" s="88">
        <v>24852</v>
      </c>
      <c r="AK49" s="88">
        <v>24661</v>
      </c>
      <c r="AL49" s="88">
        <v>24688</v>
      </c>
      <c r="AM49" s="88">
        <v>24863</v>
      </c>
      <c r="AN49" s="88">
        <v>24989</v>
      </c>
      <c r="AO49" s="88">
        <v>25164</v>
      </c>
      <c r="AP49" s="88">
        <v>25322</v>
      </c>
      <c r="AQ49" s="88">
        <v>25577</v>
      </c>
      <c r="AR49" s="88">
        <v>25701</v>
      </c>
      <c r="AS49" s="88">
        <v>25737</v>
      </c>
      <c r="AT49" s="88">
        <v>25575</v>
      </c>
      <c r="AU49" s="88">
        <v>25845</v>
      </c>
      <c r="AV49" s="88">
        <v>26100</v>
      </c>
      <c r="AW49" s="88">
        <v>26195</v>
      </c>
      <c r="AX49" s="88">
        <v>26168</v>
      </c>
      <c r="AY49" s="88">
        <v>26245</v>
      </c>
      <c r="AZ49" s="88">
        <v>26346</v>
      </c>
      <c r="BA49" s="88">
        <v>26473</v>
      </c>
      <c r="BB49" s="88">
        <v>26580</v>
      </c>
      <c r="BC49" s="88">
        <v>26748</v>
      </c>
      <c r="BD49" s="88">
        <v>26929</v>
      </c>
      <c r="BE49" s="88">
        <v>27108</v>
      </c>
      <c r="BF49" s="88">
        <v>27222</v>
      </c>
      <c r="BG49" s="88">
        <v>27778</v>
      </c>
      <c r="BH49" s="88">
        <v>28110</v>
      </c>
      <c r="BI49" s="88">
        <v>28193</v>
      </c>
      <c r="BJ49" s="88">
        <v>28232</v>
      </c>
      <c r="BK49" s="148">
        <v>28664</v>
      </c>
      <c r="BL49" s="208">
        <f>(Tableau6[[#This Row],[mars-20]]-Tableau6[[#This Row],[dec-19]])/Tableau6[[#This Row],[dec-19]]</f>
        <v>1.5301785208274299E-2</v>
      </c>
      <c r="BM49" s="211">
        <f>Tableau6[[#This Row],[mars-20]]-Tableau6[[#This Row],[dec-19]]</f>
        <v>432</v>
      </c>
      <c r="BN49" s="2">
        <v>29300</v>
      </c>
      <c r="BO49" s="242">
        <v>29829</v>
      </c>
      <c r="BP49" s="242">
        <v>31410</v>
      </c>
      <c r="BQ49" s="2">
        <v>32301</v>
      </c>
      <c r="BR49" s="2">
        <v>32690</v>
      </c>
      <c r="BS49" s="242">
        <v>32800</v>
      </c>
      <c r="BT49" s="242">
        <v>32803</v>
      </c>
      <c r="BU49" s="242">
        <v>33500</v>
      </c>
      <c r="BV49" s="242">
        <v>33557</v>
      </c>
      <c r="BW49" s="242">
        <v>33499</v>
      </c>
      <c r="BX49" s="242"/>
      <c r="BY49" s="554">
        <f>(Tableau6[[#This Row],[juin-24]]-Tableau6[[#This Row],[avr-24]])/Tableau6[[#This Row],[avr-24]]</f>
        <v>-1.7284024197633877E-3</v>
      </c>
      <c r="BZ49" s="548">
        <f>Tableau6[[#This Row],[juin-24]]-Tableau6[[#This Row],[avr-24]]</f>
        <v>-58</v>
      </c>
    </row>
    <row r="50" spans="1:78" ht="16.5" x14ac:dyDescent="0.3">
      <c r="A50" s="122"/>
      <c r="B50" s="55" t="s">
        <v>174</v>
      </c>
      <c r="C50" s="54" t="s">
        <v>55</v>
      </c>
      <c r="D50" s="88">
        <v>19147</v>
      </c>
      <c r="E50" s="88">
        <v>19895</v>
      </c>
      <c r="F50" s="88">
        <v>20891</v>
      </c>
      <c r="G50" s="88">
        <v>21698</v>
      </c>
      <c r="H50" s="88">
        <v>22737</v>
      </c>
      <c r="I50" s="88">
        <v>23862</v>
      </c>
      <c r="J50" s="88">
        <v>27522</v>
      </c>
      <c r="K50" s="88">
        <v>28909</v>
      </c>
      <c r="L50" s="88">
        <v>29191</v>
      </c>
      <c r="M50" s="88">
        <v>29603</v>
      </c>
      <c r="N50" s="88">
        <v>29985</v>
      </c>
      <c r="O50" s="88">
        <v>30622</v>
      </c>
      <c r="P50" s="88">
        <v>31352</v>
      </c>
      <c r="Q50" s="88">
        <v>31967</v>
      </c>
      <c r="R50" s="88">
        <v>33238</v>
      </c>
      <c r="S50" s="88">
        <v>34355</v>
      </c>
      <c r="T50" s="88">
        <v>35952</v>
      </c>
      <c r="U50" s="88">
        <v>37043</v>
      </c>
      <c r="V50" s="88">
        <v>40620</v>
      </c>
      <c r="W50" s="88">
        <v>41399</v>
      </c>
      <c r="X50" s="88">
        <v>42508</v>
      </c>
      <c r="Y50" s="88">
        <v>42976</v>
      </c>
      <c r="Z50" s="88">
        <v>43484</v>
      </c>
      <c r="AA50" s="88">
        <v>44295</v>
      </c>
      <c r="AB50" s="88">
        <v>45588</v>
      </c>
      <c r="AC50" s="88">
        <v>45982</v>
      </c>
      <c r="AD50" s="88">
        <v>47201</v>
      </c>
      <c r="AE50" s="88">
        <v>48575</v>
      </c>
      <c r="AF50" s="88">
        <v>49193</v>
      </c>
      <c r="AG50" s="88">
        <v>50213</v>
      </c>
      <c r="AH50" s="88">
        <v>53421</v>
      </c>
      <c r="AI50" s="88">
        <v>54751</v>
      </c>
      <c r="AJ50" s="88">
        <v>55374</v>
      </c>
      <c r="AK50" s="88">
        <v>55656</v>
      </c>
      <c r="AL50" s="88">
        <v>55847</v>
      </c>
      <c r="AM50" s="88">
        <v>56216</v>
      </c>
      <c r="AN50" s="88">
        <v>56643</v>
      </c>
      <c r="AO50" s="88">
        <v>57183</v>
      </c>
      <c r="AP50" s="88">
        <v>57714</v>
      </c>
      <c r="AQ50" s="88">
        <v>58866</v>
      </c>
      <c r="AR50" s="88">
        <v>59025</v>
      </c>
      <c r="AS50" s="88">
        <v>59251</v>
      </c>
      <c r="AT50" s="88">
        <v>61246</v>
      </c>
      <c r="AU50" s="88">
        <v>61642</v>
      </c>
      <c r="AV50" s="88">
        <v>62337</v>
      </c>
      <c r="AW50" s="88">
        <v>62509</v>
      </c>
      <c r="AX50" s="88">
        <v>62817</v>
      </c>
      <c r="AY50" s="88">
        <v>63570</v>
      </c>
      <c r="AZ50" s="88">
        <v>63790</v>
      </c>
      <c r="BA50" s="88">
        <v>63870</v>
      </c>
      <c r="BB50" s="88">
        <v>64320</v>
      </c>
      <c r="BC50" s="88">
        <v>64764</v>
      </c>
      <c r="BD50" s="88">
        <v>65108</v>
      </c>
      <c r="BE50" s="88">
        <v>65607</v>
      </c>
      <c r="BF50" s="88">
        <v>67705</v>
      </c>
      <c r="BG50" s="88">
        <v>69594</v>
      </c>
      <c r="BH50" s="88">
        <v>70140</v>
      </c>
      <c r="BI50" s="88">
        <v>70322</v>
      </c>
      <c r="BJ50" s="88">
        <v>70358</v>
      </c>
      <c r="BK50" s="148">
        <v>71574</v>
      </c>
      <c r="BL50" s="208">
        <f>(Tableau6[[#This Row],[mars-20]]-Tableau6[[#This Row],[dec-19]])/Tableau6[[#This Row],[dec-19]]</f>
        <v>1.7283038176184654E-2</v>
      </c>
      <c r="BM50" s="211">
        <f>Tableau6[[#This Row],[mars-20]]-Tableau6[[#This Row],[dec-19]]</f>
        <v>1216</v>
      </c>
      <c r="BN50" s="2">
        <v>75484</v>
      </c>
      <c r="BO50" s="242">
        <v>76626</v>
      </c>
      <c r="BP50" s="242">
        <v>80901</v>
      </c>
      <c r="BQ50" s="2">
        <v>83657</v>
      </c>
      <c r="BR50" s="2">
        <v>84477</v>
      </c>
      <c r="BS50" s="242">
        <v>89200</v>
      </c>
      <c r="BT50" s="242">
        <v>89096</v>
      </c>
      <c r="BU50" s="242">
        <v>95567</v>
      </c>
      <c r="BV50" s="242">
        <v>97113</v>
      </c>
      <c r="BW50" s="242">
        <v>97790</v>
      </c>
      <c r="BX50" s="242"/>
      <c r="BY50" s="554">
        <f>(Tableau6[[#This Row],[juin-24]]-Tableau6[[#This Row],[avr-24]])/Tableau6[[#This Row],[avr-24]]</f>
        <v>6.9712602844109435E-3</v>
      </c>
      <c r="BZ50" s="548">
        <f>Tableau6[[#This Row],[juin-24]]-Tableau6[[#This Row],[avr-24]]</f>
        <v>677</v>
      </c>
    </row>
    <row r="51" spans="1:78" ht="16.5" x14ac:dyDescent="0.3">
      <c r="A51" s="122"/>
      <c r="B51" s="55" t="s">
        <v>273</v>
      </c>
      <c r="C51" s="54" t="s">
        <v>54</v>
      </c>
      <c r="D51" s="88">
        <v>123211</v>
      </c>
      <c r="E51" s="88">
        <v>125346</v>
      </c>
      <c r="F51" s="88">
        <v>128885</v>
      </c>
      <c r="G51" s="88">
        <v>132148</v>
      </c>
      <c r="H51" s="88">
        <v>136914</v>
      </c>
      <c r="I51" s="88">
        <v>139413</v>
      </c>
      <c r="J51" s="88">
        <v>155319</v>
      </c>
      <c r="K51" s="88">
        <v>159625</v>
      </c>
      <c r="L51" s="88">
        <v>161270</v>
      </c>
      <c r="M51" s="88">
        <v>164130</v>
      </c>
      <c r="N51" s="88">
        <v>166017</v>
      </c>
      <c r="O51" s="88">
        <v>168830</v>
      </c>
      <c r="P51" s="88">
        <v>171712</v>
      </c>
      <c r="Q51" s="88">
        <v>174481</v>
      </c>
      <c r="R51" s="88">
        <v>178103</v>
      </c>
      <c r="S51" s="88">
        <v>181662</v>
      </c>
      <c r="T51" s="88">
        <v>185362</v>
      </c>
      <c r="U51" s="88">
        <v>186963</v>
      </c>
      <c r="V51" s="88">
        <v>194575</v>
      </c>
      <c r="W51" s="88">
        <v>196093</v>
      </c>
      <c r="X51" s="88">
        <v>198143</v>
      </c>
      <c r="Y51" s="88">
        <v>200476</v>
      </c>
      <c r="Z51" s="88">
        <v>201817</v>
      </c>
      <c r="AA51" s="88">
        <v>205062</v>
      </c>
      <c r="AB51" s="88">
        <v>208978</v>
      </c>
      <c r="AC51" s="88">
        <v>210571</v>
      </c>
      <c r="AD51" s="88">
        <v>213600</v>
      </c>
      <c r="AE51" s="88">
        <v>217209</v>
      </c>
      <c r="AF51" s="88">
        <v>222290</v>
      </c>
      <c r="AG51" s="88">
        <v>225711</v>
      </c>
      <c r="AH51" s="88">
        <v>236139</v>
      </c>
      <c r="AI51" s="88">
        <v>240255</v>
      </c>
      <c r="AJ51" s="88">
        <v>243003</v>
      </c>
      <c r="AK51" s="88">
        <v>245724</v>
      </c>
      <c r="AL51" s="88">
        <v>246999</v>
      </c>
      <c r="AM51" s="88">
        <v>248890</v>
      </c>
      <c r="AN51" s="88">
        <v>250557</v>
      </c>
      <c r="AO51" s="88">
        <v>252013</v>
      </c>
      <c r="AP51" s="88">
        <v>253884</v>
      </c>
      <c r="AQ51" s="88">
        <v>256373</v>
      </c>
      <c r="AR51" s="88">
        <v>257628</v>
      </c>
      <c r="AS51" s="88">
        <v>258178</v>
      </c>
      <c r="AT51" s="88">
        <v>261896</v>
      </c>
      <c r="AU51" s="88">
        <v>262747</v>
      </c>
      <c r="AV51" s="88">
        <v>264181</v>
      </c>
      <c r="AW51" s="88">
        <v>265468</v>
      </c>
      <c r="AX51" s="88">
        <v>265043</v>
      </c>
      <c r="AY51" s="88">
        <v>265766</v>
      </c>
      <c r="AZ51" s="88">
        <v>266159</v>
      </c>
      <c r="BA51" s="88">
        <v>266550</v>
      </c>
      <c r="BB51" s="88">
        <v>267790</v>
      </c>
      <c r="BC51" s="88">
        <v>269986</v>
      </c>
      <c r="BD51" s="88">
        <v>271290</v>
      </c>
      <c r="BE51" s="88">
        <v>272365</v>
      </c>
      <c r="BF51" s="88">
        <v>280482</v>
      </c>
      <c r="BG51" s="88">
        <v>284001</v>
      </c>
      <c r="BH51" s="88">
        <v>285547</v>
      </c>
      <c r="BI51" s="88">
        <v>285947</v>
      </c>
      <c r="BJ51" s="88">
        <v>286137</v>
      </c>
      <c r="BK51" s="148">
        <v>289470</v>
      </c>
      <c r="BL51" s="208">
        <f>(Tableau6[[#This Row],[mars-20]]-Tableau6[[#This Row],[dec-19]])/Tableau6[[#This Row],[dec-19]]</f>
        <v>1.1648266389876177E-2</v>
      </c>
      <c r="BM51" s="211">
        <f>Tableau6[[#This Row],[mars-20]]-Tableau6[[#This Row],[dec-19]]</f>
        <v>3333</v>
      </c>
      <c r="BN51" s="2">
        <v>313261</v>
      </c>
      <c r="BO51" s="242">
        <v>318464</v>
      </c>
      <c r="BP51" s="242">
        <v>342131</v>
      </c>
      <c r="BQ51" s="2">
        <v>348615</v>
      </c>
      <c r="BR51" s="2">
        <v>351001</v>
      </c>
      <c r="BS51" s="242">
        <v>364600</v>
      </c>
      <c r="BT51" s="242">
        <v>363613</v>
      </c>
      <c r="BU51" s="242">
        <v>377476</v>
      </c>
      <c r="BV51" s="242">
        <v>381224</v>
      </c>
      <c r="BW51" s="242">
        <v>382929</v>
      </c>
      <c r="BX51" s="242"/>
      <c r="BY51" s="554">
        <f>(Tableau6[[#This Row],[juin-24]]-Tableau6[[#This Row],[avr-24]])/Tableau6[[#This Row],[avr-24]]</f>
        <v>4.4724361530228945E-3</v>
      </c>
      <c r="BZ51" s="548">
        <f>Tableau6[[#This Row],[juin-24]]-Tableau6[[#This Row],[avr-24]]</f>
        <v>1705</v>
      </c>
    </row>
    <row r="52" spans="1:78" ht="16.5" x14ac:dyDescent="0.3">
      <c r="A52" s="275"/>
      <c r="B52" s="55" t="s">
        <v>286</v>
      </c>
      <c r="C52" s="54" t="s">
        <v>54</v>
      </c>
      <c r="D52" s="88">
        <v>120773</v>
      </c>
      <c r="E52" s="88">
        <v>122438</v>
      </c>
      <c r="F52" s="88">
        <v>124720</v>
      </c>
      <c r="G52" s="88">
        <v>127020</v>
      </c>
      <c r="H52" s="88">
        <v>130452</v>
      </c>
      <c r="I52" s="88">
        <v>132590</v>
      </c>
      <c r="J52" s="88">
        <v>140198</v>
      </c>
      <c r="K52" s="88">
        <v>143943</v>
      </c>
      <c r="L52" s="88">
        <v>145251</v>
      </c>
      <c r="M52" s="88">
        <v>147615</v>
      </c>
      <c r="N52" s="88">
        <v>149248</v>
      </c>
      <c r="O52" s="88">
        <v>151332</v>
      </c>
      <c r="P52" s="88">
        <v>153643</v>
      </c>
      <c r="Q52" s="88">
        <v>155685</v>
      </c>
      <c r="R52" s="88">
        <v>154478</v>
      </c>
      <c r="S52" s="88">
        <v>160690</v>
      </c>
      <c r="T52" s="88">
        <v>163369</v>
      </c>
      <c r="U52" s="88">
        <v>165183</v>
      </c>
      <c r="V52" s="88">
        <v>169195</v>
      </c>
      <c r="W52" s="88">
        <v>169844</v>
      </c>
      <c r="X52" s="88">
        <v>170970</v>
      </c>
      <c r="Y52" s="88">
        <v>172465</v>
      </c>
      <c r="Z52" s="88">
        <v>173215</v>
      </c>
      <c r="AA52" s="88">
        <v>174322</v>
      </c>
      <c r="AB52" s="88">
        <v>175861</v>
      </c>
      <c r="AC52" s="88">
        <v>177356</v>
      </c>
      <c r="AD52" s="88">
        <v>179423</v>
      </c>
      <c r="AE52" s="88">
        <v>181678</v>
      </c>
      <c r="AF52" s="88">
        <v>184156</v>
      </c>
      <c r="AG52" s="88">
        <v>187041</v>
      </c>
      <c r="AH52" s="88">
        <v>197547</v>
      </c>
      <c r="AI52" s="88">
        <v>200118</v>
      </c>
      <c r="AJ52" s="88">
        <v>201702</v>
      </c>
      <c r="AK52" s="88">
        <v>202644</v>
      </c>
      <c r="AL52" s="88">
        <v>203057</v>
      </c>
      <c r="AM52" s="88">
        <v>204397</v>
      </c>
      <c r="AN52" s="88">
        <v>205011</v>
      </c>
      <c r="AO52" s="88">
        <v>206608</v>
      </c>
      <c r="AP52" s="88">
        <v>208106</v>
      </c>
      <c r="AQ52" s="88">
        <v>209287</v>
      </c>
      <c r="AR52" s="88">
        <v>209868</v>
      </c>
      <c r="AS52" s="88">
        <v>210262</v>
      </c>
      <c r="AT52" s="88">
        <v>211452</v>
      </c>
      <c r="AU52" s="88">
        <v>212074</v>
      </c>
      <c r="AV52" s="88">
        <v>212759</v>
      </c>
      <c r="AW52" s="88">
        <v>213890</v>
      </c>
      <c r="AX52" s="88">
        <v>213529</v>
      </c>
      <c r="AY52" s="88">
        <v>214209</v>
      </c>
      <c r="AZ52" s="88">
        <v>214830</v>
      </c>
      <c r="BA52" s="88">
        <v>215280</v>
      </c>
      <c r="BB52" s="88">
        <v>215820</v>
      </c>
      <c r="BC52" s="88">
        <v>217089</v>
      </c>
      <c r="BD52" s="88">
        <v>218451</v>
      </c>
      <c r="BE52" s="88">
        <v>219823</v>
      </c>
      <c r="BF52" s="88">
        <v>223807</v>
      </c>
      <c r="BG52" s="88">
        <v>226226</v>
      </c>
      <c r="BH52" s="88">
        <v>227757</v>
      </c>
      <c r="BI52" s="88">
        <v>228333</v>
      </c>
      <c r="BJ52" s="88">
        <v>228502</v>
      </c>
      <c r="BK52" s="148">
        <v>230709</v>
      </c>
      <c r="BL52" s="208">
        <f>(Tableau6[[#This Row],[mars-20]]-Tableau6[[#This Row],[dec-19]])/Tableau6[[#This Row],[dec-19]]</f>
        <v>9.6585587872316213E-3</v>
      </c>
      <c r="BM52" s="211">
        <f>Tableau6[[#This Row],[mars-20]]-Tableau6[[#This Row],[dec-19]]</f>
        <v>2207</v>
      </c>
      <c r="BN52" s="2">
        <v>240630</v>
      </c>
      <c r="BO52" s="242">
        <v>247151</v>
      </c>
      <c r="BP52" s="242">
        <v>263020</v>
      </c>
      <c r="BQ52" s="2">
        <v>270279</v>
      </c>
      <c r="BR52" s="2">
        <v>272228</v>
      </c>
      <c r="BS52" s="242">
        <v>285500</v>
      </c>
      <c r="BT52" s="242">
        <v>284602</v>
      </c>
      <c r="BU52" s="242">
        <v>299350</v>
      </c>
      <c r="BV52" s="242">
        <v>306484</v>
      </c>
      <c r="BW52" s="242">
        <v>308741</v>
      </c>
      <c r="BX52" s="242"/>
      <c r="BY52" s="554">
        <f>(Tableau6[[#This Row],[juin-24]]-Tableau6[[#This Row],[avr-24]])/Tableau6[[#This Row],[avr-24]]</f>
        <v>7.3641690920243797E-3</v>
      </c>
      <c r="BZ52" s="548">
        <f>Tableau6[[#This Row],[juin-24]]-Tableau6[[#This Row],[avr-24]]</f>
        <v>2257</v>
      </c>
    </row>
    <row r="53" spans="1:78" ht="16.5" x14ac:dyDescent="0.3">
      <c r="A53" s="122"/>
      <c r="B53" s="55" t="s">
        <v>173</v>
      </c>
      <c r="C53" s="54" t="s">
        <v>54</v>
      </c>
      <c r="D53" s="88">
        <v>32730</v>
      </c>
      <c r="E53" s="88">
        <v>33316</v>
      </c>
      <c r="F53" s="88">
        <v>34310</v>
      </c>
      <c r="G53" s="88">
        <v>35173</v>
      </c>
      <c r="H53" s="88">
        <v>36334</v>
      </c>
      <c r="I53" s="88">
        <v>37537</v>
      </c>
      <c r="J53" s="88">
        <v>42591</v>
      </c>
      <c r="K53" s="88">
        <v>44068</v>
      </c>
      <c r="L53" s="88">
        <v>44383</v>
      </c>
      <c r="M53" s="88">
        <v>44961</v>
      </c>
      <c r="N53" s="88">
        <v>45489</v>
      </c>
      <c r="O53" s="88">
        <v>46262</v>
      </c>
      <c r="P53" s="88">
        <v>47245</v>
      </c>
      <c r="Q53" s="88">
        <v>48019</v>
      </c>
      <c r="R53" s="88">
        <v>49483</v>
      </c>
      <c r="S53" s="88">
        <v>50796</v>
      </c>
      <c r="T53" s="88">
        <v>52650</v>
      </c>
      <c r="U53" s="88">
        <v>54040</v>
      </c>
      <c r="V53" s="88">
        <v>58185</v>
      </c>
      <c r="W53" s="88">
        <v>59052</v>
      </c>
      <c r="X53" s="88">
        <v>60227</v>
      </c>
      <c r="Y53" s="88">
        <v>60787</v>
      </c>
      <c r="Z53" s="88">
        <v>61350</v>
      </c>
      <c r="AA53" s="88">
        <v>62552</v>
      </c>
      <c r="AB53" s="88">
        <v>64881</v>
      </c>
      <c r="AC53" s="88">
        <v>66679</v>
      </c>
      <c r="AD53" s="88">
        <v>67948</v>
      </c>
      <c r="AE53" s="88">
        <v>69324</v>
      </c>
      <c r="AF53" s="88">
        <v>70701</v>
      </c>
      <c r="AG53" s="88">
        <v>72387</v>
      </c>
      <c r="AH53" s="88">
        <v>76750</v>
      </c>
      <c r="AI53" s="88">
        <v>78264</v>
      </c>
      <c r="AJ53" s="88">
        <v>79084</v>
      </c>
      <c r="AK53" s="88">
        <v>79580</v>
      </c>
      <c r="AL53" s="88">
        <v>79784</v>
      </c>
      <c r="AM53" s="88">
        <v>80258</v>
      </c>
      <c r="AN53" s="88">
        <v>80891</v>
      </c>
      <c r="AO53" s="88">
        <v>81415</v>
      </c>
      <c r="AP53" s="88">
        <v>81996</v>
      </c>
      <c r="AQ53" s="88">
        <v>82493</v>
      </c>
      <c r="AR53" s="88">
        <v>82795</v>
      </c>
      <c r="AS53" s="88">
        <v>83059</v>
      </c>
      <c r="AT53" s="88">
        <v>83684</v>
      </c>
      <c r="AU53" s="88">
        <v>84146</v>
      </c>
      <c r="AV53" s="88">
        <v>84406</v>
      </c>
      <c r="AW53" s="88">
        <v>84871</v>
      </c>
      <c r="AX53" s="88">
        <v>84662</v>
      </c>
      <c r="AY53" s="88">
        <v>84856</v>
      </c>
      <c r="AZ53" s="88">
        <v>84930</v>
      </c>
      <c r="BA53" s="88">
        <v>85125</v>
      </c>
      <c r="BB53" s="88">
        <v>85396</v>
      </c>
      <c r="BC53" s="88">
        <v>85855</v>
      </c>
      <c r="BD53" s="88">
        <v>86752</v>
      </c>
      <c r="BE53" s="88">
        <v>87291</v>
      </c>
      <c r="BF53" s="88">
        <v>92113</v>
      </c>
      <c r="BG53" s="88">
        <v>93496</v>
      </c>
      <c r="BH53" s="88">
        <v>93709</v>
      </c>
      <c r="BI53" s="88">
        <v>93984</v>
      </c>
      <c r="BJ53" s="88">
        <v>94006</v>
      </c>
      <c r="BK53" s="148">
        <v>94985</v>
      </c>
      <c r="BL53" s="208">
        <f>(Tableau6[[#This Row],[mars-20]]-Tableau6[[#This Row],[dec-19]])/Tableau6[[#This Row],[dec-19]]</f>
        <v>1.0414228879007724E-2</v>
      </c>
      <c r="BM53" s="211">
        <f>Tableau6[[#This Row],[mars-20]]-Tableau6[[#This Row],[dec-19]]</f>
        <v>979</v>
      </c>
      <c r="BN53" s="2">
        <v>102248</v>
      </c>
      <c r="BO53" s="242">
        <v>104151</v>
      </c>
      <c r="BP53" s="242">
        <v>111343</v>
      </c>
      <c r="BQ53" s="2">
        <v>114380</v>
      </c>
      <c r="BR53" s="2">
        <v>115878</v>
      </c>
      <c r="BS53" s="242">
        <v>123500</v>
      </c>
      <c r="BT53" s="242">
        <v>123172</v>
      </c>
      <c r="BU53" s="242">
        <v>130873</v>
      </c>
      <c r="BV53" s="242">
        <v>131514</v>
      </c>
      <c r="BW53" s="242">
        <v>131983</v>
      </c>
      <c r="BX53" s="242"/>
      <c r="BY53" s="554">
        <f>(Tableau6[[#This Row],[juin-24]]-Tableau6[[#This Row],[avr-24]])/Tableau6[[#This Row],[avr-24]]</f>
        <v>3.5661602567027086E-3</v>
      </c>
      <c r="BZ53" s="548">
        <f>Tableau6[[#This Row],[juin-24]]-Tableau6[[#This Row],[avr-24]]</f>
        <v>469</v>
      </c>
    </row>
    <row r="54" spans="1:78" ht="16.5" x14ac:dyDescent="0.3">
      <c r="A54" s="122"/>
      <c r="B54" s="55" t="s">
        <v>220</v>
      </c>
      <c r="C54" s="54" t="s">
        <v>54</v>
      </c>
      <c r="D54" s="88">
        <v>343376</v>
      </c>
      <c r="E54" s="88">
        <v>346723</v>
      </c>
      <c r="F54" s="88">
        <v>352185</v>
      </c>
      <c r="G54" s="88">
        <v>358164</v>
      </c>
      <c r="H54" s="88">
        <v>367134</v>
      </c>
      <c r="I54" s="88">
        <v>374277</v>
      </c>
      <c r="J54" s="88">
        <v>418606</v>
      </c>
      <c r="K54" s="88">
        <v>447055</v>
      </c>
      <c r="L54" s="88">
        <v>456260</v>
      </c>
      <c r="M54" s="88">
        <v>477951</v>
      </c>
      <c r="N54" s="88">
        <v>494055</v>
      </c>
      <c r="O54" s="88">
        <v>521405</v>
      </c>
      <c r="P54" s="88">
        <v>543878</v>
      </c>
      <c r="Q54" s="88">
        <v>568811</v>
      </c>
      <c r="R54" s="88">
        <v>592665</v>
      </c>
      <c r="S54" s="88">
        <v>614020</v>
      </c>
      <c r="T54" s="88">
        <v>626357</v>
      </c>
      <c r="U54" s="88">
        <v>636068</v>
      </c>
      <c r="V54" s="88">
        <v>670884</v>
      </c>
      <c r="W54" s="88">
        <v>679138</v>
      </c>
      <c r="X54" s="88">
        <v>688625</v>
      </c>
      <c r="Y54" s="88">
        <v>694768</v>
      </c>
      <c r="Z54" s="88">
        <v>700004</v>
      </c>
      <c r="AA54" s="88">
        <v>708140</v>
      </c>
      <c r="AB54" s="88">
        <v>718318</v>
      </c>
      <c r="AC54" s="88">
        <v>729235</v>
      </c>
      <c r="AD54" s="88">
        <v>737286</v>
      </c>
      <c r="AE54" s="88">
        <v>745323</v>
      </c>
      <c r="AF54" s="88">
        <v>756648</v>
      </c>
      <c r="AG54" s="88">
        <v>769240</v>
      </c>
      <c r="AH54" s="88">
        <v>799623</v>
      </c>
      <c r="AI54" s="88">
        <v>811485</v>
      </c>
      <c r="AJ54" s="88">
        <v>823219</v>
      </c>
      <c r="AK54" s="88">
        <v>827381</v>
      </c>
      <c r="AL54" s="88">
        <v>830161</v>
      </c>
      <c r="AM54" s="88">
        <v>835652</v>
      </c>
      <c r="AN54" s="88">
        <v>837884</v>
      </c>
      <c r="AO54" s="88">
        <v>840571</v>
      </c>
      <c r="AP54" s="88">
        <v>843930</v>
      </c>
      <c r="AQ54" s="88">
        <v>847040</v>
      </c>
      <c r="AR54" s="88">
        <v>849941</v>
      </c>
      <c r="AS54" s="88">
        <v>852683</v>
      </c>
      <c r="AT54" s="88">
        <v>863523</v>
      </c>
      <c r="AU54" s="88">
        <v>867260</v>
      </c>
      <c r="AV54" s="88">
        <v>869165</v>
      </c>
      <c r="AW54" s="88">
        <v>872300</v>
      </c>
      <c r="AX54" s="88">
        <v>870713</v>
      </c>
      <c r="AY54" s="88">
        <v>871458</v>
      </c>
      <c r="AZ54" s="88">
        <v>871412</v>
      </c>
      <c r="BA54" s="88">
        <v>872145</v>
      </c>
      <c r="BB54" s="88">
        <v>873395</v>
      </c>
      <c r="BC54" s="88">
        <v>874792</v>
      </c>
      <c r="BD54" s="88">
        <v>878161</v>
      </c>
      <c r="BE54" s="88">
        <v>882695</v>
      </c>
      <c r="BF54" s="88">
        <v>904015</v>
      </c>
      <c r="BG54" s="88">
        <v>910513</v>
      </c>
      <c r="BH54" s="88">
        <v>910930</v>
      </c>
      <c r="BI54" s="88">
        <v>911023</v>
      </c>
      <c r="BJ54" s="88">
        <v>909932</v>
      </c>
      <c r="BK54" s="148">
        <v>911430</v>
      </c>
      <c r="BL54" s="208">
        <f>(Tableau6[[#This Row],[mars-20]]-Tableau6[[#This Row],[dec-19]])/Tableau6[[#This Row],[dec-19]]</f>
        <v>1.6462768646448307E-3</v>
      </c>
      <c r="BM54" s="211">
        <f>Tableau6[[#This Row],[mars-20]]-Tableau6[[#This Row],[dec-19]]</f>
        <v>1498</v>
      </c>
      <c r="BN54" s="2">
        <v>930105</v>
      </c>
      <c r="BO54" s="242">
        <v>938101</v>
      </c>
      <c r="BP54" s="242">
        <v>964238</v>
      </c>
      <c r="BQ54" s="2">
        <v>968562</v>
      </c>
      <c r="BR54" s="2">
        <v>971270</v>
      </c>
      <c r="BS54" s="242">
        <v>983300</v>
      </c>
      <c r="BT54" s="242">
        <v>977884</v>
      </c>
      <c r="BU54" s="242">
        <v>977824</v>
      </c>
      <c r="BV54" s="242">
        <v>973493</v>
      </c>
      <c r="BW54" s="242">
        <v>975313</v>
      </c>
      <c r="BX54" s="242"/>
      <c r="BY54" s="554">
        <f>(Tableau6[[#This Row],[juin-24]]-Tableau6[[#This Row],[avr-24]])/Tableau6[[#This Row],[avr-24]]</f>
        <v>1.8695563296294889E-3</v>
      </c>
      <c r="BZ54" s="548">
        <f>Tableau6[[#This Row],[juin-24]]-Tableau6[[#This Row],[avr-24]]</f>
        <v>1820</v>
      </c>
    </row>
    <row r="55" spans="1:78" ht="16.5" x14ac:dyDescent="0.3">
      <c r="A55" s="275"/>
      <c r="B55" s="55" t="s">
        <v>219</v>
      </c>
      <c r="C55" s="54" t="s">
        <v>55</v>
      </c>
      <c r="D55" s="88">
        <v>1800</v>
      </c>
      <c r="E55" s="88">
        <v>1971</v>
      </c>
      <c r="F55" s="88">
        <v>2153</v>
      </c>
      <c r="G55" s="88">
        <v>2315</v>
      </c>
      <c r="H55" s="88">
        <v>2407</v>
      </c>
      <c r="I55" s="88">
        <v>2466</v>
      </c>
      <c r="J55" s="88">
        <v>2527</v>
      </c>
      <c r="K55" s="88">
        <v>2664</v>
      </c>
      <c r="L55" s="88">
        <v>2746</v>
      </c>
      <c r="M55" s="88">
        <v>2857</v>
      </c>
      <c r="N55" s="88">
        <v>4450</v>
      </c>
      <c r="O55" s="88">
        <v>4499</v>
      </c>
      <c r="P55" s="88">
        <v>4412</v>
      </c>
      <c r="Q55" s="88">
        <v>4554</v>
      </c>
      <c r="R55" s="88">
        <v>6825</v>
      </c>
      <c r="S55" s="88">
        <v>7060</v>
      </c>
      <c r="T55" s="88">
        <v>7187</v>
      </c>
      <c r="U55" s="88">
        <v>7249</v>
      </c>
      <c r="V55" s="88">
        <v>7345</v>
      </c>
      <c r="W55" s="88">
        <v>7374</v>
      </c>
      <c r="X55" s="88">
        <v>7495</v>
      </c>
      <c r="Y55" s="88">
        <v>7598</v>
      </c>
      <c r="Z55" s="88">
        <v>7713</v>
      </c>
      <c r="AA55" s="88">
        <v>7815</v>
      </c>
      <c r="AB55" s="88">
        <v>8123</v>
      </c>
      <c r="AC55" s="88">
        <v>8319</v>
      </c>
      <c r="AD55" s="88">
        <v>8516</v>
      </c>
      <c r="AE55" s="88">
        <v>8644</v>
      </c>
      <c r="AF55" s="88">
        <v>8704</v>
      </c>
      <c r="AG55" s="88">
        <v>9003</v>
      </c>
      <c r="AH55" s="88">
        <v>9776</v>
      </c>
      <c r="AI55" s="88">
        <v>9991</v>
      </c>
      <c r="AJ55" s="88">
        <v>10102</v>
      </c>
      <c r="AK55" s="88">
        <v>10174</v>
      </c>
      <c r="AL55" s="88">
        <v>10182</v>
      </c>
      <c r="AM55" s="88">
        <v>10299</v>
      </c>
      <c r="AN55" s="88">
        <v>10142</v>
      </c>
      <c r="AO55" s="88"/>
      <c r="AP55" s="88"/>
      <c r="AQ55" s="88"/>
      <c r="AR55" s="88"/>
      <c r="AS55" s="88"/>
      <c r="AT55" s="88"/>
      <c r="AU55" s="88"/>
      <c r="AV55" s="88"/>
      <c r="AW55" s="88">
        <v>12326</v>
      </c>
      <c r="AX55" s="88">
        <v>12389</v>
      </c>
      <c r="AY55" s="88">
        <v>12538</v>
      </c>
      <c r="AZ55" s="88">
        <v>12763</v>
      </c>
      <c r="BA55" s="88">
        <v>12915</v>
      </c>
      <c r="BB55" s="88">
        <v>13175</v>
      </c>
      <c r="BC55" s="88">
        <v>13347</v>
      </c>
      <c r="BD55" s="88">
        <v>13437</v>
      </c>
      <c r="BE55" s="88">
        <v>13678</v>
      </c>
      <c r="BF55" s="88">
        <v>14478</v>
      </c>
      <c r="BG55" s="88">
        <v>14949</v>
      </c>
      <c r="BH55" s="88">
        <v>15155</v>
      </c>
      <c r="BI55" s="88">
        <v>15296</v>
      </c>
      <c r="BJ55" s="88">
        <v>15355</v>
      </c>
      <c r="BK55" s="148">
        <v>15959</v>
      </c>
      <c r="BL55" s="208">
        <f>(Tableau6[[#This Row],[mars-20]]-Tableau6[[#This Row],[dec-19]])/Tableau6[[#This Row],[dec-19]]</f>
        <v>3.9335721263432107E-2</v>
      </c>
      <c r="BM55" s="211">
        <f>Tableau6[[#This Row],[mars-20]]-Tableau6[[#This Row],[dec-19]]</f>
        <v>604</v>
      </c>
      <c r="BN55" s="2">
        <v>17000</v>
      </c>
      <c r="BO55" s="242">
        <v>17476</v>
      </c>
      <c r="BP55" s="242">
        <v>251335</v>
      </c>
      <c r="BQ55" s="2">
        <v>252350</v>
      </c>
      <c r="BR55" s="2">
        <v>255377</v>
      </c>
      <c r="BS55" s="242">
        <v>268500</v>
      </c>
      <c r="BT55" s="242">
        <v>267963</v>
      </c>
      <c r="BU55" s="242">
        <v>276531</v>
      </c>
      <c r="BV55" s="242">
        <v>278112</v>
      </c>
      <c r="BW55" s="242">
        <v>279275</v>
      </c>
      <c r="BX55" s="242"/>
      <c r="BY55" s="554">
        <f>(Tableau6[[#This Row],[juin-24]]-Tableau6[[#This Row],[avr-24]])/Tableau6[[#This Row],[avr-24]]</f>
        <v>4.1817684961454379E-3</v>
      </c>
      <c r="BZ55" s="548">
        <f>Tableau6[[#This Row],[juin-24]]-Tableau6[[#This Row],[avr-24]]</f>
        <v>1163</v>
      </c>
    </row>
    <row r="56" spans="1:78" ht="16.5" x14ac:dyDescent="0.3">
      <c r="A56" s="122"/>
      <c r="B56" s="55" t="s">
        <v>288</v>
      </c>
      <c r="C56" s="89" t="s">
        <v>55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>
        <v>2697</v>
      </c>
      <c r="AD56" s="90">
        <v>2745</v>
      </c>
      <c r="AE56" s="90">
        <v>2794</v>
      </c>
      <c r="AF56" s="90">
        <v>2846</v>
      </c>
      <c r="AG56" s="90">
        <v>2869</v>
      </c>
      <c r="AH56" s="90">
        <v>2895</v>
      </c>
      <c r="AI56" s="90">
        <v>3153</v>
      </c>
      <c r="AJ56" s="90">
        <v>3446</v>
      </c>
      <c r="AK56" s="90">
        <v>3510</v>
      </c>
      <c r="AL56" s="90">
        <v>3589</v>
      </c>
      <c r="AM56" s="90">
        <v>3791</v>
      </c>
      <c r="AN56" s="90">
        <v>3942</v>
      </c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>
        <v>8100</v>
      </c>
      <c r="BH56" s="90">
        <v>8103</v>
      </c>
      <c r="BI56" s="90">
        <v>8170</v>
      </c>
      <c r="BJ56" s="90">
        <v>8580</v>
      </c>
      <c r="BK56" s="148">
        <v>10182</v>
      </c>
      <c r="BL56" s="208">
        <f>(Tableau6[[#This Row],[mars-20]]-Tableau6[[#This Row],[dec-19]])/Tableau6[[#This Row],[dec-19]]</f>
        <v>0.18671328671328671</v>
      </c>
      <c r="BM56" s="211">
        <f>Tableau6[[#This Row],[mars-20]]-Tableau6[[#This Row],[dec-19]]</f>
        <v>1602</v>
      </c>
      <c r="BN56" s="2">
        <v>16446</v>
      </c>
      <c r="BO56" s="242">
        <v>18213</v>
      </c>
      <c r="BP56" s="242">
        <v>28886</v>
      </c>
      <c r="BQ56" s="2">
        <v>30265</v>
      </c>
      <c r="BR56" s="2">
        <v>30627</v>
      </c>
      <c r="BS56" s="242">
        <v>34100</v>
      </c>
      <c r="BT56" s="242">
        <v>33942</v>
      </c>
      <c r="BU56" s="242">
        <v>39339</v>
      </c>
      <c r="BV56" s="242">
        <v>40755</v>
      </c>
      <c r="BW56" s="2">
        <v>41229</v>
      </c>
      <c r="BX56" s="242"/>
      <c r="BY56" s="554">
        <f>(Tableau6[[#This Row],[juin-24]]-Tableau6[[#This Row],[avr-24]])/Tableau6[[#This Row],[avr-24]]</f>
        <v>1.1630474788369526E-2</v>
      </c>
      <c r="BZ56" s="548">
        <f>Tableau6[[#This Row],[juin-24]]-Tableau6[[#This Row],[avr-24]]</f>
        <v>474</v>
      </c>
    </row>
    <row r="57" spans="1:78" ht="16.5" x14ac:dyDescent="0.3">
      <c r="A57" s="122"/>
      <c r="B57" s="55" t="s">
        <v>171</v>
      </c>
      <c r="C57" s="54" t="s">
        <v>54</v>
      </c>
      <c r="D57" s="88">
        <v>59597</v>
      </c>
      <c r="E57" s="88">
        <v>60191</v>
      </c>
      <c r="F57" s="88">
        <v>61575</v>
      </c>
      <c r="G57" s="88">
        <v>62967</v>
      </c>
      <c r="H57" s="88">
        <v>64947</v>
      </c>
      <c r="I57" s="88">
        <v>66141</v>
      </c>
      <c r="J57" s="88">
        <v>71326</v>
      </c>
      <c r="K57" s="88">
        <v>73837</v>
      </c>
      <c r="L57" s="88">
        <v>74456</v>
      </c>
      <c r="M57" s="88">
        <v>75732</v>
      </c>
      <c r="N57" s="88">
        <v>76722</v>
      </c>
      <c r="O57" s="88">
        <v>77996</v>
      </c>
      <c r="P57" s="88">
        <v>79675</v>
      </c>
      <c r="Q57" s="88">
        <v>81166</v>
      </c>
      <c r="R57" s="88">
        <v>83604</v>
      </c>
      <c r="S57" s="88">
        <v>86433</v>
      </c>
      <c r="T57" s="88">
        <v>90167</v>
      </c>
      <c r="U57" s="88">
        <v>91798</v>
      </c>
      <c r="V57" s="88">
        <v>97133</v>
      </c>
      <c r="W57" s="88">
        <v>98282</v>
      </c>
      <c r="X57" s="88">
        <v>100049</v>
      </c>
      <c r="Y57" s="88">
        <v>101568</v>
      </c>
      <c r="Z57" s="88">
        <v>102883</v>
      </c>
      <c r="AA57" s="88">
        <v>106213</v>
      </c>
      <c r="AB57" s="88">
        <v>110478</v>
      </c>
      <c r="AC57" s="88">
        <v>111869</v>
      </c>
      <c r="AD57" s="88">
        <v>114200</v>
      </c>
      <c r="AE57" s="88">
        <v>116840</v>
      </c>
      <c r="AF57" s="88">
        <v>119100</v>
      </c>
      <c r="AG57" s="88">
        <v>121559</v>
      </c>
      <c r="AH57" s="88">
        <v>127761</v>
      </c>
      <c r="AI57" s="88">
        <v>130229</v>
      </c>
      <c r="AJ57" s="88">
        <v>131954</v>
      </c>
      <c r="AK57" s="88">
        <v>132735</v>
      </c>
      <c r="AL57" s="88">
        <v>133251</v>
      </c>
      <c r="AM57" s="88">
        <v>135269</v>
      </c>
      <c r="AN57" s="88">
        <v>136070</v>
      </c>
      <c r="AO57" s="88">
        <v>136768</v>
      </c>
      <c r="AP57" s="88">
        <v>137942</v>
      </c>
      <c r="AQ57" s="88">
        <v>139070</v>
      </c>
      <c r="AR57" s="88">
        <v>139951</v>
      </c>
      <c r="AS57" s="88">
        <v>140398</v>
      </c>
      <c r="AT57" s="88">
        <v>139768</v>
      </c>
      <c r="AU57" s="88">
        <v>140546</v>
      </c>
      <c r="AV57" s="88">
        <v>141185</v>
      </c>
      <c r="AW57" s="88">
        <v>141980</v>
      </c>
      <c r="AX57" s="88">
        <v>141800</v>
      </c>
      <c r="AY57" s="88">
        <v>142444</v>
      </c>
      <c r="AZ57" s="88">
        <v>142945</v>
      </c>
      <c r="BA57" s="88">
        <v>143220</v>
      </c>
      <c r="BB57" s="88">
        <v>143760</v>
      </c>
      <c r="BC57" s="88">
        <v>144915</v>
      </c>
      <c r="BD57" s="88">
        <v>146271</v>
      </c>
      <c r="BE57" s="88">
        <v>147113</v>
      </c>
      <c r="BF57" s="88">
        <v>151598</v>
      </c>
      <c r="BG57" s="88">
        <v>156125</v>
      </c>
      <c r="BH57" s="88">
        <v>156845</v>
      </c>
      <c r="BI57" s="88">
        <v>157127</v>
      </c>
      <c r="BJ57" s="88">
        <v>157178</v>
      </c>
      <c r="BK57" s="148">
        <v>158928</v>
      </c>
      <c r="BL57" s="208">
        <f>(Tableau6[[#This Row],[mars-20]]-Tableau6[[#This Row],[dec-19]])/Tableau6[[#This Row],[dec-19]]</f>
        <v>1.1133873697336778E-2</v>
      </c>
      <c r="BM57" s="211">
        <f>Tableau6[[#This Row],[mars-20]]-Tableau6[[#This Row],[dec-19]]</f>
        <v>1750</v>
      </c>
      <c r="BN57" s="2">
        <v>165968</v>
      </c>
      <c r="BO57" s="242">
        <v>167658</v>
      </c>
      <c r="BP57" s="242">
        <v>173636</v>
      </c>
      <c r="BQ57" s="2">
        <v>175861</v>
      </c>
      <c r="BR57" s="2">
        <v>176512</v>
      </c>
      <c r="BS57" s="242">
        <v>181400</v>
      </c>
      <c r="BT57" s="242">
        <v>180539</v>
      </c>
      <c r="BU57" s="242">
        <v>181146</v>
      </c>
      <c r="BV57" s="242"/>
      <c r="BW57" s="242">
        <v>180786</v>
      </c>
      <c r="BX57" s="242"/>
      <c r="BY57" s="554">
        <f>(Tableau6[[#This Row],[juin-24]]-Tableau6[[#This Row],[oct-23]])/Tableau6[[#This Row],[oct-23]]</f>
        <v>-1.9873472226822563E-3</v>
      </c>
      <c r="BZ57" s="548">
        <f>Tableau6[[#This Row],[juin-24]]-Tableau6[[#This Row],[oct-23]]</f>
        <v>-360</v>
      </c>
    </row>
    <row r="58" spans="1:78" ht="16.5" x14ac:dyDescent="0.3">
      <c r="A58" s="275"/>
      <c r="B58" s="55" t="s">
        <v>170</v>
      </c>
      <c r="C58" s="54" t="s">
        <v>54</v>
      </c>
      <c r="D58" s="88">
        <v>122923</v>
      </c>
      <c r="E58" s="88">
        <v>124548</v>
      </c>
      <c r="F58" s="88">
        <v>128213</v>
      </c>
      <c r="G58" s="88">
        <v>131033</v>
      </c>
      <c r="H58" s="88">
        <v>140141</v>
      </c>
      <c r="I58" s="88">
        <v>143054</v>
      </c>
      <c r="J58" s="88">
        <v>177135</v>
      </c>
      <c r="K58" s="88">
        <v>209611</v>
      </c>
      <c r="L58" s="88">
        <v>219081</v>
      </c>
      <c r="M58" s="88">
        <v>241319</v>
      </c>
      <c r="N58" s="88">
        <v>257256</v>
      </c>
      <c r="O58" s="88">
        <v>284072</v>
      </c>
      <c r="P58" s="88">
        <v>306940</v>
      </c>
      <c r="Q58" s="88">
        <v>333026</v>
      </c>
      <c r="R58" s="88">
        <v>355778</v>
      </c>
      <c r="S58" s="88">
        <v>371109</v>
      </c>
      <c r="T58" s="88">
        <v>385643</v>
      </c>
      <c r="U58" s="88">
        <v>393545</v>
      </c>
      <c r="V58" s="88">
        <v>417541</v>
      </c>
      <c r="W58" s="88">
        <v>425687</v>
      </c>
      <c r="X58" s="88">
        <v>441283</v>
      </c>
      <c r="Y58" s="88">
        <v>450662</v>
      </c>
      <c r="Z58" s="88">
        <v>455709</v>
      </c>
      <c r="AA58" s="88">
        <v>463261</v>
      </c>
      <c r="AB58" s="88">
        <v>472070</v>
      </c>
      <c r="AC58" s="88">
        <v>484455</v>
      </c>
      <c r="AD58" s="88">
        <v>498163</v>
      </c>
      <c r="AE58" s="88">
        <v>510569</v>
      </c>
      <c r="AF58" s="88">
        <v>528776</v>
      </c>
      <c r="AG58" s="88">
        <v>543059</v>
      </c>
      <c r="AH58" s="88">
        <v>567267</v>
      </c>
      <c r="AI58" s="88">
        <v>577393</v>
      </c>
      <c r="AJ58" s="88">
        <v>584205</v>
      </c>
      <c r="AK58" s="88">
        <v>590095</v>
      </c>
      <c r="AL58" s="88">
        <v>593758</v>
      </c>
      <c r="AM58" s="88">
        <v>601120</v>
      </c>
      <c r="AN58" s="88">
        <v>605176</v>
      </c>
      <c r="AO58" s="88">
        <v>610053</v>
      </c>
      <c r="AP58" s="88">
        <v>615350</v>
      </c>
      <c r="AQ58" s="88">
        <v>619913</v>
      </c>
      <c r="AR58" s="88">
        <v>625208</v>
      </c>
      <c r="AS58" s="88">
        <v>627974</v>
      </c>
      <c r="AT58" s="88">
        <v>635901</v>
      </c>
      <c r="AU58" s="88">
        <v>639574</v>
      </c>
      <c r="AV58" s="88">
        <v>643651</v>
      </c>
      <c r="AW58" s="88">
        <v>646034</v>
      </c>
      <c r="AX58" s="88">
        <v>646156</v>
      </c>
      <c r="AY58" s="88">
        <v>647281</v>
      </c>
      <c r="AZ58" s="88">
        <v>648443</v>
      </c>
      <c r="BA58" s="88">
        <v>650100</v>
      </c>
      <c r="BB58" s="88">
        <v>652065</v>
      </c>
      <c r="BC58" s="88">
        <v>653487</v>
      </c>
      <c r="BD58" s="88">
        <v>666059</v>
      </c>
      <c r="BE58" s="88">
        <v>669105</v>
      </c>
      <c r="BF58" s="88">
        <v>678515</v>
      </c>
      <c r="BG58" s="88">
        <v>682989</v>
      </c>
      <c r="BH58" s="88">
        <v>684806</v>
      </c>
      <c r="BI58" s="88">
        <v>684069</v>
      </c>
      <c r="BJ58" s="88">
        <v>683465</v>
      </c>
      <c r="BK58" s="148">
        <v>681301</v>
      </c>
      <c r="BL58" s="208">
        <f>(Tableau6[[#This Row],[mars-20]]-Tableau6[[#This Row],[dec-19]])/Tableau6[[#This Row],[dec-19]]</f>
        <v>-3.1662191919118025E-3</v>
      </c>
      <c r="BM58" s="211">
        <f>Tableau6[[#This Row],[mars-20]]-Tableau6[[#This Row],[dec-19]]</f>
        <v>-2164</v>
      </c>
      <c r="BN58" s="2">
        <v>689114</v>
      </c>
      <c r="BO58" s="242">
        <v>691197</v>
      </c>
      <c r="BP58" s="242">
        <v>700972</v>
      </c>
      <c r="BQ58" s="2">
        <v>704822</v>
      </c>
      <c r="BR58" s="2">
        <v>706522</v>
      </c>
      <c r="BS58" s="242">
        <v>714900</v>
      </c>
      <c r="BT58" s="242">
        <v>713821</v>
      </c>
      <c r="BU58" s="242">
        <v>716667</v>
      </c>
      <c r="BV58" s="242">
        <v>716276</v>
      </c>
      <c r="BW58" s="242">
        <v>716410</v>
      </c>
      <c r="BX58" s="242"/>
      <c r="BY58" s="554">
        <f>(Tableau6[[#This Row],[juin-24]]-Tableau6[[#This Row],[avr-24]])/Tableau6[[#This Row],[avr-24]]</f>
        <v>1.870787238438814E-4</v>
      </c>
      <c r="BZ58" s="548">
        <f>Tableau6[[#This Row],[juin-24]]-Tableau6[[#This Row],[avr-24]]</f>
        <v>134</v>
      </c>
    </row>
    <row r="59" spans="1:78" ht="16.5" x14ac:dyDescent="0.3">
      <c r="A59" s="122"/>
      <c r="B59" s="55" t="s">
        <v>167</v>
      </c>
      <c r="C59" s="54" t="s">
        <v>55</v>
      </c>
      <c r="D59" s="88">
        <v>6489</v>
      </c>
      <c r="E59" s="88">
        <v>6756</v>
      </c>
      <c r="F59" s="88">
        <v>7189</v>
      </c>
      <c r="G59" s="88">
        <v>7463</v>
      </c>
      <c r="H59" s="88">
        <v>7775</v>
      </c>
      <c r="I59" s="88">
        <v>8140</v>
      </c>
      <c r="J59" s="88">
        <v>9506</v>
      </c>
      <c r="K59" s="88">
        <v>9880</v>
      </c>
      <c r="L59" s="88">
        <v>9995</v>
      </c>
      <c r="M59" s="88">
        <v>10133</v>
      </c>
      <c r="N59" s="88">
        <v>10235</v>
      </c>
      <c r="O59" s="88">
        <v>10407</v>
      </c>
      <c r="P59" s="88">
        <v>10664</v>
      </c>
      <c r="Q59" s="88">
        <v>10871</v>
      </c>
      <c r="R59" s="88">
        <v>11193</v>
      </c>
      <c r="S59" s="88">
        <v>11710</v>
      </c>
      <c r="T59" s="88">
        <v>12219</v>
      </c>
      <c r="U59" s="88">
        <v>12643</v>
      </c>
      <c r="V59" s="88">
        <v>14368</v>
      </c>
      <c r="W59" s="88">
        <v>14804</v>
      </c>
      <c r="X59" s="88">
        <v>15326</v>
      </c>
      <c r="Y59" s="88">
        <v>15619</v>
      </c>
      <c r="Z59" s="88">
        <v>15979</v>
      </c>
      <c r="AA59" s="88">
        <v>16448</v>
      </c>
      <c r="AB59" s="88">
        <v>18178</v>
      </c>
      <c r="AC59" s="88">
        <v>19159</v>
      </c>
      <c r="AD59" s="88">
        <v>19896</v>
      </c>
      <c r="AE59" s="88">
        <v>21095</v>
      </c>
      <c r="AF59" s="88">
        <v>21281</v>
      </c>
      <c r="AG59" s="88">
        <v>22022</v>
      </c>
      <c r="AH59" s="88">
        <v>24229</v>
      </c>
      <c r="AI59" s="88">
        <v>25818</v>
      </c>
      <c r="AJ59" s="88">
        <v>26369</v>
      </c>
      <c r="AK59" s="88">
        <v>26725</v>
      </c>
      <c r="AL59" s="88">
        <v>26917</v>
      </c>
      <c r="AM59" s="88">
        <v>28438</v>
      </c>
      <c r="AN59" s="88">
        <v>28828</v>
      </c>
      <c r="AO59" s="88">
        <v>29161</v>
      </c>
      <c r="AP59" s="88">
        <v>29513</v>
      </c>
      <c r="AQ59" s="88">
        <v>29874</v>
      </c>
      <c r="AR59" s="88">
        <v>29932</v>
      </c>
      <c r="AS59" s="88">
        <v>30200</v>
      </c>
      <c r="AT59" s="88">
        <v>31111</v>
      </c>
      <c r="AU59" s="88">
        <v>31657</v>
      </c>
      <c r="AV59" s="88">
        <v>31791</v>
      </c>
      <c r="AW59" s="88">
        <v>31894</v>
      </c>
      <c r="AX59" s="88">
        <v>31894</v>
      </c>
      <c r="AY59" s="88">
        <v>32047</v>
      </c>
      <c r="AZ59" s="88">
        <v>32528</v>
      </c>
      <c r="BA59" s="88">
        <v>32650</v>
      </c>
      <c r="BB59" s="88">
        <v>33065</v>
      </c>
      <c r="BC59" s="88">
        <v>33413</v>
      </c>
      <c r="BD59" s="88">
        <v>33899</v>
      </c>
      <c r="BE59" s="88">
        <v>34592</v>
      </c>
      <c r="BF59" s="88">
        <v>37282</v>
      </c>
      <c r="BG59" s="88">
        <v>51454</v>
      </c>
      <c r="BH59" s="88">
        <v>53495</v>
      </c>
      <c r="BI59" s="88">
        <v>53958</v>
      </c>
      <c r="BJ59" s="88">
        <v>54800</v>
      </c>
      <c r="BK59" s="148">
        <v>60955</v>
      </c>
      <c r="BL59" s="208">
        <f>(Tableau6[[#This Row],[mars-20]]-Tableau6[[#This Row],[dec-19]])/Tableau6[[#This Row],[dec-19]]</f>
        <v>0.11231751824817518</v>
      </c>
      <c r="BM59" s="211">
        <f>Tableau6[[#This Row],[mars-20]]-Tableau6[[#This Row],[dec-19]]</f>
        <v>6155</v>
      </c>
      <c r="BN59" s="2">
        <v>73106</v>
      </c>
      <c r="BO59" s="242">
        <v>73536</v>
      </c>
      <c r="BP59" s="242">
        <v>82454</v>
      </c>
      <c r="BQ59" s="2">
        <v>85972</v>
      </c>
      <c r="BR59" s="2">
        <v>88056</v>
      </c>
      <c r="BS59" s="242">
        <v>95700</v>
      </c>
      <c r="BT59" s="242">
        <v>93299</v>
      </c>
      <c r="BU59" s="242">
        <v>91259</v>
      </c>
      <c r="BV59" s="242">
        <v>91062</v>
      </c>
      <c r="BW59" s="242">
        <v>91183</v>
      </c>
      <c r="BX59" s="242"/>
      <c r="BY59" s="554">
        <f>(Tableau6[[#This Row],[juin-24]]-Tableau6[[#This Row],[avr-24]])/Tableau6[[#This Row],[avr-24]]</f>
        <v>1.3287650172410007E-3</v>
      </c>
      <c r="BZ59" s="548">
        <f>Tableau6[[#This Row],[juin-24]]-Tableau6[[#This Row],[avr-24]]</f>
        <v>121</v>
      </c>
    </row>
    <row r="60" spans="1:78" ht="16.5" x14ac:dyDescent="0.3">
      <c r="A60" s="122"/>
      <c r="B60" s="55" t="s">
        <v>225</v>
      </c>
      <c r="C60" s="54" t="s">
        <v>54</v>
      </c>
      <c r="D60" s="88">
        <v>97062</v>
      </c>
      <c r="E60" s="88">
        <v>98099</v>
      </c>
      <c r="F60" s="88">
        <v>99920</v>
      </c>
      <c r="G60" s="88">
        <v>101736</v>
      </c>
      <c r="H60" s="88">
        <v>105634</v>
      </c>
      <c r="I60" s="88">
        <v>107484</v>
      </c>
      <c r="J60" s="88">
        <v>114645</v>
      </c>
      <c r="K60" s="88">
        <v>118902</v>
      </c>
      <c r="L60" s="88">
        <v>119953</v>
      </c>
      <c r="M60" s="88">
        <v>121581</v>
      </c>
      <c r="N60" s="88">
        <v>122466</v>
      </c>
      <c r="O60" s="88">
        <v>123824</v>
      </c>
      <c r="P60" s="88">
        <v>125756</v>
      </c>
      <c r="Q60" s="88">
        <v>127209</v>
      </c>
      <c r="R60" s="88">
        <v>129928</v>
      </c>
      <c r="S60" s="88">
        <v>131672</v>
      </c>
      <c r="T60" s="88">
        <v>136500</v>
      </c>
      <c r="U60" s="88">
        <v>137953</v>
      </c>
      <c r="V60" s="88">
        <v>142948</v>
      </c>
      <c r="W60" s="88">
        <v>144381</v>
      </c>
      <c r="X60" s="88">
        <v>147999</v>
      </c>
      <c r="Y60" s="88">
        <v>149865</v>
      </c>
      <c r="Z60" s="88">
        <v>150591</v>
      </c>
      <c r="AA60" s="88">
        <v>151728</v>
      </c>
      <c r="AB60" s="88">
        <v>158159</v>
      </c>
      <c r="AC60" s="88">
        <v>160996</v>
      </c>
      <c r="AD60" s="88">
        <v>163384</v>
      </c>
      <c r="AE60" s="88">
        <v>166382</v>
      </c>
      <c r="AF60" s="88">
        <v>169344</v>
      </c>
      <c r="AG60" s="88">
        <v>172112</v>
      </c>
      <c r="AH60" s="88">
        <v>178699</v>
      </c>
      <c r="AI60" s="88">
        <v>181317</v>
      </c>
      <c r="AJ60" s="88">
        <v>183040</v>
      </c>
      <c r="AK60" s="88">
        <v>183745</v>
      </c>
      <c r="AL60" s="88">
        <v>183992</v>
      </c>
      <c r="AM60" s="88">
        <v>184550</v>
      </c>
      <c r="AN60" s="88">
        <v>185027</v>
      </c>
      <c r="AO60" s="88">
        <v>185289</v>
      </c>
      <c r="AP60" s="88">
        <v>185812</v>
      </c>
      <c r="AQ60" s="88">
        <v>186514</v>
      </c>
      <c r="AR60" s="88">
        <v>189633</v>
      </c>
      <c r="AS60" s="88">
        <v>190246</v>
      </c>
      <c r="AT60" s="88">
        <v>191101</v>
      </c>
      <c r="AU60" s="88">
        <v>191688</v>
      </c>
      <c r="AV60" s="88">
        <v>193051</v>
      </c>
      <c r="AW60" s="88">
        <v>193872</v>
      </c>
      <c r="AX60" s="88">
        <v>193407</v>
      </c>
      <c r="AY60" s="88">
        <v>193587</v>
      </c>
      <c r="AZ60" s="88">
        <v>193995</v>
      </c>
      <c r="BA60" s="88">
        <v>194195</v>
      </c>
      <c r="BB60" s="88">
        <v>194765</v>
      </c>
      <c r="BC60" s="88">
        <v>195588</v>
      </c>
      <c r="BD60" s="88">
        <v>197364</v>
      </c>
      <c r="BE60" s="88">
        <v>198019</v>
      </c>
      <c r="BF60" s="88">
        <v>202357</v>
      </c>
      <c r="BG60" s="88">
        <v>204051</v>
      </c>
      <c r="BH60" s="88">
        <v>204695</v>
      </c>
      <c r="BI60" s="88">
        <v>204911</v>
      </c>
      <c r="BJ60" s="88">
        <v>204823</v>
      </c>
      <c r="BK60" s="148">
        <v>206348</v>
      </c>
      <c r="BL60" s="208">
        <f>(Tableau6[[#This Row],[mars-20]]-Tableau6[[#This Row],[dec-19]])/Tableau6[[#This Row],[dec-19]]</f>
        <v>7.4454529032384059E-3</v>
      </c>
      <c r="BM60" s="211">
        <f>Tableau6[[#This Row],[mars-20]]-Tableau6[[#This Row],[dec-19]]</f>
        <v>1525</v>
      </c>
      <c r="BN60" s="2">
        <v>212777</v>
      </c>
      <c r="BO60" s="242">
        <v>214369</v>
      </c>
      <c r="BP60" s="242">
        <v>219281</v>
      </c>
      <c r="BQ60" s="2">
        <v>220603</v>
      </c>
      <c r="BR60" s="2">
        <v>220899</v>
      </c>
      <c r="BS60" s="242">
        <v>224700</v>
      </c>
      <c r="BT60" s="242">
        <v>222992</v>
      </c>
      <c r="BU60" s="242">
        <v>222176</v>
      </c>
      <c r="BV60" s="242">
        <v>220629</v>
      </c>
      <c r="BW60" s="242">
        <v>220300</v>
      </c>
      <c r="BX60" s="242"/>
      <c r="BY60" s="554">
        <f>(Tableau6[[#This Row],[juin-24]]-Tableau6[[#This Row],[avr-24]])/Tableau6[[#This Row],[avr-24]]</f>
        <v>-1.4911910945523935E-3</v>
      </c>
      <c r="BZ60" s="548">
        <f>Tableau6[[#This Row],[juin-24]]-Tableau6[[#This Row],[avr-24]]</f>
        <v>-329</v>
      </c>
    </row>
    <row r="61" spans="1:78" ht="16.5" x14ac:dyDescent="0.3">
      <c r="A61" s="275"/>
      <c r="B61" s="55" t="s">
        <v>222</v>
      </c>
      <c r="C61" s="54" t="s">
        <v>54</v>
      </c>
      <c r="D61" s="88">
        <v>61005</v>
      </c>
      <c r="E61" s="88">
        <v>62141</v>
      </c>
      <c r="F61" s="88">
        <v>64113</v>
      </c>
      <c r="G61" s="88">
        <v>66361</v>
      </c>
      <c r="H61" s="88">
        <v>68741</v>
      </c>
      <c r="I61" s="88">
        <v>70699</v>
      </c>
      <c r="J61" s="88">
        <v>80415</v>
      </c>
      <c r="K61" s="88">
        <v>85772</v>
      </c>
      <c r="L61" s="88">
        <v>87026</v>
      </c>
      <c r="M61" s="88">
        <v>88747</v>
      </c>
      <c r="N61" s="88">
        <v>89887</v>
      </c>
      <c r="O61" s="88">
        <v>91298</v>
      </c>
      <c r="P61" s="88">
        <v>96077</v>
      </c>
      <c r="Q61" s="88">
        <v>97665</v>
      </c>
      <c r="R61" s="88">
        <v>99894</v>
      </c>
      <c r="S61" s="88">
        <v>101850</v>
      </c>
      <c r="T61" s="88">
        <v>104939</v>
      </c>
      <c r="U61" s="88">
        <v>106405</v>
      </c>
      <c r="V61" s="88">
        <v>112251</v>
      </c>
      <c r="W61" s="88">
        <v>113155</v>
      </c>
      <c r="X61" s="88">
        <v>114281</v>
      </c>
      <c r="Y61" s="88">
        <v>115377</v>
      </c>
      <c r="Z61" s="88">
        <v>116137</v>
      </c>
      <c r="AA61" s="88">
        <v>117767</v>
      </c>
      <c r="AB61" s="88">
        <v>119837</v>
      </c>
      <c r="AC61" s="88">
        <v>120039</v>
      </c>
      <c r="AD61" s="88">
        <v>121268</v>
      </c>
      <c r="AE61" s="88">
        <v>122835</v>
      </c>
      <c r="AF61" s="88">
        <v>127127</v>
      </c>
      <c r="AG61" s="88">
        <v>129434</v>
      </c>
      <c r="AH61" s="88">
        <v>135779</v>
      </c>
      <c r="AI61" s="88">
        <v>137701</v>
      </c>
      <c r="AJ61" s="88">
        <v>139478</v>
      </c>
      <c r="AK61" s="88">
        <v>140010</v>
      </c>
      <c r="AL61" s="88">
        <v>140323</v>
      </c>
      <c r="AM61" s="88">
        <v>140805</v>
      </c>
      <c r="AN61" s="88">
        <v>141071</v>
      </c>
      <c r="AO61" s="88">
        <v>141460</v>
      </c>
      <c r="AP61" s="88">
        <v>142072</v>
      </c>
      <c r="AQ61" s="88">
        <v>142757</v>
      </c>
      <c r="AR61" s="88">
        <v>144223</v>
      </c>
      <c r="AS61" s="88">
        <v>144674</v>
      </c>
      <c r="AT61" s="88">
        <v>147753</v>
      </c>
      <c r="AU61" s="88">
        <v>148357</v>
      </c>
      <c r="AV61" s="88">
        <v>148864</v>
      </c>
      <c r="AW61" s="88">
        <v>149393</v>
      </c>
      <c r="AX61" s="88">
        <v>149178</v>
      </c>
      <c r="AY61" s="88">
        <v>149786</v>
      </c>
      <c r="AZ61" s="88">
        <v>150015</v>
      </c>
      <c r="BA61" s="88">
        <v>150285</v>
      </c>
      <c r="BB61" s="88">
        <v>150730</v>
      </c>
      <c r="BC61" s="88">
        <v>151502</v>
      </c>
      <c r="BD61" s="88">
        <v>153387</v>
      </c>
      <c r="BE61" s="88">
        <v>154261</v>
      </c>
      <c r="BF61" s="88">
        <v>156855</v>
      </c>
      <c r="BG61" s="88">
        <v>157903</v>
      </c>
      <c r="BH61" s="88">
        <v>158344</v>
      </c>
      <c r="BI61" s="88">
        <v>158449</v>
      </c>
      <c r="BJ61" s="88">
        <v>158316</v>
      </c>
      <c r="BK61" s="148">
        <v>158968</v>
      </c>
      <c r="BL61" s="208">
        <f>(Tableau6[[#This Row],[mars-20]]-Tableau6[[#This Row],[dec-19]])/Tableau6[[#This Row],[dec-19]]</f>
        <v>4.1183455873063995E-3</v>
      </c>
      <c r="BM61" s="211">
        <f>Tableau6[[#This Row],[mars-20]]-Tableau6[[#This Row],[dec-19]]</f>
        <v>652</v>
      </c>
      <c r="BN61" s="2">
        <v>165181</v>
      </c>
      <c r="BO61" s="242">
        <v>167699</v>
      </c>
      <c r="BP61" s="242">
        <v>169216</v>
      </c>
      <c r="BQ61" s="2">
        <v>169263</v>
      </c>
      <c r="BR61" s="2">
        <v>169598</v>
      </c>
      <c r="BS61" s="242">
        <v>173000</v>
      </c>
      <c r="BT61" s="242">
        <v>171810</v>
      </c>
      <c r="BU61" s="242">
        <v>171949</v>
      </c>
      <c r="BV61" s="242">
        <v>170774</v>
      </c>
      <c r="BW61" s="242">
        <v>170825</v>
      </c>
      <c r="BX61" s="242"/>
      <c r="BY61" s="554">
        <f>(Tableau6[[#This Row],[juin-24]]-Tableau6[[#This Row],[avr-24]])/Tableau6[[#This Row],[avr-24]]</f>
        <v>2.9864030824364364E-4</v>
      </c>
      <c r="BZ61" s="548">
        <f>Tableau6[[#This Row],[juin-24]]-Tableau6[[#This Row],[avr-24]]</f>
        <v>51</v>
      </c>
    </row>
    <row r="62" spans="1:78" ht="16.5" x14ac:dyDescent="0.3">
      <c r="A62" s="122"/>
      <c r="B62" s="55" t="s">
        <v>166</v>
      </c>
      <c r="C62" s="54" t="s">
        <v>54</v>
      </c>
      <c r="D62" s="88">
        <v>62321</v>
      </c>
      <c r="E62" s="88">
        <v>62998</v>
      </c>
      <c r="F62" s="88">
        <v>64223</v>
      </c>
      <c r="G62" s="88">
        <v>65402</v>
      </c>
      <c r="H62" s="88">
        <v>67082</v>
      </c>
      <c r="I62" s="88">
        <v>68643</v>
      </c>
      <c r="J62" s="88">
        <v>78381</v>
      </c>
      <c r="K62" s="88">
        <v>80347</v>
      </c>
      <c r="L62" s="88">
        <v>80900</v>
      </c>
      <c r="M62" s="88">
        <v>81888</v>
      </c>
      <c r="N62" s="88">
        <v>82669</v>
      </c>
      <c r="O62" s="88">
        <v>83587</v>
      </c>
      <c r="P62" s="88">
        <v>85105</v>
      </c>
      <c r="Q62" s="88">
        <v>86201</v>
      </c>
      <c r="R62" s="88">
        <v>87843</v>
      </c>
      <c r="S62" s="88">
        <v>89690</v>
      </c>
      <c r="T62" s="88">
        <v>94046</v>
      </c>
      <c r="U62" s="88">
        <v>95406</v>
      </c>
      <c r="V62" s="88">
        <v>99480</v>
      </c>
      <c r="W62" s="88">
        <v>100607</v>
      </c>
      <c r="X62" s="88">
        <v>101555</v>
      </c>
      <c r="Y62" s="88">
        <v>103062</v>
      </c>
      <c r="Z62" s="88">
        <v>103821</v>
      </c>
      <c r="AA62" s="88">
        <v>106269</v>
      </c>
      <c r="AB62" s="88">
        <v>108534</v>
      </c>
      <c r="AC62" s="88">
        <v>109188</v>
      </c>
      <c r="AD62" s="88">
        <v>110539</v>
      </c>
      <c r="AE62" s="88">
        <v>112515</v>
      </c>
      <c r="AF62" s="88">
        <v>114624</v>
      </c>
      <c r="AG62" s="88">
        <v>116574</v>
      </c>
      <c r="AH62" s="88">
        <v>120935</v>
      </c>
      <c r="AI62" s="88">
        <v>122625</v>
      </c>
      <c r="AJ62" s="88">
        <v>124107</v>
      </c>
      <c r="AK62" s="88">
        <v>124646</v>
      </c>
      <c r="AL62" s="88">
        <v>124892</v>
      </c>
      <c r="AM62" s="88">
        <v>125471</v>
      </c>
      <c r="AN62" s="88">
        <v>125974</v>
      </c>
      <c r="AO62" s="88">
        <v>126698</v>
      </c>
      <c r="AP62" s="88">
        <v>127646</v>
      </c>
      <c r="AQ62" s="88">
        <v>128744</v>
      </c>
      <c r="AR62" s="88">
        <v>129659</v>
      </c>
      <c r="AS62" s="88">
        <v>130150</v>
      </c>
      <c r="AT62" s="88">
        <v>133146</v>
      </c>
      <c r="AU62" s="88">
        <v>134015</v>
      </c>
      <c r="AV62" s="88">
        <v>134595</v>
      </c>
      <c r="AW62" s="88">
        <v>135174</v>
      </c>
      <c r="AX62" s="88">
        <v>135120</v>
      </c>
      <c r="AY62" s="88">
        <v>135842</v>
      </c>
      <c r="AZ62" s="88">
        <v>135998</v>
      </c>
      <c r="BA62" s="88">
        <v>136460</v>
      </c>
      <c r="BB62" s="88">
        <v>137460</v>
      </c>
      <c r="BC62" s="88">
        <v>138508</v>
      </c>
      <c r="BD62" s="88">
        <v>140923</v>
      </c>
      <c r="BE62" s="88">
        <v>142017</v>
      </c>
      <c r="BF62" s="88">
        <v>151905</v>
      </c>
      <c r="BG62" s="88">
        <v>155705</v>
      </c>
      <c r="BH62" s="88">
        <v>158079</v>
      </c>
      <c r="BI62" s="88">
        <v>159019</v>
      </c>
      <c r="BJ62" s="88">
        <v>159267</v>
      </c>
      <c r="BK62" s="148">
        <v>162886</v>
      </c>
      <c r="BL62" s="208">
        <f>(Tableau6[[#This Row],[mars-20]]-Tableau6[[#This Row],[dec-19]])/Tableau6[[#This Row],[dec-19]]</f>
        <v>2.2722849052220485E-2</v>
      </c>
      <c r="BM62" s="211">
        <f>Tableau6[[#This Row],[mars-20]]-Tableau6[[#This Row],[dec-19]]</f>
        <v>3619</v>
      </c>
      <c r="BN62" s="2">
        <v>186182</v>
      </c>
      <c r="BO62" s="242">
        <v>192457</v>
      </c>
      <c r="BP62" s="242">
        <v>219673</v>
      </c>
      <c r="BQ62" s="2">
        <v>230077</v>
      </c>
      <c r="BR62" s="2">
        <v>233967</v>
      </c>
      <c r="BS62" s="242">
        <v>266100</v>
      </c>
      <c r="BT62" s="242">
        <v>265801</v>
      </c>
      <c r="BU62" s="242">
        <v>306228</v>
      </c>
      <c r="BV62" s="242">
        <v>320859</v>
      </c>
      <c r="BW62" s="242">
        <v>324953</v>
      </c>
      <c r="BX62" s="242"/>
      <c r="BY62" s="554">
        <f>(Tableau6[[#This Row],[juin-24]]-Tableau6[[#This Row],[avr-24]])/Tableau6[[#This Row],[avr-24]]</f>
        <v>1.2759498720621831E-2</v>
      </c>
      <c r="BZ62" s="548">
        <f>Tableau6[[#This Row],[juin-24]]-Tableau6[[#This Row],[avr-24]]</f>
        <v>4094</v>
      </c>
    </row>
    <row r="63" spans="1:78" ht="16.5" x14ac:dyDescent="0.3">
      <c r="A63" s="122"/>
      <c r="B63" s="55" t="s">
        <v>168</v>
      </c>
      <c r="C63" s="54" t="s">
        <v>55</v>
      </c>
      <c r="D63" s="88">
        <v>115149</v>
      </c>
      <c r="E63" s="88">
        <v>125393</v>
      </c>
      <c r="F63" s="88">
        <v>133254</v>
      </c>
      <c r="G63" s="88">
        <v>156898</v>
      </c>
      <c r="H63" s="88">
        <v>175394</v>
      </c>
      <c r="I63" s="88">
        <v>179527</v>
      </c>
      <c r="J63" s="88">
        <v>184310</v>
      </c>
      <c r="K63" s="88">
        <v>193875</v>
      </c>
      <c r="L63" s="88">
        <v>194257</v>
      </c>
      <c r="M63" s="88">
        <v>196525</v>
      </c>
      <c r="N63" s="88">
        <v>198482</v>
      </c>
      <c r="O63" s="88">
        <v>198670</v>
      </c>
      <c r="P63" s="88">
        <v>201094</v>
      </c>
      <c r="Q63" s="88">
        <v>204789</v>
      </c>
      <c r="R63" s="88">
        <v>209943</v>
      </c>
      <c r="S63" s="88">
        <v>210614</v>
      </c>
      <c r="T63" s="88">
        <v>213678</v>
      </c>
      <c r="U63" s="88">
        <v>213272</v>
      </c>
      <c r="V63" s="88">
        <v>227288</v>
      </c>
      <c r="W63" s="88">
        <v>230697</v>
      </c>
      <c r="X63" s="88">
        <v>242986</v>
      </c>
      <c r="Y63" s="88">
        <v>258297</v>
      </c>
      <c r="Z63" s="88">
        <v>267494</v>
      </c>
      <c r="AA63" s="88">
        <v>268760</v>
      </c>
      <c r="AB63" s="88">
        <v>274175</v>
      </c>
      <c r="AC63" s="88">
        <v>279348</v>
      </c>
      <c r="AD63" s="88">
        <v>284162</v>
      </c>
      <c r="AE63" s="88">
        <v>284194</v>
      </c>
      <c r="AF63" s="88">
        <v>286999</v>
      </c>
      <c r="AG63" s="88">
        <v>289211</v>
      </c>
      <c r="AH63" s="88">
        <v>294082</v>
      </c>
      <c r="AI63" s="88">
        <v>293536</v>
      </c>
      <c r="AJ63" s="88">
        <v>295288</v>
      </c>
      <c r="AK63" s="88">
        <v>295941</v>
      </c>
      <c r="AL63" s="88">
        <v>296208</v>
      </c>
      <c r="AM63" s="88">
        <v>295349</v>
      </c>
      <c r="AN63" s="88">
        <v>294795</v>
      </c>
      <c r="AO63" s="88">
        <v>296185</v>
      </c>
      <c r="AP63" s="88">
        <v>295351</v>
      </c>
      <c r="AQ63" s="88">
        <v>295065</v>
      </c>
      <c r="AR63" s="88">
        <v>294170</v>
      </c>
      <c r="AS63" s="88">
        <v>293476</v>
      </c>
      <c r="AT63" s="88">
        <v>286498</v>
      </c>
      <c r="AU63" s="88">
        <v>285702</v>
      </c>
      <c r="AV63" s="88">
        <v>285113</v>
      </c>
      <c r="AW63" s="88">
        <v>286124</v>
      </c>
      <c r="AX63" s="88">
        <v>283370</v>
      </c>
      <c r="AY63" s="88">
        <v>282653</v>
      </c>
      <c r="AZ63" s="88">
        <v>282343</v>
      </c>
      <c r="BA63" s="88">
        <v>282795</v>
      </c>
      <c r="BB63" s="88">
        <v>282305</v>
      </c>
      <c r="BC63" s="88">
        <v>281788</v>
      </c>
      <c r="BD63" s="88">
        <v>281453</v>
      </c>
      <c r="BE63" s="88">
        <v>280935</v>
      </c>
      <c r="BF63" s="88">
        <v>281091</v>
      </c>
      <c r="BG63" s="88">
        <v>280455</v>
      </c>
      <c r="BH63" s="88">
        <v>279900</v>
      </c>
      <c r="BI63" s="88">
        <v>279403</v>
      </c>
      <c r="BJ63" s="88">
        <v>278792</v>
      </c>
      <c r="BK63" s="148">
        <v>277179</v>
      </c>
      <c r="BL63" s="208">
        <f>(Tableau6[[#This Row],[mars-20]]-Tableau6[[#This Row],[dec-19]])/Tableau6[[#This Row],[dec-19]]</f>
        <v>-5.7856753421905941E-3</v>
      </c>
      <c r="BM63" s="211">
        <f>Tableau6[[#This Row],[mars-20]]-Tableau6[[#This Row],[dec-19]]</f>
        <v>-1613</v>
      </c>
      <c r="BN63" s="2">
        <v>272100</v>
      </c>
      <c r="BO63" s="242">
        <v>271549</v>
      </c>
      <c r="BP63" s="242">
        <v>265723</v>
      </c>
      <c r="BQ63" s="2">
        <v>264008</v>
      </c>
      <c r="BR63" s="2">
        <v>263579</v>
      </c>
      <c r="BS63" s="242">
        <v>260700</v>
      </c>
      <c r="BT63" s="242">
        <v>259608</v>
      </c>
      <c r="BU63" s="242">
        <v>254800</v>
      </c>
      <c r="BV63" s="242">
        <v>253425</v>
      </c>
      <c r="BW63" s="242">
        <v>252813</v>
      </c>
      <c r="BX63" s="242"/>
      <c r="BY63" s="554">
        <f>(Tableau6[[#This Row],[juin-24]]-Tableau6[[#This Row],[avr-24]])/Tableau6[[#This Row],[avr-24]]</f>
        <v>-2.4149156555193846E-3</v>
      </c>
      <c r="BZ63" s="548">
        <f>Tableau6[[#This Row],[juin-24]]-Tableau6[[#This Row],[avr-24]]</f>
        <v>-612</v>
      </c>
    </row>
    <row r="64" spans="1:78" ht="16.5" x14ac:dyDescent="0.3">
      <c r="A64" s="122"/>
      <c r="B64" s="55" t="s">
        <v>223</v>
      </c>
      <c r="C64" s="54" t="s">
        <v>55</v>
      </c>
      <c r="D64" s="91">
        <f>29211+9191</f>
        <v>38402</v>
      </c>
      <c r="E64" s="91">
        <f>29845+9360</f>
        <v>39205</v>
      </c>
      <c r="F64" s="91">
        <f>30973+9658</f>
        <v>40631</v>
      </c>
      <c r="G64" s="91">
        <f>31826+9849</f>
        <v>41675</v>
      </c>
      <c r="H64" s="91">
        <f>32966+10088</f>
        <v>43054</v>
      </c>
      <c r="I64" s="91">
        <f>34183+10274</f>
        <v>44457</v>
      </c>
      <c r="J64" s="91">
        <f>38705+10816</f>
        <v>49521</v>
      </c>
      <c r="K64" s="91">
        <f>40427+11155</f>
        <v>51582</v>
      </c>
      <c r="L64" s="91">
        <f>40819+11193</f>
        <v>52012</v>
      </c>
      <c r="M64" s="91">
        <f>41121+11163</f>
        <v>52284</v>
      </c>
      <c r="N64" s="91">
        <v>52518</v>
      </c>
      <c r="O64" s="91">
        <v>52801</v>
      </c>
      <c r="P64" s="91">
        <f>42578</f>
        <v>42578</v>
      </c>
      <c r="Q64" s="91">
        <v>43255</v>
      </c>
      <c r="R64" s="91">
        <v>44272</v>
      </c>
      <c r="S64" s="91">
        <v>45190</v>
      </c>
      <c r="T64" s="91">
        <v>46528</v>
      </c>
      <c r="U64" s="91">
        <v>47425</v>
      </c>
      <c r="V64" s="91">
        <v>51185</v>
      </c>
      <c r="W64" s="91">
        <v>51958</v>
      </c>
      <c r="X64" s="91">
        <v>53043</v>
      </c>
      <c r="Y64" s="91">
        <v>53562</v>
      </c>
      <c r="Z64" s="91">
        <v>54069</v>
      </c>
      <c r="AA64" s="91">
        <v>54626</v>
      </c>
      <c r="AB64" s="91">
        <v>55977</v>
      </c>
      <c r="AC64" s="91">
        <v>58469</v>
      </c>
      <c r="AD64" s="91">
        <v>59177</v>
      </c>
      <c r="AE64" s="91">
        <v>60170</v>
      </c>
      <c r="AF64" s="91">
        <v>60924</v>
      </c>
      <c r="AG64" s="91">
        <v>62150</v>
      </c>
      <c r="AH64" s="91">
        <v>66129</v>
      </c>
      <c r="AI64" s="91">
        <v>67448</v>
      </c>
      <c r="AJ64" s="91">
        <v>68206</v>
      </c>
      <c r="AK64" s="91">
        <v>68660</v>
      </c>
      <c r="AL64" s="91">
        <v>68805</v>
      </c>
      <c r="AM64" s="91">
        <v>69305</v>
      </c>
      <c r="AN64" s="91">
        <v>69702</v>
      </c>
      <c r="AO64" s="91">
        <v>70139</v>
      </c>
      <c r="AP64" s="91">
        <v>70742</v>
      </c>
      <c r="AQ64" s="91">
        <v>71225</v>
      </c>
      <c r="AR64" s="91">
        <v>71192</v>
      </c>
      <c r="AS64" s="91">
        <v>71428</v>
      </c>
      <c r="AT64" s="91">
        <v>72068</v>
      </c>
      <c r="AU64" s="91">
        <v>72689</v>
      </c>
      <c r="AV64" s="91">
        <v>72848</v>
      </c>
      <c r="AW64" s="91">
        <v>73165</v>
      </c>
      <c r="AX64" s="91">
        <v>72905</v>
      </c>
      <c r="AY64" s="91">
        <v>73052</v>
      </c>
      <c r="AZ64" s="91">
        <v>73228</v>
      </c>
      <c r="BA64" s="91">
        <v>73356</v>
      </c>
      <c r="BB64" s="91">
        <v>73830</v>
      </c>
      <c r="BC64" s="91">
        <v>74778</v>
      </c>
      <c r="BD64" s="91">
        <v>75252</v>
      </c>
      <c r="BE64" s="91">
        <v>75550</v>
      </c>
      <c r="BF64" s="91">
        <v>77145</v>
      </c>
      <c r="BG64" s="91">
        <v>77824</v>
      </c>
      <c r="BH64" s="91">
        <v>77992</v>
      </c>
      <c r="BI64" s="91">
        <v>78082</v>
      </c>
      <c r="BJ64" s="91">
        <v>78075</v>
      </c>
      <c r="BK64" s="148">
        <v>78963</v>
      </c>
      <c r="BL64" s="208">
        <f>(Tableau6[[#This Row],[mars-20]]-Tableau6[[#This Row],[dec-19]])/Tableau6[[#This Row],[dec-19]]</f>
        <v>1.1373679154658981E-2</v>
      </c>
      <c r="BM64" s="211">
        <f>Tableau6[[#This Row],[mars-20]]-Tableau6[[#This Row],[dec-19]]</f>
        <v>888</v>
      </c>
      <c r="BN64" s="2">
        <v>82450</v>
      </c>
      <c r="BO64" s="242">
        <v>83292</v>
      </c>
      <c r="BP64" s="242">
        <v>89428</v>
      </c>
      <c r="BQ64" s="2">
        <v>95183</v>
      </c>
      <c r="BR64" s="2">
        <v>96838</v>
      </c>
      <c r="BS64" s="242">
        <v>104800</v>
      </c>
      <c r="BT64" s="242">
        <v>104495</v>
      </c>
      <c r="BU64" s="242">
        <v>110278</v>
      </c>
      <c r="BV64" s="242">
        <v>110540</v>
      </c>
      <c r="BW64" s="242">
        <v>110788</v>
      </c>
      <c r="BX64" s="242"/>
      <c r="BY64" s="554">
        <f>(Tableau6[[#This Row],[juin-24]]-Tableau6[[#This Row],[avr-24]])/Tableau6[[#This Row],[avr-24]]</f>
        <v>2.2435317532115071E-3</v>
      </c>
      <c r="BZ64" s="548">
        <f>Tableau6[[#This Row],[juin-24]]-Tableau6[[#This Row],[avr-24]]</f>
        <v>248</v>
      </c>
    </row>
    <row r="65" spans="1:78" ht="16.5" x14ac:dyDescent="0.3">
      <c r="A65" s="122"/>
      <c r="B65" s="120" t="s">
        <v>169</v>
      </c>
      <c r="C65" s="54" t="s">
        <v>54</v>
      </c>
      <c r="D65" s="88">
        <v>138641</v>
      </c>
      <c r="E65" s="88">
        <v>139840</v>
      </c>
      <c r="F65" s="88">
        <v>142211</v>
      </c>
      <c r="G65" s="88">
        <v>147026</v>
      </c>
      <c r="H65" s="88">
        <v>149779</v>
      </c>
      <c r="I65" s="88">
        <v>151605</v>
      </c>
      <c r="J65" s="88">
        <v>158379</v>
      </c>
      <c r="K65" s="88">
        <v>161109</v>
      </c>
      <c r="L65" s="88">
        <v>162124</v>
      </c>
      <c r="M65" s="88">
        <v>164116</v>
      </c>
      <c r="N65" s="88">
        <v>165451</v>
      </c>
      <c r="O65" s="88">
        <v>166952</v>
      </c>
      <c r="P65" s="88">
        <v>168306</v>
      </c>
      <c r="Q65" s="88">
        <v>169554</v>
      </c>
      <c r="R65" s="88">
        <v>171721</v>
      </c>
      <c r="S65" s="88">
        <v>173448</v>
      </c>
      <c r="T65" s="88">
        <v>174697</v>
      </c>
      <c r="U65" s="88">
        <v>175935</v>
      </c>
      <c r="V65" s="88">
        <v>179555</v>
      </c>
      <c r="W65" s="88">
        <v>180295</v>
      </c>
      <c r="X65" s="88">
        <v>182059</v>
      </c>
      <c r="Y65" s="88">
        <v>183040</v>
      </c>
      <c r="Z65" s="88">
        <v>183354</v>
      </c>
      <c r="AA65" s="88">
        <v>183940</v>
      </c>
      <c r="AB65" s="88">
        <v>185265</v>
      </c>
      <c r="AC65" s="88">
        <v>188144</v>
      </c>
      <c r="AD65" s="88">
        <v>189905</v>
      </c>
      <c r="AE65" s="88">
        <v>191276</v>
      </c>
      <c r="AF65" s="88">
        <v>192715</v>
      </c>
      <c r="AG65" s="88">
        <v>194829</v>
      </c>
      <c r="AH65" s="88">
        <v>200223</v>
      </c>
      <c r="AI65" s="88">
        <v>201700</v>
      </c>
      <c r="AJ65" s="88">
        <v>202989</v>
      </c>
      <c r="AK65" s="88">
        <v>203161</v>
      </c>
      <c r="AL65" s="88">
        <v>203192</v>
      </c>
      <c r="AM65" s="88">
        <v>203374</v>
      </c>
      <c r="AN65" s="88">
        <v>203748</v>
      </c>
      <c r="AO65" s="88">
        <v>203813</v>
      </c>
      <c r="AP65" s="88">
        <v>204005</v>
      </c>
      <c r="AQ65" s="88">
        <v>204429</v>
      </c>
      <c r="AR65" s="88">
        <v>204598</v>
      </c>
      <c r="AS65" s="88">
        <v>204711</v>
      </c>
      <c r="AT65" s="88">
        <v>204113</v>
      </c>
      <c r="AU65" s="88">
        <v>204330</v>
      </c>
      <c r="AV65" s="88">
        <v>204551</v>
      </c>
      <c r="AW65" s="88">
        <v>205758</v>
      </c>
      <c r="AX65" s="88">
        <v>204745</v>
      </c>
      <c r="AY65" s="88">
        <v>205052</v>
      </c>
      <c r="AZ65" s="88">
        <v>205168</v>
      </c>
      <c r="BA65" s="88">
        <v>205200</v>
      </c>
      <c r="BB65" s="88">
        <v>205485</v>
      </c>
      <c r="BC65" s="88">
        <v>205995</v>
      </c>
      <c r="BD65" s="88">
        <v>206760</v>
      </c>
      <c r="BE65" s="88">
        <v>207491</v>
      </c>
      <c r="BF65" s="88">
        <v>209861</v>
      </c>
      <c r="BG65" s="88">
        <v>210704</v>
      </c>
      <c r="BH65" s="88">
        <v>211265</v>
      </c>
      <c r="BI65" s="88">
        <v>211609</v>
      </c>
      <c r="BJ65" s="88">
        <v>211428</v>
      </c>
      <c r="BK65" s="148">
        <v>212561</v>
      </c>
      <c r="BL65" s="208">
        <f>(Tableau6[[#This Row],[mars-20]]-Tableau6[[#This Row],[dec-19]])/Tableau6[[#This Row],[dec-19]]</f>
        <v>5.3587982670223432E-3</v>
      </c>
      <c r="BM65" s="211">
        <f>Tableau6[[#This Row],[mars-20]]-Tableau6[[#This Row],[dec-19]]</f>
        <v>1133</v>
      </c>
      <c r="BN65" s="2">
        <v>215892</v>
      </c>
      <c r="BO65" s="242">
        <v>217841</v>
      </c>
      <c r="BP65" s="281">
        <v>224873</v>
      </c>
      <c r="BQ65" s="212">
        <v>230909</v>
      </c>
      <c r="BR65" s="212">
        <v>233759</v>
      </c>
      <c r="BS65" s="281">
        <v>245900</v>
      </c>
      <c r="BT65" s="281">
        <v>245105</v>
      </c>
      <c r="BU65" s="281">
        <v>257100</v>
      </c>
      <c r="BV65" s="281">
        <v>263951</v>
      </c>
      <c r="BW65" s="281">
        <v>266213</v>
      </c>
      <c r="BX65" s="281"/>
      <c r="BY65" s="554">
        <f>(Tableau6[[#This Row],[juin-24]]-Tableau6[[#This Row],[avr-24]])/Tableau6[[#This Row],[avr-24]]</f>
        <v>8.5697724198809631E-3</v>
      </c>
      <c r="BZ65" s="548">
        <f>Tableau6[[#This Row],[juin-24]]-Tableau6[[#This Row],[avr-24]]</f>
        <v>2262</v>
      </c>
    </row>
    <row r="66" spans="1:78" ht="16.5" x14ac:dyDescent="0.3">
      <c r="A66" s="275"/>
      <c r="B66" s="55" t="s">
        <v>176</v>
      </c>
      <c r="C66" s="54" t="s">
        <v>54</v>
      </c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148"/>
      <c r="BL66" s="208"/>
      <c r="BM66" s="211">
        <f>Tableau6[[#This Row],[mars-20]]-Tableau6[[#This Row],[dec-19]]</f>
        <v>0</v>
      </c>
      <c r="BN66" s="2"/>
      <c r="BO66" s="242">
        <v>37995</v>
      </c>
      <c r="BP66" s="2">
        <v>52700</v>
      </c>
      <c r="BQ66" s="2">
        <v>57721</v>
      </c>
      <c r="BR66" s="2">
        <v>60045</v>
      </c>
      <c r="BS66" s="242">
        <v>73900</v>
      </c>
      <c r="BT66" s="242">
        <v>74929</v>
      </c>
      <c r="BU66" s="242">
        <v>94339</v>
      </c>
      <c r="BV66" s="242">
        <v>101569</v>
      </c>
      <c r="BW66" s="242">
        <v>105172</v>
      </c>
      <c r="BX66" s="242"/>
      <c r="BY66" s="554">
        <f>(Tableau6[[#This Row],[juin-24]]-Tableau6[[#This Row],[avr-24]])/Tableau6[[#This Row],[avr-24]]</f>
        <v>3.5473422008683753E-2</v>
      </c>
      <c r="BZ66" s="548">
        <f>Tableau6[[#This Row],[juin-24]]-Tableau6[[#This Row],[avr-24]]</f>
        <v>3603</v>
      </c>
    </row>
    <row r="67" spans="1:78" ht="16.5" x14ac:dyDescent="0.3">
      <c r="A67" s="122"/>
      <c r="B67" s="121" t="s">
        <v>246</v>
      </c>
      <c r="C67" s="54" t="s">
        <v>55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179"/>
      <c r="BL67" s="208"/>
      <c r="BM67" s="210">
        <f>Tableau6[[#This Row],[mars-20]]-Tableau6[[#This Row],[dec-19]]</f>
        <v>0</v>
      </c>
      <c r="BN67" s="2"/>
      <c r="BO67" s="2"/>
      <c r="BP67" s="2"/>
      <c r="BQ67" s="2">
        <v>14359</v>
      </c>
      <c r="BR67" s="2">
        <v>14526</v>
      </c>
      <c r="BS67" s="242">
        <v>14900</v>
      </c>
      <c r="BT67" s="242">
        <v>15020</v>
      </c>
      <c r="BU67" s="242">
        <v>16100</v>
      </c>
      <c r="BV67" s="242">
        <v>16406</v>
      </c>
      <c r="BW67" s="242">
        <v>16476</v>
      </c>
      <c r="BX67" s="242"/>
      <c r="BY67" s="554">
        <f>(Tableau6[[#This Row],[juin-24]]-Tableau6[[#This Row],[avr-24]])/Tableau6[[#This Row],[avr-24]]</f>
        <v>4.2667316835304156E-3</v>
      </c>
      <c r="BZ67" s="548">
        <f>Tableau6[[#This Row],[juin-24]]-Tableau6[[#This Row],[avr-24]]</f>
        <v>70</v>
      </c>
    </row>
    <row r="68" spans="1:78" ht="16.5" x14ac:dyDescent="0.3">
      <c r="A68" s="122"/>
      <c r="B68" s="121" t="s">
        <v>247</v>
      </c>
      <c r="C68" s="54" t="s">
        <v>55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179"/>
      <c r="BL68" s="208"/>
      <c r="BM68" s="210">
        <f>Tableau6[[#This Row],[mars-20]]-Tableau6[[#This Row],[dec-19]]</f>
        <v>0</v>
      </c>
      <c r="BN68" s="2"/>
      <c r="BO68" s="2"/>
      <c r="BP68" s="2"/>
      <c r="BQ68" s="2">
        <v>8474</v>
      </c>
      <c r="BR68" s="2">
        <v>9003</v>
      </c>
      <c r="BS68" s="242">
        <v>10400</v>
      </c>
      <c r="BT68" s="242">
        <v>10746</v>
      </c>
      <c r="BU68" s="242">
        <v>12000</v>
      </c>
      <c r="BV68" s="242">
        <v>12305</v>
      </c>
      <c r="BW68" s="242">
        <v>12316</v>
      </c>
      <c r="BX68" s="242"/>
      <c r="BY68" s="554">
        <f>(Tableau6[[#This Row],[juin-24]]-Tableau6[[#This Row],[avr-24]])/Tableau6[[#This Row],[avr-24]]</f>
        <v>8.9394555058919137E-4</v>
      </c>
      <c r="BZ68" s="548">
        <f>Tableau6[[#This Row],[juin-24]]-Tableau6[[#This Row],[avr-24]]</f>
        <v>11</v>
      </c>
    </row>
    <row r="69" spans="1:78" ht="16.5" x14ac:dyDescent="0.3">
      <c r="A69" s="122"/>
      <c r="B69" s="121" t="s">
        <v>243</v>
      </c>
      <c r="C69" s="54" t="s">
        <v>55</v>
      </c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179"/>
      <c r="BL69" s="208"/>
      <c r="BM69" s="210">
        <f>Tableau6[[#This Row],[mars-20]]-Tableau6[[#This Row],[dec-19]]</f>
        <v>0</v>
      </c>
      <c r="BN69" s="2"/>
      <c r="BO69" s="2"/>
      <c r="BP69" s="2"/>
      <c r="BQ69" s="2">
        <v>18545</v>
      </c>
      <c r="BR69" s="2">
        <v>18826</v>
      </c>
      <c r="BS69" s="242">
        <v>19000</v>
      </c>
      <c r="BT69" s="242">
        <v>18980</v>
      </c>
      <c r="BU69" s="242">
        <v>19100</v>
      </c>
      <c r="BV69" s="242">
        <v>19188</v>
      </c>
      <c r="BW69" s="242">
        <v>19039</v>
      </c>
      <c r="BX69" s="242"/>
      <c r="BY69" s="554">
        <f>(Tableau6[[#This Row],[juin-24]]-Tableau6[[#This Row],[avr-24]])/Tableau6[[#This Row],[avr-24]]</f>
        <v>-7.7652699603919118E-3</v>
      </c>
      <c r="BZ69" s="548">
        <f>Tableau6[[#This Row],[juin-24]]-Tableau6[[#This Row],[avr-24]]</f>
        <v>-149</v>
      </c>
    </row>
    <row r="70" spans="1:78" ht="16.5" x14ac:dyDescent="0.3">
      <c r="A70" s="293"/>
      <c r="B70" s="291" t="s">
        <v>244</v>
      </c>
      <c r="C70" s="54" t="s">
        <v>55</v>
      </c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  <c r="AO70" s="294"/>
      <c r="AP70" s="294"/>
      <c r="AQ70" s="294"/>
      <c r="AR70" s="294"/>
      <c r="AS70" s="294"/>
      <c r="AT70" s="294"/>
      <c r="AU70" s="294"/>
      <c r="AV70" s="294"/>
      <c r="AW70" s="294"/>
      <c r="AX70" s="294"/>
      <c r="AY70" s="294"/>
      <c r="AZ70" s="294"/>
      <c r="BA70" s="294"/>
      <c r="BB70" s="294"/>
      <c r="BC70" s="294"/>
      <c r="BD70" s="294"/>
      <c r="BE70" s="294"/>
      <c r="BF70" s="294"/>
      <c r="BG70" s="294"/>
      <c r="BH70" s="294"/>
      <c r="BI70" s="294"/>
      <c r="BJ70" s="294"/>
      <c r="BK70" s="209"/>
      <c r="BL70" s="208"/>
      <c r="BM70" s="295">
        <f>Tableau6[[#This Row],[mars-20]]-Tableau6[[#This Row],[dec-19]]</f>
        <v>0</v>
      </c>
      <c r="BN70" s="2"/>
      <c r="BO70" s="2"/>
      <c r="BP70" s="2"/>
      <c r="BQ70" s="2">
        <v>6916</v>
      </c>
      <c r="BR70" s="2">
        <v>7224</v>
      </c>
      <c r="BS70" s="242">
        <v>8146</v>
      </c>
      <c r="BT70" s="242">
        <v>8196</v>
      </c>
      <c r="BU70" s="242">
        <v>14200</v>
      </c>
      <c r="BV70" s="242">
        <v>15228</v>
      </c>
      <c r="BW70" s="242">
        <v>15668</v>
      </c>
      <c r="BX70" s="242"/>
      <c r="BY70" s="554">
        <f>(Tableau6[[#This Row],[juin-24]]-Tableau6[[#This Row],[avr-24]])/Tableau6[[#This Row],[avr-24]]</f>
        <v>2.8894142369319673E-2</v>
      </c>
      <c r="BZ70" s="548">
        <f>Tableau6[[#This Row],[juin-24]]-Tableau6[[#This Row],[avr-24]]</f>
        <v>440</v>
      </c>
    </row>
    <row r="71" spans="1:78" ht="16.5" x14ac:dyDescent="0.3">
      <c r="A71" s="504"/>
      <c r="B71" s="504" t="s">
        <v>289</v>
      </c>
      <c r="C71" s="254"/>
      <c r="D71" s="505"/>
      <c r="E71" s="505"/>
      <c r="F71" s="505"/>
      <c r="G71" s="505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505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179"/>
      <c r="BL71" s="179" t="e">
        <f>(Tableau6[[#This Row],[mars-20]]-Tableau6[[#This Row],[dec-19]])/Tableau6[[#This Row],[dec-19]]</f>
        <v>#DIV/0!</v>
      </c>
      <c r="BM71" s="292">
        <f>Tableau6[[#This Row],[mars-20]]-Tableau6[[#This Row],[dec-19]]</f>
        <v>0</v>
      </c>
      <c r="BN71" s="2"/>
      <c r="BO71" s="242"/>
      <c r="BP71" s="242"/>
      <c r="BQ71" s="242"/>
      <c r="BR71" s="242"/>
      <c r="BS71" s="242">
        <v>12000</v>
      </c>
      <c r="BT71" s="516">
        <v>11999</v>
      </c>
      <c r="BU71" s="242">
        <v>11600</v>
      </c>
      <c r="BV71" s="242">
        <v>11516</v>
      </c>
      <c r="BW71" s="242">
        <v>11482</v>
      </c>
      <c r="BX71" s="516"/>
      <c r="BY71" s="554">
        <f>(Tableau6[[#This Row],[juin-24]]-Tableau6[[#This Row],[avr-24]])/Tableau6[[#This Row],[avr-24]]</f>
        <v>-2.9524140326502258E-3</v>
      </c>
      <c r="BZ71" s="548">
        <f>Tableau6[[#This Row],[juin-24]]-Tableau6[[#This Row],[avr-24]]</f>
        <v>-34</v>
      </c>
    </row>
    <row r="72" spans="1:78" ht="16.5" x14ac:dyDescent="0.3">
      <c r="A72" s="504"/>
      <c r="B72" s="121" t="s">
        <v>290</v>
      </c>
      <c r="C72" s="254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  <c r="AF72" s="505"/>
      <c r="AG72" s="505"/>
      <c r="AH72" s="505"/>
      <c r="AI72" s="505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179"/>
      <c r="BL72" s="179" t="e">
        <f>(Tableau6[[#This Row],[mars-20]]-Tableau6[[#This Row],[dec-19]])/Tableau6[[#This Row],[dec-19]]</f>
        <v>#DIV/0!</v>
      </c>
      <c r="BM72" s="292">
        <f>Tableau6[[#This Row],[mars-20]]-Tableau6[[#This Row],[dec-19]]</f>
        <v>0</v>
      </c>
      <c r="BN72" s="2"/>
      <c r="BO72" s="242"/>
      <c r="BP72" s="242"/>
      <c r="BQ72" s="242"/>
      <c r="BR72" s="242"/>
      <c r="BS72" s="242">
        <v>8935</v>
      </c>
      <c r="BT72" s="517">
        <v>8884</v>
      </c>
      <c r="BU72" s="242">
        <v>8924</v>
      </c>
      <c r="BV72" s="242">
        <v>8953</v>
      </c>
      <c r="BW72" s="242">
        <v>8932</v>
      </c>
      <c r="BX72" s="517"/>
      <c r="BY72" s="554">
        <f>(Tableau6[[#This Row],[juin-24]]-Tableau6[[#This Row],[avr-24]])/Tableau6[[#This Row],[avr-24]]</f>
        <v>-2.3455824863174357E-3</v>
      </c>
      <c r="BZ72" s="548">
        <f>Tableau6[[#This Row],[juin-24]]-Tableau6[[#This Row],[avr-24]]</f>
        <v>-21</v>
      </c>
    </row>
    <row r="73" spans="1:78" ht="16.5" x14ac:dyDescent="0.3">
      <c r="A73" s="504"/>
      <c r="B73" s="504" t="s">
        <v>291</v>
      </c>
      <c r="C73" s="254"/>
      <c r="D73" s="505"/>
      <c r="E73" s="505"/>
      <c r="F73" s="505"/>
      <c r="G73" s="505"/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505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179"/>
      <c r="BL73" s="179" t="e">
        <f>(Tableau6[[#This Row],[mars-20]]-Tableau6[[#This Row],[dec-19]])/Tableau6[[#This Row],[dec-19]]</f>
        <v>#DIV/0!</v>
      </c>
      <c r="BM73" s="292">
        <f>Tableau6[[#This Row],[mars-20]]-Tableau6[[#This Row],[dec-19]]</f>
        <v>0</v>
      </c>
      <c r="BN73" s="2"/>
      <c r="BO73" s="242"/>
      <c r="BP73" s="242"/>
      <c r="BQ73" s="242"/>
      <c r="BR73" s="242"/>
      <c r="BS73" s="242">
        <v>13300</v>
      </c>
      <c r="BT73" s="517">
        <v>13264</v>
      </c>
      <c r="BU73" s="242">
        <v>13600</v>
      </c>
      <c r="BV73" s="242">
        <v>13643</v>
      </c>
      <c r="BW73" s="242">
        <v>13863</v>
      </c>
      <c r="BX73" s="517"/>
      <c r="BY73" s="554">
        <f>(Tableau6[[#This Row],[juin-24]]-Tableau6[[#This Row],[avr-24]])/Tableau6[[#This Row],[avr-24]]</f>
        <v>1.6125485597009454E-2</v>
      </c>
      <c r="BZ73" s="548">
        <f>Tableau6[[#This Row],[juin-24]]-Tableau6[[#This Row],[avr-24]]</f>
        <v>220</v>
      </c>
    </row>
    <row r="74" spans="1:78" ht="16.5" x14ac:dyDescent="0.3">
      <c r="A74" s="504"/>
      <c r="B74" s="504" t="s">
        <v>292</v>
      </c>
      <c r="C74" s="254"/>
      <c r="D74" s="505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5"/>
      <c r="AB74" s="505"/>
      <c r="AC74" s="505"/>
      <c r="AD74" s="505"/>
      <c r="AE74" s="505"/>
      <c r="AF74" s="505"/>
      <c r="AG74" s="505"/>
      <c r="AH74" s="505"/>
      <c r="AI74" s="505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179"/>
      <c r="BL74" s="179" t="e">
        <f>(Tableau6[[#This Row],[mars-20]]-Tableau6[[#This Row],[dec-19]])/Tableau6[[#This Row],[dec-19]]</f>
        <v>#DIV/0!</v>
      </c>
      <c r="BM74" s="292">
        <f>Tableau6[[#This Row],[mars-20]]-Tableau6[[#This Row],[dec-19]]</f>
        <v>0</v>
      </c>
      <c r="BN74" s="2"/>
      <c r="BO74" s="242"/>
      <c r="BP74" s="242"/>
      <c r="BQ74" s="242"/>
      <c r="BR74" s="242"/>
      <c r="BS74" s="242">
        <v>7149</v>
      </c>
      <c r="BT74" s="517">
        <v>7210</v>
      </c>
      <c r="BU74" s="242">
        <v>7971</v>
      </c>
      <c r="BV74" s="242">
        <v>8119</v>
      </c>
      <c r="BW74" s="242">
        <v>8181</v>
      </c>
      <c r="BX74" s="517"/>
      <c r="BY74" s="554">
        <f>(Tableau6[[#This Row],[juin-24]]-Tableau6[[#This Row],[avr-24]])/Tableau6[[#This Row],[avr-24]]</f>
        <v>7.6364084246828426E-3</v>
      </c>
      <c r="BZ74" s="548">
        <f>Tableau6[[#This Row],[juin-24]]-Tableau6[[#This Row],[avr-24]]</f>
        <v>62</v>
      </c>
    </row>
    <row r="75" spans="1:78" ht="16.5" x14ac:dyDescent="0.3">
      <c r="A75" s="504"/>
      <c r="B75" s="122" t="s">
        <v>293</v>
      </c>
      <c r="C75" s="254"/>
      <c r="D75" s="505"/>
      <c r="E75" s="505"/>
      <c r="F75" s="505"/>
      <c r="G75" s="505"/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5"/>
      <c r="AB75" s="505"/>
      <c r="AC75" s="505"/>
      <c r="AD75" s="505"/>
      <c r="AE75" s="505"/>
      <c r="AF75" s="505"/>
      <c r="AG75" s="505"/>
      <c r="AH75" s="505"/>
      <c r="AI75" s="505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179"/>
      <c r="BL75" s="179" t="e">
        <f>(Tableau6[[#This Row],[mars-20]]-Tableau6[[#This Row],[dec-19]])/Tableau6[[#This Row],[dec-19]]</f>
        <v>#DIV/0!</v>
      </c>
      <c r="BM75" s="292">
        <f>Tableau6[[#This Row],[mars-20]]-Tableau6[[#This Row],[dec-19]]</f>
        <v>0</v>
      </c>
      <c r="BN75" s="2"/>
      <c r="BO75" s="242"/>
      <c r="BP75" s="242"/>
      <c r="BQ75" s="242"/>
      <c r="BR75" s="242"/>
      <c r="BS75" s="242">
        <v>19200</v>
      </c>
      <c r="BT75" s="517">
        <v>19155</v>
      </c>
      <c r="BU75" s="242">
        <v>20100</v>
      </c>
      <c r="BV75" s="242">
        <v>0</v>
      </c>
      <c r="BW75" s="242">
        <v>20671</v>
      </c>
      <c r="BX75" s="517"/>
      <c r="BY75" s="554">
        <f>(Tableau6[[#This Row],[juin-24]]-Tableau6[[#This Row],[oct-23]])/Tableau6[[#This Row],[oct-23]]</f>
        <v>2.8407960199004975E-2</v>
      </c>
      <c r="BZ75" s="548">
        <f>Tableau6[[#This Row],[juin-24]]-Tableau6[[#This Row],[oct-23]]</f>
        <v>571</v>
      </c>
    </row>
    <row r="76" spans="1:78" ht="16.5" x14ac:dyDescent="0.3">
      <c r="A76" s="506"/>
      <c r="B76" s="293" t="s">
        <v>294</v>
      </c>
      <c r="C76" s="507"/>
      <c r="D76" s="508"/>
      <c r="E76" s="508"/>
      <c r="F76" s="508"/>
      <c r="G76" s="508"/>
      <c r="H76" s="508"/>
      <c r="I76" s="508"/>
      <c r="J76" s="508"/>
      <c r="K76" s="508"/>
      <c r="L76" s="508"/>
      <c r="M76" s="508"/>
      <c r="N76" s="508"/>
      <c r="O76" s="508"/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8"/>
      <c r="AB76" s="508"/>
      <c r="AC76" s="508"/>
      <c r="AD76" s="508"/>
      <c r="AE76" s="508"/>
      <c r="AF76" s="508"/>
      <c r="AG76" s="508"/>
      <c r="AH76" s="508"/>
      <c r="AI76" s="508"/>
      <c r="AJ76" s="294"/>
      <c r="AK76" s="294"/>
      <c r="AL76" s="294"/>
      <c r="AM76" s="294"/>
      <c r="AN76" s="294"/>
      <c r="AO76" s="294"/>
      <c r="AP76" s="294"/>
      <c r="AQ76" s="294"/>
      <c r="AR76" s="294"/>
      <c r="AS76" s="294"/>
      <c r="AT76" s="294"/>
      <c r="AU76" s="294"/>
      <c r="AV76" s="294"/>
      <c r="AW76" s="294"/>
      <c r="AX76" s="294"/>
      <c r="AY76" s="294"/>
      <c r="AZ76" s="294"/>
      <c r="BA76" s="294"/>
      <c r="BB76" s="294"/>
      <c r="BC76" s="294"/>
      <c r="BD76" s="294"/>
      <c r="BE76" s="294"/>
      <c r="BF76" s="294"/>
      <c r="BG76" s="294"/>
      <c r="BH76" s="294"/>
      <c r="BI76" s="294"/>
      <c r="BJ76" s="294"/>
      <c r="BK76" s="209"/>
      <c r="BL76" s="209" t="e">
        <f>(Tableau6[[#This Row],[mars-20]]-Tableau6[[#This Row],[dec-19]])/Tableau6[[#This Row],[dec-19]]</f>
        <v>#DIV/0!</v>
      </c>
      <c r="BM76" s="509">
        <f>Tableau6[[#This Row],[mars-20]]-Tableau6[[#This Row],[dec-19]]</f>
        <v>0</v>
      </c>
      <c r="BN76" s="2"/>
      <c r="BO76" s="242"/>
      <c r="BP76" s="242"/>
      <c r="BQ76" s="242"/>
      <c r="BR76" s="242"/>
      <c r="BS76" s="242">
        <v>634</v>
      </c>
      <c r="BT76" s="518">
        <v>637</v>
      </c>
      <c r="BU76" s="242">
        <v>664</v>
      </c>
      <c r="BV76" s="242">
        <v>692</v>
      </c>
      <c r="BW76" s="242">
        <v>702</v>
      </c>
      <c r="BX76" s="518"/>
      <c r="BY76" s="554">
        <f>(Tableau6[[#This Row],[juin-24]]-Tableau6[[#This Row],[avr-24]])/Tableau6[[#This Row],[avr-24]]</f>
        <v>1.4450867052023121E-2</v>
      </c>
      <c r="BZ76" s="548">
        <f>Tableau6[[#This Row],[juin-24]]-Tableau6[[#This Row],[avr-24]]</f>
        <v>10</v>
      </c>
    </row>
    <row r="77" spans="1:78" ht="16.5" x14ac:dyDescent="0.3">
      <c r="A77" s="122"/>
      <c r="B77" s="121" t="s">
        <v>369</v>
      </c>
      <c r="C77" s="54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179"/>
      <c r="BL77" s="179" t="e">
        <f>(Tableau6[[#This Row],[mars-20]]-Tableau6[[#This Row],[dec-19]])/Tableau6[[#This Row],[dec-19]]</f>
        <v>#DIV/0!</v>
      </c>
      <c r="BM77" s="210">
        <f>Tableau6[[#This Row],[mars-20]]-Tableau6[[#This Row],[dec-19]]</f>
        <v>0</v>
      </c>
      <c r="BN77" s="2"/>
      <c r="BO77" s="2"/>
      <c r="BP77" s="2"/>
      <c r="BQ77" s="2"/>
      <c r="BR77" s="2"/>
      <c r="BS77" s="2"/>
      <c r="BT77" s="529"/>
      <c r="BU77" s="242">
        <v>3774</v>
      </c>
      <c r="BV77" s="242">
        <v>4108</v>
      </c>
      <c r="BW77" s="242">
        <v>4494</v>
      </c>
      <c r="BX77" s="527"/>
      <c r="BY77" s="554">
        <f>(Tableau6[[#This Row],[juin-24]]-Tableau6[[#This Row],[avr-24]])/Tableau6[[#This Row],[avr-24]]</f>
        <v>9.396299902629017E-2</v>
      </c>
      <c r="BZ77" s="548">
        <f>Tableau6[[#This Row],[juin-24]]-Tableau6[[#This Row],[avr-24]]</f>
        <v>386</v>
      </c>
    </row>
    <row r="78" spans="1:78" ht="16.5" x14ac:dyDescent="0.3">
      <c r="A78" s="504"/>
      <c r="B78" s="121" t="s">
        <v>372</v>
      </c>
      <c r="C78" s="254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  <c r="Z78" s="505"/>
      <c r="AA78" s="505"/>
      <c r="AB78" s="505"/>
      <c r="AC78" s="505"/>
      <c r="AD78" s="505"/>
      <c r="AE78" s="505"/>
      <c r="AF78" s="505"/>
      <c r="AG78" s="505"/>
      <c r="AH78" s="505"/>
      <c r="AI78" s="505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179"/>
      <c r="BL78" s="179" t="e">
        <f>(Tableau6[[#This Row],[mars-20]]-Tableau6[[#This Row],[dec-19]])/Tableau6[[#This Row],[dec-19]]</f>
        <v>#DIV/0!</v>
      </c>
      <c r="BM78" s="292">
        <f>Tableau6[[#This Row],[mars-20]]-Tableau6[[#This Row],[dec-19]]</f>
        <v>0</v>
      </c>
      <c r="BN78" s="2"/>
      <c r="BO78" s="242"/>
      <c r="BP78" s="242"/>
      <c r="BQ78" s="242"/>
      <c r="BR78" s="242"/>
      <c r="BS78" s="242"/>
      <c r="BT78" s="527"/>
      <c r="BU78" s="242">
        <v>12000</v>
      </c>
      <c r="BV78" s="242">
        <v>12150</v>
      </c>
      <c r="BW78" s="242">
        <v>12606</v>
      </c>
      <c r="BX78" s="527"/>
      <c r="BY78" s="554">
        <f>(Tableau6[[#This Row],[juin-24]]-Tableau6[[#This Row],[avr-24]])/Tableau6[[#This Row],[avr-24]]</f>
        <v>3.7530864197530864E-2</v>
      </c>
      <c r="BZ78" s="548">
        <f>Tableau6[[#This Row],[juin-24]]-Tableau6[[#This Row],[avr-24]]</f>
        <v>456</v>
      </c>
    </row>
    <row r="79" spans="1:78" ht="16.5" x14ac:dyDescent="0.3">
      <c r="A79" s="504"/>
      <c r="B79" s="121" t="s">
        <v>375</v>
      </c>
      <c r="C79" s="254"/>
      <c r="D79" s="505"/>
      <c r="E79" s="505"/>
      <c r="F79" s="505"/>
      <c r="G79" s="505"/>
      <c r="H79" s="505"/>
      <c r="I79" s="505"/>
      <c r="J79" s="505"/>
      <c r="K79" s="505"/>
      <c r="L79" s="505"/>
      <c r="M79" s="505"/>
      <c r="N79" s="505"/>
      <c r="O79" s="505"/>
      <c r="P79" s="505"/>
      <c r="Q79" s="505"/>
      <c r="R79" s="505"/>
      <c r="S79" s="505"/>
      <c r="T79" s="505"/>
      <c r="U79" s="505"/>
      <c r="V79" s="505"/>
      <c r="W79" s="505"/>
      <c r="X79" s="505"/>
      <c r="Y79" s="505"/>
      <c r="Z79" s="505"/>
      <c r="AA79" s="505"/>
      <c r="AB79" s="505"/>
      <c r="AC79" s="505"/>
      <c r="AD79" s="505"/>
      <c r="AE79" s="505"/>
      <c r="AF79" s="505"/>
      <c r="AG79" s="505"/>
      <c r="AH79" s="505"/>
      <c r="AI79" s="505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179"/>
      <c r="BL79" s="179" t="e">
        <f>(Tableau6[[#This Row],[mars-20]]-Tableau6[[#This Row],[dec-19]])/Tableau6[[#This Row],[dec-19]]</f>
        <v>#DIV/0!</v>
      </c>
      <c r="BM79" s="292">
        <f>Tableau6[[#This Row],[mars-20]]-Tableau6[[#This Row],[dec-19]]</f>
        <v>0</v>
      </c>
      <c r="BN79" s="2"/>
      <c r="BO79" s="242"/>
      <c r="BP79" s="242"/>
      <c r="BQ79" s="242"/>
      <c r="BR79" s="242"/>
      <c r="BS79" s="242"/>
      <c r="BT79" s="527"/>
      <c r="BU79" s="242">
        <v>109500</v>
      </c>
      <c r="BV79" s="242">
        <v>109330</v>
      </c>
      <c r="BW79" s="242">
        <v>109078</v>
      </c>
      <c r="BX79" s="527"/>
      <c r="BY79" s="554">
        <f>(Tableau6[[#This Row],[juin-24]]-Tableau6[[#This Row],[avr-24]])/Tableau6[[#This Row],[avr-24]]</f>
        <v>-2.3049483215951704E-3</v>
      </c>
      <c r="BZ79" s="548">
        <f>Tableau6[[#This Row],[juin-24]]-Tableau6[[#This Row],[avr-24]]</f>
        <v>-252</v>
      </c>
    </row>
    <row r="80" spans="1:78" ht="16.5" x14ac:dyDescent="0.3">
      <c r="A80" s="175"/>
      <c r="B80" s="291" t="s">
        <v>332</v>
      </c>
      <c r="C80" s="175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209"/>
      <c r="BL80" s="209" t="e">
        <f>(Tableau6[[#This Row],[mars-20]]-Tableau6[[#This Row],[dec-19]])/Tableau6[[#This Row],[dec-19]]</f>
        <v>#DIV/0!</v>
      </c>
      <c r="BM80" s="149">
        <f>Tableau6[[#This Row],[mars-20]]-Tableau6[[#This Row],[dec-19]]</f>
        <v>0</v>
      </c>
      <c r="BN80" s="1"/>
      <c r="BO80" s="1"/>
      <c r="BP80" s="1"/>
      <c r="BQ80" s="1"/>
      <c r="BR80" s="1"/>
      <c r="BS80" s="1"/>
      <c r="BT80" s="1">
        <v>709</v>
      </c>
      <c r="BU80" s="242">
        <v>749</v>
      </c>
      <c r="BV80" s="242">
        <v>762</v>
      </c>
      <c r="BW80" s="242">
        <v>763</v>
      </c>
      <c r="BX80" s="243"/>
      <c r="BY80" s="554">
        <f>(Tableau6[[#This Row],[juin-24]]-Tableau6[[#This Row],[avr-24]])/Tableau6[[#This Row],[avr-24]]</f>
        <v>1.3123359580052493E-3</v>
      </c>
      <c r="BZ80" s="548">
        <f>Tableau6[[#This Row],[juin-24]]-Tableau6[[#This Row],[avr-24]]</f>
        <v>1</v>
      </c>
    </row>
    <row r="81" spans="1:78" s="340" customFormat="1" ht="16.5" x14ac:dyDescent="0.3">
      <c r="B81" s="49" t="s">
        <v>56</v>
      </c>
      <c r="C81" s="49"/>
      <c r="D81" s="279">
        <f>SUBTOTAL(109,Tableau6[févr-15])</f>
        <v>1485955</v>
      </c>
      <c r="E81" s="279">
        <f>SUBTOTAL(109,Tableau6[mars-15])</f>
        <v>1514841</v>
      </c>
      <c r="F81" s="279">
        <f>SUBTOTAL(109,Tableau6[avr-15])</f>
        <v>1554158</v>
      </c>
      <c r="G81" s="279">
        <f>SUBTOTAL(109,Tableau6[mai-15])</f>
        <v>1609659</v>
      </c>
      <c r="H81" s="279">
        <f>SUBTOTAL(109,Tableau6[juin-15])</f>
        <v>1677089</v>
      </c>
      <c r="I81" s="279">
        <f>SUBTOTAL(109,Tableau6[juil-15])</f>
        <v>1711872</v>
      </c>
      <c r="J81" s="279">
        <f>SUBTOTAL(109,Tableau6[août-15])</f>
        <v>1889519</v>
      </c>
      <c r="K81" s="279">
        <f>SUBTOTAL(109,Tableau6[sept-15])</f>
        <v>1998384</v>
      </c>
      <c r="L81" s="279">
        <f>SUBTOTAL(109,Tableau6[oct-15])</f>
        <v>2027840</v>
      </c>
      <c r="M81" s="279">
        <f>SUBTOTAL(109,Tableau6[nov-15])</f>
        <v>2091035</v>
      </c>
      <c r="N81" s="279">
        <f>SUBTOTAL(109,Tableau6[déc-15])</f>
        <v>2138540</v>
      </c>
      <c r="O81" s="279">
        <f>SUBTOTAL(109,Tableau6[janv-16])</f>
        <v>2209172</v>
      </c>
      <c r="P81" s="279">
        <f>SUBTOTAL(109,Tableau6[févr-16])</f>
        <v>2268887</v>
      </c>
      <c r="Q81" s="279">
        <f>SUBTOTAL(109,Tableau6[mars-16])</f>
        <v>2341235</v>
      </c>
      <c r="R81" s="279">
        <f>SUBTOTAL(109,Tableau6[avr-16])</f>
        <v>2417893</v>
      </c>
      <c r="S81" s="279">
        <f>SUBTOTAL(109,Tableau6[mai-16])</f>
        <v>2483595</v>
      </c>
      <c r="T81" s="279">
        <f>SUBTOTAL(109,Tableau6[juin-16])</f>
        <v>2550244</v>
      </c>
      <c r="U81" s="279">
        <f>SUBTOTAL(109,Tableau6[juil-16])</f>
        <v>2586308</v>
      </c>
      <c r="V81" s="279">
        <f>SUBTOTAL(109,Tableau6[août-16])</f>
        <v>2723545</v>
      </c>
      <c r="W81" s="279">
        <f>SUBTOTAL(109,Tableau6[sept-16])</f>
        <v>2757677</v>
      </c>
      <c r="X81" s="279">
        <f>SUBTOTAL(109,Tableau6[oct-16])</f>
        <v>2817031</v>
      </c>
      <c r="Y81" s="279">
        <f>SUBTOTAL(109,Tableau6[nov-16])</f>
        <v>2864769</v>
      </c>
      <c r="Z81" s="279">
        <f>SUBTOTAL(109,Tableau6[déc-16])</f>
        <v>2894814</v>
      </c>
      <c r="AA81" s="279">
        <f>SUBTOTAL(109,Tableau6[janv-17])</f>
        <v>2935621</v>
      </c>
      <c r="AB81" s="279">
        <f>SUBTOTAL(109,Tableau6[févr-17])</f>
        <v>3009767</v>
      </c>
      <c r="AC81" s="279">
        <f>SUBTOTAL(109,Tableau6[mars-17])</f>
        <v>3066229</v>
      </c>
      <c r="AD81" s="279">
        <f>SUBTOTAL(109,Tableau6[avr-17])</f>
        <v>3117336</v>
      </c>
      <c r="AE81" s="279">
        <f>SUBTOTAL(109,Tableau6[mai-17])</f>
        <v>3166422</v>
      </c>
      <c r="AF81" s="279">
        <f>SUBTOTAL(109,Tableau6[juin-17])</f>
        <v>3229041</v>
      </c>
      <c r="AG81" s="279">
        <f>SUBTOTAL(109,Tableau6[juil-17])</f>
        <v>3288964</v>
      </c>
      <c r="AH81" s="279">
        <f>SUBTOTAL(109,Tableau6[août-17])</f>
        <v>3438180</v>
      </c>
      <c r="AI81" s="279">
        <f>SUBTOTAL(109,Tableau6[sept-17])</f>
        <v>3493542</v>
      </c>
      <c r="AJ81" s="279">
        <f>SUBTOTAL(109,Tableau6[oct-17])</f>
        <v>3539179</v>
      </c>
      <c r="AK81" s="279">
        <f>SUBTOTAL(109,Tableau6[nov-17])</f>
        <v>3564716</v>
      </c>
      <c r="AL81" s="279">
        <f>SUBTOTAL(109,Tableau6[déc-17])</f>
        <v>3576518</v>
      </c>
      <c r="AM81" s="279">
        <f>SUBTOTAL(109,Tableau6[janv-18])</f>
        <v>3606229</v>
      </c>
      <c r="AN81" s="279">
        <f>SUBTOTAL(109,Tableau6[fev-18])</f>
        <v>3623709</v>
      </c>
      <c r="AO81" s="279">
        <f>SUBTOTAL(109,Tableau6[mars-18])</f>
        <v>3621422</v>
      </c>
      <c r="AP81" s="279">
        <f>SUBTOTAL(109,Tableau6[avr-18])</f>
        <v>3642024</v>
      </c>
      <c r="AQ81" s="279">
        <f>SUBTOTAL(109,Tableau6[mai-18])</f>
        <v>3664909</v>
      </c>
      <c r="AR81" s="279">
        <f>SUBTOTAL(109,Tableau6[juin-18])</f>
        <v>3683097</v>
      </c>
      <c r="AS81" s="279">
        <f>SUBTOTAL(109,Tableau6[juil-18])</f>
        <v>3693274</v>
      </c>
      <c r="AT81" s="279">
        <f>SUBTOTAL(109,Tableau6[août-18])</f>
        <v>3724539</v>
      </c>
      <c r="AU81" s="279">
        <f>SUBTOTAL(109,Tableau6[sept-18])</f>
        <v>3740912</v>
      </c>
      <c r="AV81" s="279">
        <f>SUBTOTAL(109,Tableau6[oct-18])</f>
        <v>3756008</v>
      </c>
      <c r="AW81" s="279">
        <f>SUBTOTAL(109,Tableau6[nov-18])</f>
        <v>3792565</v>
      </c>
      <c r="AX81" s="279">
        <f>SUBTOTAL(109,Tableau6[dec-18])</f>
        <v>3783777</v>
      </c>
      <c r="AY81" s="279">
        <f>SUBTOTAL(109,Tableau6[janv-19])</f>
        <v>3792309</v>
      </c>
      <c r="AZ81" s="279">
        <f>SUBTOTAL(109,Tableau6[févr-19])</f>
        <v>3798377</v>
      </c>
      <c r="BA81" s="279">
        <f>SUBTOTAL(109,Tableau6[mars-19])</f>
        <v>3805849</v>
      </c>
      <c r="BB81" s="279">
        <f>SUBTOTAL(109,Tableau6[avr-19])</f>
        <v>3818736</v>
      </c>
      <c r="BC81" s="279">
        <f>SUBTOTAL(109,Tableau6[mai-19])</f>
        <v>3835651</v>
      </c>
      <c r="BD81" s="279">
        <f>SUBTOTAL(109,Tableau6[juin-19])</f>
        <v>3871936</v>
      </c>
      <c r="BE81" s="279">
        <f>SUBTOTAL(109,Tableau6[juil-19])</f>
        <v>3893097</v>
      </c>
      <c r="BF81" s="279">
        <f>SUBTOTAL(109,Tableau6[août-19])</f>
        <v>3986121</v>
      </c>
      <c r="BG81" s="279">
        <f>SUBTOTAL(109,Tableau6[sept-19])</f>
        <v>4050078</v>
      </c>
      <c r="BH81" s="279">
        <f>SUBTOTAL(109,Tableau6[oct-19])</f>
        <v>4066676</v>
      </c>
      <c r="BI81" s="279">
        <f>SUBTOTAL(109,Tableau6[nov-19])</f>
        <v>4071199</v>
      </c>
      <c r="BJ81" s="279">
        <f>SUBTOTAL(109,Tableau6[dec-19])</f>
        <v>4070961</v>
      </c>
      <c r="BK81" s="279">
        <f>SUBTOTAL(109,Tableau6[mars-20])</f>
        <v>4103474</v>
      </c>
      <c r="BL81" s="280"/>
      <c r="BM81" s="49"/>
      <c r="BN81" s="279">
        <f>SUBTOTAL(109,Tableau6[sept-20])</f>
        <v>4272692</v>
      </c>
      <c r="BO81" s="279">
        <f>SUBTOTAL(109,Tableau6[nov-20])</f>
        <v>4372123</v>
      </c>
      <c r="BP81" s="279">
        <f>SUBTOTAL(109,Tableau6[sept-21])</f>
        <v>4817430</v>
      </c>
      <c r="BQ81" s="279">
        <f>SUBTOTAL(109,Tableau6[mars-22])</f>
        <v>4943707</v>
      </c>
      <c r="BR81" s="279">
        <f>SUBTOTAL(109,Tableau6[avr-22])</f>
        <v>4980157</v>
      </c>
      <c r="BS81" s="519">
        <f>SUBTOTAL(109,Tableau6[sept-22])</f>
        <v>5234564</v>
      </c>
      <c r="BT81" s="345">
        <f>SUBTOTAL(109,Tableau6[nov-22])</f>
        <v>5217553</v>
      </c>
      <c r="BU81" s="345">
        <f>SUBTOTAL(109,Tableau6[oct-23])</f>
        <v>5494120</v>
      </c>
      <c r="BV81" s="345">
        <f>SUBTOTAL(109,Tableau6[avr-24])</f>
        <v>5343018</v>
      </c>
      <c r="BW81" s="345">
        <f>SUBTOTAL(109,Tableau6[juin-24])</f>
        <v>5568291</v>
      </c>
      <c r="BX81" s="345"/>
      <c r="BY81" s="555">
        <f>(BW81-BV81)/BV81</f>
        <v>4.2162126348816345E-2</v>
      </c>
      <c r="BZ81" s="556">
        <f>BW81-BV81</f>
        <v>225273</v>
      </c>
    </row>
    <row r="84" spans="1:78" ht="16.5" x14ac:dyDescent="0.3">
      <c r="A84" s="125" t="s">
        <v>185</v>
      </c>
      <c r="B84" s="94" t="s">
        <v>115</v>
      </c>
      <c r="C84" s="95" t="s">
        <v>118</v>
      </c>
      <c r="D84" s="96" t="s">
        <v>0</v>
      </c>
      <c r="E84" s="97" t="s">
        <v>1</v>
      </c>
      <c r="F84" s="97" t="s">
        <v>4</v>
      </c>
      <c r="G84" s="97" t="s">
        <v>5</v>
      </c>
      <c r="H84" s="97" t="s">
        <v>6</v>
      </c>
      <c r="I84" s="97" t="s">
        <v>7</v>
      </c>
      <c r="J84" s="97" t="s">
        <v>8</v>
      </c>
      <c r="K84" s="97" t="s">
        <v>9</v>
      </c>
      <c r="L84" s="97" t="s">
        <v>10</v>
      </c>
      <c r="M84" s="97" t="s">
        <v>11</v>
      </c>
      <c r="N84" s="97" t="s">
        <v>12</v>
      </c>
      <c r="O84" s="97" t="s">
        <v>3</v>
      </c>
      <c r="P84" s="97" t="s">
        <v>2</v>
      </c>
      <c r="Q84" s="97" t="s">
        <v>63</v>
      </c>
      <c r="R84" s="97" t="s">
        <v>64</v>
      </c>
      <c r="S84" s="97" t="s">
        <v>65</v>
      </c>
      <c r="T84" s="97" t="s">
        <v>66</v>
      </c>
      <c r="U84" s="97" t="s">
        <v>68</v>
      </c>
      <c r="V84" s="97" t="s">
        <v>69</v>
      </c>
      <c r="W84" s="97" t="s">
        <v>70</v>
      </c>
      <c r="X84" s="97" t="s">
        <v>71</v>
      </c>
      <c r="Y84" s="97" t="s">
        <v>72</v>
      </c>
      <c r="Z84" s="97" t="s">
        <v>73</v>
      </c>
      <c r="AA84" s="97" t="s">
        <v>75</v>
      </c>
      <c r="AB84" s="97" t="s">
        <v>77</v>
      </c>
      <c r="AC84" s="97" t="s">
        <v>81</v>
      </c>
      <c r="AD84" s="97" t="s">
        <v>84</v>
      </c>
      <c r="AE84" s="97" t="s">
        <v>85</v>
      </c>
      <c r="AF84" s="97" t="s">
        <v>86</v>
      </c>
      <c r="AG84" s="97" t="s">
        <v>99</v>
      </c>
      <c r="AH84" s="97" t="s">
        <v>101</v>
      </c>
      <c r="AI84" s="97" t="s">
        <v>102</v>
      </c>
      <c r="AJ84" s="97" t="s">
        <v>105</v>
      </c>
      <c r="AK84" s="97" t="s">
        <v>106</v>
      </c>
      <c r="AL84" s="97" t="s">
        <v>108</v>
      </c>
      <c r="AM84" s="97" t="s">
        <v>109</v>
      </c>
      <c r="AN84" s="97" t="s">
        <v>110</v>
      </c>
      <c r="AO84" s="97" t="s">
        <v>117</v>
      </c>
      <c r="AP84" s="97" t="s">
        <v>127</v>
      </c>
      <c r="AQ84" s="24" t="s">
        <v>129</v>
      </c>
      <c r="AR84" s="24" t="s">
        <v>131</v>
      </c>
      <c r="AS84" s="24" t="s">
        <v>142</v>
      </c>
      <c r="AT84" s="24" t="s">
        <v>143</v>
      </c>
      <c r="AU84" s="24" t="s">
        <v>151</v>
      </c>
      <c r="AV84" s="24" t="s">
        <v>156</v>
      </c>
      <c r="AW84" s="24" t="s">
        <v>157</v>
      </c>
      <c r="AX84" s="24" t="s">
        <v>163</v>
      </c>
      <c r="AY84" s="24" t="s">
        <v>164</v>
      </c>
      <c r="AZ84" s="24" t="s">
        <v>177</v>
      </c>
      <c r="BA84" s="24" t="s">
        <v>179</v>
      </c>
      <c r="BB84" s="24" t="s">
        <v>183</v>
      </c>
      <c r="BC84" s="24" t="s">
        <v>184</v>
      </c>
      <c r="BD84" s="24" t="s">
        <v>186</v>
      </c>
      <c r="BE84" s="24" t="s">
        <v>188</v>
      </c>
      <c r="BF84" s="24" t="s">
        <v>200</v>
      </c>
      <c r="BG84" s="24" t="s">
        <v>201</v>
      </c>
      <c r="BH84" s="24" t="s">
        <v>203</v>
      </c>
      <c r="BI84" s="24" t="s">
        <v>207</v>
      </c>
      <c r="BJ84" s="24" t="s">
        <v>208</v>
      </c>
      <c r="BK84" s="213" t="s">
        <v>209</v>
      </c>
      <c r="BL84" s="98" t="s">
        <v>53</v>
      </c>
      <c r="BM84" s="98" t="s">
        <v>78</v>
      </c>
      <c r="BN84" s="213" t="s">
        <v>210</v>
      </c>
      <c r="BO84" s="213" t="s">
        <v>211</v>
      </c>
      <c r="BP84" s="213" t="s">
        <v>214</v>
      </c>
      <c r="BQ84" s="213" t="s">
        <v>213</v>
      </c>
      <c r="BR84" s="213" t="s">
        <v>272</v>
      </c>
      <c r="BS84" s="496" t="s">
        <v>330</v>
      </c>
      <c r="BT84" s="510" t="s">
        <v>331</v>
      </c>
      <c r="BU84" s="510" t="s">
        <v>333</v>
      </c>
      <c r="BV84" s="510" t="s">
        <v>389</v>
      </c>
      <c r="BW84" s="510" t="s">
        <v>405</v>
      </c>
      <c r="BY84" s="571" t="s">
        <v>235</v>
      </c>
      <c r="BZ84" s="571" t="s">
        <v>236</v>
      </c>
    </row>
    <row r="85" spans="1:78" ht="16.5" x14ac:dyDescent="0.3">
      <c r="A85" s="124"/>
      <c r="B85" s="55" t="s">
        <v>227</v>
      </c>
      <c r="C85" s="54" t="s">
        <v>54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100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57">
        <v>90190</v>
      </c>
      <c r="AP85" s="57">
        <v>91743</v>
      </c>
      <c r="AQ85" s="57">
        <v>93935</v>
      </c>
      <c r="AR85" s="57">
        <v>96236</v>
      </c>
      <c r="AS85" s="57">
        <v>98463</v>
      </c>
      <c r="AT85" s="57">
        <v>107575</v>
      </c>
      <c r="AU85" s="57">
        <v>111214</v>
      </c>
      <c r="AV85" s="57">
        <v>113774</v>
      </c>
      <c r="AW85" s="57">
        <v>115855</v>
      </c>
      <c r="AX85" s="57">
        <v>116911</v>
      </c>
      <c r="AY85" s="57">
        <v>117913</v>
      </c>
      <c r="AZ85" s="57">
        <v>121335</v>
      </c>
      <c r="BA85" s="57">
        <v>124110</v>
      </c>
      <c r="BB85" s="57">
        <v>127250</v>
      </c>
      <c r="BC85" s="57">
        <v>130167</v>
      </c>
      <c r="BD85" s="57">
        <v>134126</v>
      </c>
      <c r="BE85" s="57">
        <v>135290</v>
      </c>
      <c r="BF85" s="57">
        <v>142468</v>
      </c>
      <c r="BG85" s="57">
        <v>146513</v>
      </c>
      <c r="BH85" s="57">
        <v>147126</v>
      </c>
      <c r="BI85" s="57">
        <v>147264</v>
      </c>
      <c r="BJ85" s="57">
        <v>147250</v>
      </c>
      <c r="BK85" s="212">
        <v>150088</v>
      </c>
      <c r="BL85" s="204">
        <f>(Tableau8[[#This Row],[mars-20]]-Tableau8[[#This Row],[dec-19]])/Tableau8[[#This Row],[dec-19]]</f>
        <v>1.9273344651952462E-2</v>
      </c>
      <c r="BM85" s="215">
        <f>Tableau8[[#This Row],[mars-20]]-Tableau8[[#This Row],[dec-19]]</f>
        <v>2838</v>
      </c>
      <c r="BN85" s="6">
        <v>168004</v>
      </c>
      <c r="BO85" s="6">
        <v>170459</v>
      </c>
      <c r="BP85" s="258">
        <v>194724</v>
      </c>
      <c r="BQ85" s="258">
        <v>199142</v>
      </c>
      <c r="BR85" s="258">
        <v>201332</v>
      </c>
      <c r="BS85" s="258">
        <v>207000</v>
      </c>
      <c r="BT85" s="258">
        <v>206449</v>
      </c>
      <c r="BU85" s="258">
        <v>224013</v>
      </c>
      <c r="BV85" s="258">
        <v>241305</v>
      </c>
      <c r="BW85" s="258">
        <v>246717</v>
      </c>
      <c r="BX85" s="258"/>
      <c r="BY85" s="554">
        <f>(Tableau8[[#This Row],[juin-24]]-Tableau8[[#This Row],[avr-24]])/Tableau8[[#This Row],[avr-24]]</f>
        <v>2.2428047491763536E-2</v>
      </c>
      <c r="BZ85" s="548">
        <f>Tableau8[[#This Row],[juin-24]]-Tableau8[[#This Row],[avr-24]]</f>
        <v>5412</v>
      </c>
    </row>
    <row r="86" spans="1:78" ht="16.5" x14ac:dyDescent="0.3">
      <c r="A86" s="121"/>
      <c r="B86" s="121" t="s">
        <v>283</v>
      </c>
      <c r="C86" s="54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100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118"/>
      <c r="AP86" s="118"/>
      <c r="AQ86" s="118"/>
      <c r="AR86" s="118"/>
      <c r="AS86" s="118"/>
      <c r="AT86" s="118"/>
      <c r="AU86" s="118"/>
      <c r="AV86" s="118"/>
      <c r="AW86" s="118"/>
      <c r="AX86" s="118"/>
      <c r="AY86" s="118"/>
      <c r="AZ86" s="118"/>
      <c r="BA86" s="118"/>
      <c r="BB86" s="118"/>
      <c r="BC86" s="118"/>
      <c r="BD86" s="118"/>
      <c r="BE86" s="118"/>
      <c r="BF86" s="118"/>
      <c r="BG86" s="118"/>
      <c r="BH86" s="118"/>
      <c r="BI86" s="118"/>
      <c r="BJ86" s="118"/>
      <c r="BK86" s="179"/>
      <c r="BL86" s="204" t="e">
        <f>(Tableau8[[#This Row],[mars-20]]-Tableau8[[#This Row],[dec-19]])/Tableau8[[#This Row],[dec-19]]</f>
        <v>#DIV/0!</v>
      </c>
      <c r="BM86" s="259">
        <f>Tableau8[[#This Row],[mars-20]]-Tableau8[[#This Row],[dec-19]]</f>
        <v>0</v>
      </c>
      <c r="BO86">
        <v>102990</v>
      </c>
      <c r="BP86" s="273">
        <v>181018</v>
      </c>
      <c r="BQ86" s="273">
        <v>200642</v>
      </c>
      <c r="BR86" s="258">
        <v>208531</v>
      </c>
      <c r="BS86" s="258">
        <v>231000</v>
      </c>
      <c r="BT86" s="258">
        <v>231060</v>
      </c>
      <c r="BU86" s="258">
        <v>279166</v>
      </c>
      <c r="BV86" s="258">
        <v>294167</v>
      </c>
      <c r="BW86" s="258">
        <v>296193</v>
      </c>
      <c r="BX86" s="258"/>
      <c r="BY86" s="554">
        <f>(Tableau8[[#This Row],[juin-24]]-Tableau8[[#This Row],[avr-24]])/Tableau8[[#This Row],[avr-24]]</f>
        <v>6.8872443204030364E-3</v>
      </c>
      <c r="BZ86" s="548">
        <f>Tableau8[[#This Row],[juin-24]]-Tableau8[[#This Row],[avr-24]]</f>
        <v>2026</v>
      </c>
    </row>
    <row r="87" spans="1:78" ht="16.5" x14ac:dyDescent="0.3">
      <c r="A87" s="121"/>
      <c r="B87" s="55" t="s">
        <v>284</v>
      </c>
      <c r="C87" s="54" t="s">
        <v>54</v>
      </c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100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57">
        <v>165430</v>
      </c>
      <c r="AP87" s="57">
        <v>168058</v>
      </c>
      <c r="AQ87" s="57">
        <v>171878</v>
      </c>
      <c r="AR87" s="57">
        <v>178392</v>
      </c>
      <c r="AS87" s="57">
        <v>181578</v>
      </c>
      <c r="AT87" s="57">
        <v>194203</v>
      </c>
      <c r="AU87" s="57">
        <v>197587</v>
      </c>
      <c r="AV87" s="57">
        <v>201828</v>
      </c>
      <c r="AW87" s="57">
        <v>205099</v>
      </c>
      <c r="AX87" s="57">
        <v>207608</v>
      </c>
      <c r="AY87" s="57">
        <v>210682</v>
      </c>
      <c r="AZ87" s="57">
        <v>216864</v>
      </c>
      <c r="BA87" s="57">
        <v>223290</v>
      </c>
      <c r="BB87" s="57">
        <v>228910</v>
      </c>
      <c r="BC87" s="57">
        <v>234772</v>
      </c>
      <c r="BD87" s="57">
        <v>245488</v>
      </c>
      <c r="BE87" s="57">
        <v>249714</v>
      </c>
      <c r="BF87" s="57">
        <v>262879</v>
      </c>
      <c r="BG87" s="57">
        <v>269794</v>
      </c>
      <c r="BH87" s="57">
        <v>273606</v>
      </c>
      <c r="BI87" s="57">
        <v>274859</v>
      </c>
      <c r="BJ87" s="57">
        <v>276041</v>
      </c>
      <c r="BK87" s="88">
        <v>285011</v>
      </c>
      <c r="BL87" s="204">
        <f>(Tableau8[[#This Row],[mars-20]]-Tableau8[[#This Row],[dec-19]])/Tableau8[[#This Row],[dec-19]]</f>
        <v>3.2495172818530579E-2</v>
      </c>
      <c r="BM87" s="214">
        <f>Tableau8[[#This Row],[mars-20]]-Tableau8[[#This Row],[dec-19]]</f>
        <v>8970</v>
      </c>
      <c r="BN87" s="6">
        <v>315568</v>
      </c>
      <c r="BO87" s="6">
        <v>319833</v>
      </c>
      <c r="BP87" s="6">
        <v>347037</v>
      </c>
      <c r="BQ87" s="6">
        <v>359376</v>
      </c>
      <c r="BR87" s="6">
        <v>359251</v>
      </c>
      <c r="BS87" s="6">
        <v>367000</v>
      </c>
      <c r="BT87" s="6">
        <v>365874</v>
      </c>
      <c r="BU87" s="6">
        <v>390162</v>
      </c>
      <c r="BV87" s="6">
        <v>391550</v>
      </c>
      <c r="BW87" s="6">
        <v>392528</v>
      </c>
      <c r="BX87" s="6"/>
      <c r="BY87" s="554">
        <f>(Tableau8[[#This Row],[juin-24]]-Tableau8[[#This Row],[avr-24]])/Tableau8[[#This Row],[avr-24]]</f>
        <v>2.4977652917890433E-3</v>
      </c>
      <c r="BZ87" s="548">
        <f>Tableau8[[#This Row],[juin-24]]-Tableau8[[#This Row],[avr-24]]</f>
        <v>978</v>
      </c>
    </row>
    <row r="88" spans="1:78" ht="16.5" x14ac:dyDescent="0.3">
      <c r="A88" s="124"/>
      <c r="B88" s="55" t="s">
        <v>285</v>
      </c>
      <c r="C88" s="54" t="s">
        <v>55</v>
      </c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100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57"/>
      <c r="AP88" s="57">
        <v>7444</v>
      </c>
      <c r="AQ88" s="57">
        <v>8006</v>
      </c>
      <c r="AR88" s="57">
        <v>8312</v>
      </c>
      <c r="AS88" s="57">
        <v>8640</v>
      </c>
      <c r="AT88" s="57">
        <v>9029</v>
      </c>
      <c r="AU88" s="57">
        <v>9686</v>
      </c>
      <c r="AV88" s="57">
        <v>9857</v>
      </c>
      <c r="AW88" s="57">
        <v>10200</v>
      </c>
      <c r="AX88" s="57">
        <v>10534</v>
      </c>
      <c r="AY88" s="57">
        <v>11706</v>
      </c>
      <c r="AZ88" s="57">
        <v>12851</v>
      </c>
      <c r="BA88" s="57">
        <v>13795</v>
      </c>
      <c r="BB88" s="57">
        <v>14545</v>
      </c>
      <c r="BC88" s="57">
        <v>15000</v>
      </c>
      <c r="BD88" s="57">
        <v>15580</v>
      </c>
      <c r="BE88" s="57">
        <v>15950</v>
      </c>
      <c r="BF88" s="57">
        <v>16252</v>
      </c>
      <c r="BG88" s="57">
        <v>16615</v>
      </c>
      <c r="BH88" s="57">
        <v>16656</v>
      </c>
      <c r="BI88" s="57">
        <v>16968</v>
      </c>
      <c r="BJ88" s="57">
        <v>17181</v>
      </c>
      <c r="BK88" s="88">
        <v>18465</v>
      </c>
      <c r="BL88" s="204">
        <f>(Tableau8[[#This Row],[mars-20]]-Tableau8[[#This Row],[dec-19]])/Tableau8[[#This Row],[dec-19]]</f>
        <v>7.4733717478610087E-2</v>
      </c>
      <c r="BM88" s="214">
        <f>Tableau8[[#This Row],[mars-20]]-Tableau8[[#This Row],[dec-19]]</f>
        <v>1284</v>
      </c>
      <c r="BN88" s="6">
        <v>22562</v>
      </c>
      <c r="BO88" s="6">
        <v>23049</v>
      </c>
      <c r="BP88" s="6">
        <v>27516</v>
      </c>
      <c r="BQ88" s="6">
        <v>29686</v>
      </c>
      <c r="BR88" s="6">
        <v>29900</v>
      </c>
      <c r="BS88" s="6">
        <v>31900</v>
      </c>
      <c r="BT88" s="6">
        <v>32309</v>
      </c>
      <c r="BU88" s="6">
        <v>0</v>
      </c>
      <c r="BV88" s="6">
        <v>0</v>
      </c>
      <c r="BW88" s="6">
        <v>0</v>
      </c>
      <c r="BX88" s="6"/>
      <c r="BY88" s="554" t="e">
        <f>(Tableau8[[#This Row],[juin-24]]-Tableau8[[#This Row],[avr-24]])/Tableau8[[#This Row],[avr-24]]</f>
        <v>#DIV/0!</v>
      </c>
      <c r="BZ88" s="548">
        <f>Tableau8[[#This Row],[juin-24]]-Tableau8[[#This Row],[avr-24]]</f>
        <v>0</v>
      </c>
    </row>
    <row r="89" spans="1:78" ht="16.5" x14ac:dyDescent="0.3">
      <c r="A89" s="121"/>
      <c r="B89" s="55" t="s">
        <v>228</v>
      </c>
      <c r="C89" s="54" t="s">
        <v>54</v>
      </c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100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57">
        <v>64375</v>
      </c>
      <c r="AP89" s="57">
        <v>67527</v>
      </c>
      <c r="AQ89" s="57">
        <v>70494</v>
      </c>
      <c r="AR89" s="57">
        <v>74406</v>
      </c>
      <c r="AS89" s="57">
        <v>76795</v>
      </c>
      <c r="AT89" s="57">
        <v>82818</v>
      </c>
      <c r="AU89" s="57">
        <v>86914</v>
      </c>
      <c r="AV89" s="57">
        <v>90469</v>
      </c>
      <c r="AW89" s="57">
        <v>92967</v>
      </c>
      <c r="AX89" s="57">
        <v>94765</v>
      </c>
      <c r="AY89" s="57">
        <v>97480</v>
      </c>
      <c r="AZ89" s="57">
        <v>101170</v>
      </c>
      <c r="BA89" s="57">
        <v>104380</v>
      </c>
      <c r="BB89" s="57">
        <v>107395</v>
      </c>
      <c r="BC89" s="57">
        <v>110017</v>
      </c>
      <c r="BD89" s="57">
        <v>119299</v>
      </c>
      <c r="BE89" s="57">
        <v>122392</v>
      </c>
      <c r="BF89" s="57">
        <v>129244</v>
      </c>
      <c r="BG89" s="57">
        <v>133220</v>
      </c>
      <c r="BH89" s="57">
        <v>135204</v>
      </c>
      <c r="BI89" s="57">
        <v>136688</v>
      </c>
      <c r="BJ89" s="57">
        <v>136962</v>
      </c>
      <c r="BK89" s="88">
        <v>149685</v>
      </c>
      <c r="BL89" s="204">
        <f>(Tableau8[[#This Row],[mars-20]]-Tableau8[[#This Row],[dec-19]])/Tableau8[[#This Row],[dec-19]]</f>
        <v>9.2894379462916718E-2</v>
      </c>
      <c r="BM89" s="214">
        <f>Tableau8[[#This Row],[mars-20]]-Tableau8[[#This Row],[dec-19]]</f>
        <v>12723</v>
      </c>
      <c r="BN89" s="6">
        <v>172993</v>
      </c>
      <c r="BO89" s="6">
        <v>176869</v>
      </c>
      <c r="BP89" s="6">
        <v>183340</v>
      </c>
      <c r="BQ89" s="6">
        <v>183825</v>
      </c>
      <c r="BR89" s="6">
        <v>184267</v>
      </c>
      <c r="BS89" s="6">
        <v>187000</v>
      </c>
      <c r="BT89" s="6">
        <v>186774</v>
      </c>
      <c r="BU89" s="6">
        <v>202000</v>
      </c>
      <c r="BV89" s="6">
        <v>201981</v>
      </c>
      <c r="BW89" s="6">
        <v>203580</v>
      </c>
      <c r="BX89" s="6"/>
      <c r="BY89" s="554">
        <f>(Tableau8[[#This Row],[juin-24]]-Tableau8[[#This Row],[avr-24]])/Tableau8[[#This Row],[avr-24]]</f>
        <v>7.9165862135547396E-3</v>
      </c>
      <c r="BZ89" s="548">
        <f>Tableau8[[#This Row],[juin-24]]-Tableau8[[#This Row],[avr-24]]</f>
        <v>1599</v>
      </c>
    </row>
    <row r="90" spans="1:78" ht="16.5" x14ac:dyDescent="0.3">
      <c r="A90" s="121"/>
      <c r="B90" s="55" t="s">
        <v>172</v>
      </c>
      <c r="C90" s="54" t="s">
        <v>54</v>
      </c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100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57">
        <v>113875</v>
      </c>
      <c r="AP90" s="57">
        <v>118884</v>
      </c>
      <c r="AQ90" s="57">
        <v>127443</v>
      </c>
      <c r="AR90" s="57">
        <v>134891</v>
      </c>
      <c r="AS90" s="57">
        <v>140496</v>
      </c>
      <c r="AT90" s="57">
        <v>165230</v>
      </c>
      <c r="AU90" s="57">
        <v>177083</v>
      </c>
      <c r="AV90" s="57">
        <v>185554</v>
      </c>
      <c r="AW90" s="57">
        <v>193304</v>
      </c>
      <c r="AX90" s="57">
        <v>198847</v>
      </c>
      <c r="AY90" s="57">
        <v>206648</v>
      </c>
      <c r="AZ90" s="57">
        <v>219092</v>
      </c>
      <c r="BA90" s="57">
        <v>227245</v>
      </c>
      <c r="BB90" s="57">
        <v>235160</v>
      </c>
      <c r="BC90" s="57">
        <v>243885</v>
      </c>
      <c r="BD90" s="57">
        <v>257019</v>
      </c>
      <c r="BE90" s="57">
        <v>265190</v>
      </c>
      <c r="BF90" s="57">
        <v>288183</v>
      </c>
      <c r="BG90" s="57">
        <v>298707</v>
      </c>
      <c r="BH90" s="57">
        <v>302748</v>
      </c>
      <c r="BI90" s="57">
        <v>304499</v>
      </c>
      <c r="BJ90" s="57">
        <v>305335</v>
      </c>
      <c r="BK90" s="88">
        <v>318704</v>
      </c>
      <c r="BL90" s="204">
        <f>(Tableau8[[#This Row],[mars-20]]-Tableau8[[#This Row],[dec-19]])/Tableau8[[#This Row],[dec-19]]</f>
        <v>4.3784695498387018E-2</v>
      </c>
      <c r="BM90" s="214">
        <f>Tableau8[[#This Row],[mars-20]]-Tableau8[[#This Row],[dec-19]]</f>
        <v>13369</v>
      </c>
      <c r="BN90" s="6">
        <v>388377</v>
      </c>
      <c r="BO90" s="6">
        <v>401052</v>
      </c>
      <c r="BP90" s="6">
        <v>458592</v>
      </c>
      <c r="BQ90" s="6">
        <v>458398</v>
      </c>
      <c r="BR90" s="6">
        <v>460417</v>
      </c>
      <c r="BS90" s="6">
        <v>474000</v>
      </c>
      <c r="BT90" s="6">
        <v>470971</v>
      </c>
      <c r="BU90" s="6">
        <v>488372</v>
      </c>
      <c r="BV90" s="6">
        <v>502562</v>
      </c>
      <c r="BW90" s="6">
        <v>508557</v>
      </c>
      <c r="BX90" s="6"/>
      <c r="BY90" s="554">
        <f>(Tableau8[[#This Row],[juin-24]]-Tableau8[[#This Row],[avr-24]])/Tableau8[[#This Row],[avr-24]]</f>
        <v>1.1928876437136115E-2</v>
      </c>
      <c r="BZ90" s="548">
        <f>Tableau8[[#This Row],[juin-24]]-Tableau8[[#This Row],[avr-24]]</f>
        <v>5995</v>
      </c>
    </row>
    <row r="91" spans="1:78" ht="16.5" x14ac:dyDescent="0.3">
      <c r="A91" s="124"/>
      <c r="B91" s="55" t="s">
        <v>175</v>
      </c>
      <c r="C91" s="54" t="s">
        <v>55</v>
      </c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100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57">
        <v>15915</v>
      </c>
      <c r="AP91" s="57">
        <v>20924</v>
      </c>
      <c r="AQ91" s="57">
        <v>21345</v>
      </c>
      <c r="AR91" s="57">
        <v>21608</v>
      </c>
      <c r="AS91" s="57">
        <v>21785</v>
      </c>
      <c r="AT91" s="57">
        <v>22184</v>
      </c>
      <c r="AU91" s="57">
        <v>23468</v>
      </c>
      <c r="AV91" s="57">
        <v>25198</v>
      </c>
      <c r="AW91" s="57">
        <v>25889</v>
      </c>
      <c r="AX91" s="57">
        <v>26250</v>
      </c>
      <c r="AY91" s="57">
        <v>26944</v>
      </c>
      <c r="AZ91" s="57">
        <v>27796</v>
      </c>
      <c r="BA91" s="57">
        <v>28445</v>
      </c>
      <c r="BB91" s="57">
        <v>28930</v>
      </c>
      <c r="BC91" s="57">
        <v>29659</v>
      </c>
      <c r="BD91" s="57">
        <v>30413</v>
      </c>
      <c r="BE91" s="57">
        <v>30727</v>
      </c>
      <c r="BF91" s="57">
        <v>31083</v>
      </c>
      <c r="BG91" s="57">
        <v>32372</v>
      </c>
      <c r="BH91" s="57">
        <v>33435</v>
      </c>
      <c r="BI91" s="57">
        <v>33661</v>
      </c>
      <c r="BJ91" s="57">
        <v>33971</v>
      </c>
      <c r="BK91" s="88">
        <v>35479</v>
      </c>
      <c r="BL91" s="204">
        <f>(Tableau8[[#This Row],[mars-20]]-Tableau8[[#This Row],[dec-19]])/Tableau8[[#This Row],[dec-19]]</f>
        <v>4.4390803920991435E-2</v>
      </c>
      <c r="BM91" s="214">
        <f>Tableau8[[#This Row],[mars-20]]-Tableau8[[#This Row],[dec-19]]</f>
        <v>1508</v>
      </c>
      <c r="BN91" s="6">
        <v>39400</v>
      </c>
      <c r="BO91" s="6">
        <v>40744</v>
      </c>
      <c r="BP91" s="6">
        <v>46609</v>
      </c>
      <c r="BQ91" s="6">
        <v>48716</v>
      </c>
      <c r="BR91" s="6">
        <v>49589</v>
      </c>
      <c r="BS91" s="6">
        <v>50700</v>
      </c>
      <c r="BT91" s="6">
        <v>50541</v>
      </c>
      <c r="BU91" s="6">
        <v>57500</v>
      </c>
      <c r="BV91" s="6">
        <v>59964</v>
      </c>
      <c r="BW91" s="6">
        <v>60111</v>
      </c>
      <c r="BX91" s="6"/>
      <c r="BY91" s="554">
        <f>(Tableau8[[#This Row],[juin-24]]-Tableau8[[#This Row],[avr-24]])/Tableau8[[#This Row],[avr-24]]</f>
        <v>2.4514708825295176E-3</v>
      </c>
      <c r="BZ91" s="548">
        <f>Tableau8[[#This Row],[juin-24]]-Tableau8[[#This Row],[avr-24]]</f>
        <v>147</v>
      </c>
    </row>
    <row r="92" spans="1:78" ht="16.5" x14ac:dyDescent="0.3">
      <c r="A92" s="121"/>
      <c r="B92" s="55" t="s">
        <v>174</v>
      </c>
      <c r="C92" s="54" t="s">
        <v>55</v>
      </c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100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57">
        <v>33610</v>
      </c>
      <c r="AP92" s="57">
        <v>33831</v>
      </c>
      <c r="AQ92" s="57">
        <v>34098</v>
      </c>
      <c r="AR92" s="57">
        <v>34539</v>
      </c>
      <c r="AS92" s="57">
        <v>35179</v>
      </c>
      <c r="AT92" s="57">
        <v>38052</v>
      </c>
      <c r="AU92" s="57">
        <v>40329</v>
      </c>
      <c r="AV92" s="57">
        <v>42742</v>
      </c>
      <c r="AW92" s="57">
        <v>44410</v>
      </c>
      <c r="AX92" s="57">
        <v>46211</v>
      </c>
      <c r="AY92" s="57">
        <v>48506</v>
      </c>
      <c r="AZ92" s="57">
        <v>51257</v>
      </c>
      <c r="BA92" s="57">
        <v>53220</v>
      </c>
      <c r="BB92" s="57">
        <v>55110</v>
      </c>
      <c r="BC92" s="57">
        <v>56438</v>
      </c>
      <c r="BD92" s="57">
        <v>58171</v>
      </c>
      <c r="BE92" s="57">
        <v>59600</v>
      </c>
      <c r="BF92" s="57">
        <v>62523</v>
      </c>
      <c r="BG92" s="57">
        <v>64491</v>
      </c>
      <c r="BH92" s="57">
        <v>64977</v>
      </c>
      <c r="BI92" s="57">
        <v>65231</v>
      </c>
      <c r="BJ92" s="57">
        <v>65797</v>
      </c>
      <c r="BK92" s="88">
        <v>72311</v>
      </c>
      <c r="BL92" s="204">
        <f>(Tableau8[[#This Row],[mars-20]]-Tableau8[[#This Row],[dec-19]])/Tableau8[[#This Row],[dec-19]]</f>
        <v>9.9001474231347933E-2</v>
      </c>
      <c r="BM92" s="214">
        <f>Tableau8[[#This Row],[mars-20]]-Tableau8[[#This Row],[dec-19]]</f>
        <v>6514</v>
      </c>
      <c r="BN92" s="6">
        <v>88470</v>
      </c>
      <c r="BO92" s="6">
        <v>91149</v>
      </c>
      <c r="BP92" s="6">
        <v>101708</v>
      </c>
      <c r="BQ92" s="6">
        <v>105129</v>
      </c>
      <c r="BR92" s="6">
        <v>107056</v>
      </c>
      <c r="BS92" s="6">
        <v>111000</v>
      </c>
      <c r="BT92" s="6">
        <v>110785</v>
      </c>
      <c r="BU92" s="6">
        <v>126154</v>
      </c>
      <c r="BV92" s="6">
        <v>126451</v>
      </c>
      <c r="BW92" s="6">
        <v>126928</v>
      </c>
      <c r="BX92" s="6"/>
      <c r="BY92" s="554">
        <f>(Tableau8[[#This Row],[juin-24]]-Tableau8[[#This Row],[avr-24]])/Tableau8[[#This Row],[avr-24]]</f>
        <v>3.7722121612324142E-3</v>
      </c>
      <c r="BZ92" s="548">
        <f>Tableau8[[#This Row],[juin-24]]-Tableau8[[#This Row],[avr-24]]</f>
        <v>477</v>
      </c>
    </row>
    <row r="93" spans="1:78" ht="16.5" x14ac:dyDescent="0.3">
      <c r="A93" s="121"/>
      <c r="B93" s="55" t="s">
        <v>273</v>
      </c>
      <c r="C93" s="54" t="s">
        <v>54</v>
      </c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100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57">
        <v>267975</v>
      </c>
      <c r="AP93" s="57">
        <v>271774</v>
      </c>
      <c r="AQ93" s="57">
        <v>279320</v>
      </c>
      <c r="AR93" s="57">
        <v>285222</v>
      </c>
      <c r="AS93" s="57">
        <v>288504</v>
      </c>
      <c r="AT93" s="57">
        <v>304958</v>
      </c>
      <c r="AU93" s="57">
        <v>312071</v>
      </c>
      <c r="AV93" s="57">
        <v>318637</v>
      </c>
      <c r="AW93" s="57">
        <v>322913</v>
      </c>
      <c r="AX93" s="57">
        <v>327217</v>
      </c>
      <c r="AY93" s="57">
        <v>332950</v>
      </c>
      <c r="AZ93" s="57">
        <v>337105</v>
      </c>
      <c r="BA93" s="57">
        <v>340550</v>
      </c>
      <c r="BB93" s="57">
        <v>347795</v>
      </c>
      <c r="BC93" s="57">
        <v>355126</v>
      </c>
      <c r="BD93" s="57">
        <v>359771</v>
      </c>
      <c r="BE93" s="57">
        <v>363172</v>
      </c>
      <c r="BF93" s="57">
        <v>383748</v>
      </c>
      <c r="BG93" s="57">
        <v>395007</v>
      </c>
      <c r="BH93" s="57">
        <v>398579</v>
      </c>
      <c r="BI93" s="57">
        <v>399746</v>
      </c>
      <c r="BJ93" s="57">
        <v>401270</v>
      </c>
      <c r="BK93" s="88">
        <v>414809</v>
      </c>
      <c r="BL93" s="204">
        <f>(Tableau8[[#This Row],[mars-20]]-Tableau8[[#This Row],[dec-19]])/Tableau8[[#This Row],[dec-19]]</f>
        <v>3.3740374311560795E-2</v>
      </c>
      <c r="BM93" s="214">
        <f>Tableau8[[#This Row],[mars-20]]-Tableau8[[#This Row],[dec-19]]</f>
        <v>13539</v>
      </c>
      <c r="BN93" s="6">
        <v>468002</v>
      </c>
      <c r="BO93" s="6">
        <v>481725</v>
      </c>
      <c r="BP93" s="6">
        <v>552845</v>
      </c>
      <c r="BQ93" s="6">
        <v>561949</v>
      </c>
      <c r="BR93" s="6">
        <v>564913</v>
      </c>
      <c r="BS93" s="6">
        <v>573000</v>
      </c>
      <c r="BT93" s="6">
        <v>570504</v>
      </c>
      <c r="BU93" s="6">
        <v>592634</v>
      </c>
      <c r="BV93" s="6">
        <v>605773</v>
      </c>
      <c r="BW93" s="6">
        <v>608378</v>
      </c>
      <c r="BX93" s="6"/>
      <c r="BY93" s="554">
        <f>(Tableau8[[#This Row],[juin-24]]-Tableau8[[#This Row],[avr-24]])/Tableau8[[#This Row],[avr-24]]</f>
        <v>4.3002907029530864E-3</v>
      </c>
      <c r="BZ93" s="548">
        <f>Tableau8[[#This Row],[juin-24]]-Tableau8[[#This Row],[avr-24]]</f>
        <v>2605</v>
      </c>
    </row>
    <row r="94" spans="1:78" ht="16.5" x14ac:dyDescent="0.3">
      <c r="A94" s="124"/>
      <c r="B94" s="55" t="s">
        <v>287</v>
      </c>
      <c r="C94" s="54" t="s">
        <v>54</v>
      </c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100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57">
        <v>156310</v>
      </c>
      <c r="AP94" s="57">
        <v>156764</v>
      </c>
      <c r="AQ94" s="57">
        <v>157915</v>
      </c>
      <c r="AR94" s="57">
        <v>158892</v>
      </c>
      <c r="AS94" s="57">
        <v>160026</v>
      </c>
      <c r="AT94" s="57">
        <v>171195</v>
      </c>
      <c r="AU94" s="57">
        <v>174387</v>
      </c>
      <c r="AV94" s="57">
        <v>176890</v>
      </c>
      <c r="AW94" s="57">
        <v>178524</v>
      </c>
      <c r="AX94" s="57">
        <v>180243</v>
      </c>
      <c r="AY94" s="57">
        <v>181157</v>
      </c>
      <c r="AZ94" s="57">
        <v>193365</v>
      </c>
      <c r="BA94" s="57">
        <v>202745</v>
      </c>
      <c r="BB94" s="57">
        <v>208560</v>
      </c>
      <c r="BC94" s="57">
        <v>217427</v>
      </c>
      <c r="BD94" s="57">
        <v>228230</v>
      </c>
      <c r="BE94" s="57">
        <v>234679</v>
      </c>
      <c r="BF94" s="57">
        <v>252901</v>
      </c>
      <c r="BG94" s="57">
        <v>263222</v>
      </c>
      <c r="BH94" s="57">
        <v>269151</v>
      </c>
      <c r="BI94" s="57">
        <v>271997</v>
      </c>
      <c r="BJ94" s="57">
        <v>273880</v>
      </c>
      <c r="BK94" s="88">
        <v>292087</v>
      </c>
      <c r="BL94" s="204">
        <f>(Tableau8[[#This Row],[mars-20]]-Tableau8[[#This Row],[dec-19]])/Tableau8[[#This Row],[dec-19]]</f>
        <v>6.6478019570614874E-2</v>
      </c>
      <c r="BM94" s="214">
        <f>Tableau8[[#This Row],[mars-20]]-Tableau8[[#This Row],[dec-19]]</f>
        <v>18207</v>
      </c>
      <c r="BN94" s="6">
        <v>351337</v>
      </c>
      <c r="BO94" s="6">
        <v>372151</v>
      </c>
      <c r="BP94" s="6">
        <v>438477</v>
      </c>
      <c r="BQ94" s="6">
        <v>450039</v>
      </c>
      <c r="BR94" s="6">
        <v>452263</v>
      </c>
      <c r="BS94" s="6">
        <v>478000</v>
      </c>
      <c r="BT94" s="6">
        <v>476277</v>
      </c>
      <c r="BU94" s="6">
        <v>520141</v>
      </c>
      <c r="BV94" s="6">
        <v>527389</v>
      </c>
      <c r="BW94" s="6">
        <v>539569</v>
      </c>
      <c r="BX94" s="6"/>
      <c r="BY94" s="554">
        <f>(Tableau8[[#This Row],[juin-24]]-Tableau8[[#This Row],[avr-24]])/Tableau8[[#This Row],[avr-24]]</f>
        <v>2.3094907174779907E-2</v>
      </c>
      <c r="BZ94" s="548">
        <f>Tableau8[[#This Row],[juin-24]]-Tableau8[[#This Row],[avr-24]]</f>
        <v>12180</v>
      </c>
    </row>
    <row r="95" spans="1:78" ht="16.5" x14ac:dyDescent="0.3">
      <c r="A95" s="121"/>
      <c r="B95" s="55" t="s">
        <v>173</v>
      </c>
      <c r="C95" s="54" t="s">
        <v>54</v>
      </c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100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57">
        <v>46025</v>
      </c>
      <c r="AP95" s="57">
        <v>46809</v>
      </c>
      <c r="AQ95" s="57">
        <v>47506</v>
      </c>
      <c r="AR95" s="57">
        <v>48634</v>
      </c>
      <c r="AS95" s="57">
        <v>49727</v>
      </c>
      <c r="AT95" s="57">
        <v>53128</v>
      </c>
      <c r="AU95" s="57">
        <v>54943</v>
      </c>
      <c r="AV95" s="57">
        <v>56109</v>
      </c>
      <c r="AW95" s="57">
        <v>57350</v>
      </c>
      <c r="AX95" s="57">
        <v>58271</v>
      </c>
      <c r="AY95" s="57">
        <v>59055</v>
      </c>
      <c r="AZ95" s="57">
        <v>60876</v>
      </c>
      <c r="BA95" s="57">
        <v>62150</v>
      </c>
      <c r="BB95" s="57">
        <v>63800</v>
      </c>
      <c r="BC95" s="57">
        <v>65089</v>
      </c>
      <c r="BD95" s="57">
        <v>67784</v>
      </c>
      <c r="BE95" s="57">
        <v>69503</v>
      </c>
      <c r="BF95" s="57">
        <v>80300</v>
      </c>
      <c r="BG95" s="57">
        <v>85379</v>
      </c>
      <c r="BH95" s="57">
        <v>86329</v>
      </c>
      <c r="BI95" s="57">
        <v>86868</v>
      </c>
      <c r="BJ95" s="57">
        <v>86783</v>
      </c>
      <c r="BK95" s="88">
        <v>89192</v>
      </c>
      <c r="BL95" s="204">
        <f>(Tableau8[[#This Row],[mars-20]]-Tableau8[[#This Row],[dec-19]])/Tableau8[[#This Row],[dec-19]]</f>
        <v>2.7758892870723528E-2</v>
      </c>
      <c r="BM95" s="214">
        <f>Tableau8[[#This Row],[mars-20]]-Tableau8[[#This Row],[dec-19]]</f>
        <v>2409</v>
      </c>
      <c r="BN95" s="6">
        <v>103267</v>
      </c>
      <c r="BO95" s="6">
        <v>105935</v>
      </c>
      <c r="BP95" s="6">
        <v>118606</v>
      </c>
      <c r="BQ95" s="6">
        <v>119812</v>
      </c>
      <c r="BR95" s="6">
        <v>121086</v>
      </c>
      <c r="BS95" s="6">
        <v>128000</v>
      </c>
      <c r="BT95" s="6">
        <v>127855</v>
      </c>
      <c r="BU95" s="6">
        <v>151080</v>
      </c>
      <c r="BV95" s="6">
        <v>155180</v>
      </c>
      <c r="BW95" s="6">
        <v>155926</v>
      </c>
      <c r="BX95" s="6"/>
      <c r="BY95" s="554">
        <f>(Tableau8[[#This Row],[juin-24]]-Tableau8[[#This Row],[avr-24]])/Tableau8[[#This Row],[avr-24]]</f>
        <v>4.8073205309962621E-3</v>
      </c>
      <c r="BZ95" s="548">
        <f>Tableau8[[#This Row],[juin-24]]-Tableau8[[#This Row],[avr-24]]</f>
        <v>746</v>
      </c>
    </row>
    <row r="96" spans="1:78" ht="16.5" x14ac:dyDescent="0.3">
      <c r="A96" s="121"/>
      <c r="B96" s="55" t="s">
        <v>220</v>
      </c>
      <c r="C96" s="54" t="s">
        <v>54</v>
      </c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100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57">
        <v>598270</v>
      </c>
      <c r="AP96" s="57">
        <v>601988</v>
      </c>
      <c r="AQ96" s="57">
        <v>607605</v>
      </c>
      <c r="AR96" s="57">
        <v>622560</v>
      </c>
      <c r="AS96" s="57">
        <v>631629</v>
      </c>
      <c r="AT96" s="57">
        <v>667420</v>
      </c>
      <c r="AU96" s="57">
        <v>695699</v>
      </c>
      <c r="AV96" s="57">
        <v>706908</v>
      </c>
      <c r="AW96" s="57">
        <v>714398</v>
      </c>
      <c r="AX96" s="57">
        <v>721155</v>
      </c>
      <c r="AY96" s="57">
        <v>728480</v>
      </c>
      <c r="AZ96" s="57">
        <v>738115</v>
      </c>
      <c r="BA96" s="57">
        <v>752490</v>
      </c>
      <c r="BB96" s="57">
        <v>762940</v>
      </c>
      <c r="BC96" s="57">
        <v>771101</v>
      </c>
      <c r="BD96" s="57">
        <v>782227</v>
      </c>
      <c r="BE96" s="57">
        <v>790730</v>
      </c>
      <c r="BF96" s="57">
        <v>829515</v>
      </c>
      <c r="BG96" s="57">
        <v>849117</v>
      </c>
      <c r="BH96" s="57">
        <v>852756</v>
      </c>
      <c r="BI96" s="57">
        <v>855379</v>
      </c>
      <c r="BJ96" s="57">
        <v>855168</v>
      </c>
      <c r="BK96" s="88">
        <v>872320</v>
      </c>
      <c r="BL96" s="204">
        <f>(Tableau8[[#This Row],[mars-20]]-Tableau8[[#This Row],[dec-19]])/Tableau8[[#This Row],[dec-19]]</f>
        <v>2.0056877712917229E-2</v>
      </c>
      <c r="BM96" s="214">
        <f>Tableau8[[#This Row],[mars-20]]-Tableau8[[#This Row],[dec-19]]</f>
        <v>17152</v>
      </c>
      <c r="BN96" s="6">
        <v>928799</v>
      </c>
      <c r="BO96" s="6">
        <v>954994</v>
      </c>
      <c r="BP96" s="6">
        <v>1059086</v>
      </c>
      <c r="BQ96" s="6">
        <v>1073951</v>
      </c>
      <c r="BR96" s="6">
        <v>1080037</v>
      </c>
      <c r="BS96" s="6">
        <v>1098000</v>
      </c>
      <c r="BT96" s="6">
        <v>1093960</v>
      </c>
      <c r="BU96" s="6">
        <v>1126095</v>
      </c>
      <c r="BV96" s="6">
        <v>1128694</v>
      </c>
      <c r="BW96" s="6">
        <v>1134372</v>
      </c>
      <c r="BX96" s="6"/>
      <c r="BY96" s="554">
        <f>(Tableau8[[#This Row],[juin-24]]-Tableau8[[#This Row],[avr-24]])/Tableau8[[#This Row],[avr-24]]</f>
        <v>5.0305928799125365E-3</v>
      </c>
      <c r="BZ96" s="548">
        <f>Tableau8[[#This Row],[juin-24]]-Tableau8[[#This Row],[avr-24]]</f>
        <v>5678</v>
      </c>
    </row>
    <row r="97" spans="1:131" ht="16.5" x14ac:dyDescent="0.3">
      <c r="A97" s="124"/>
      <c r="B97" s="55" t="s">
        <v>219</v>
      </c>
      <c r="C97" s="54" t="s">
        <v>55</v>
      </c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100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57"/>
      <c r="AP97" s="57"/>
      <c r="AQ97" s="57"/>
      <c r="AR97" s="57"/>
      <c r="AS97" s="57"/>
      <c r="AT97" s="57"/>
      <c r="AU97" s="57"/>
      <c r="AV97" s="57"/>
      <c r="AW97" s="57">
        <v>9764</v>
      </c>
      <c r="AX97" s="57">
        <v>9827</v>
      </c>
      <c r="AY97" s="57">
        <v>9967</v>
      </c>
      <c r="AZ97" s="57">
        <v>10558</v>
      </c>
      <c r="BA97" s="57">
        <v>10835</v>
      </c>
      <c r="BB97" s="57">
        <v>11260</v>
      </c>
      <c r="BC97" s="57">
        <v>11630</v>
      </c>
      <c r="BD97" s="57">
        <v>11867</v>
      </c>
      <c r="BE97" s="57">
        <v>12170</v>
      </c>
      <c r="BF97" s="57">
        <v>14509</v>
      </c>
      <c r="BG97" s="57">
        <v>15866</v>
      </c>
      <c r="BH97" s="57">
        <v>16121</v>
      </c>
      <c r="BI97" s="57">
        <v>16166</v>
      </c>
      <c r="BJ97" s="57">
        <v>16231</v>
      </c>
      <c r="BK97" s="88">
        <v>17893</v>
      </c>
      <c r="BL97" s="204">
        <f>(Tableau8[[#This Row],[mars-20]]-Tableau8[[#This Row],[dec-19]])/Tableau8[[#This Row],[dec-19]]</f>
        <v>0.10239664838888547</v>
      </c>
      <c r="BM97" s="214">
        <f>Tableau8[[#This Row],[mars-20]]-Tableau8[[#This Row],[dec-19]]</f>
        <v>1662</v>
      </c>
      <c r="BN97" s="6">
        <v>20000</v>
      </c>
      <c r="BO97" s="6">
        <v>20655</v>
      </c>
      <c r="BP97" s="6">
        <v>308603</v>
      </c>
      <c r="BQ97" s="6">
        <v>305499</v>
      </c>
      <c r="BR97" s="6">
        <v>308208</v>
      </c>
      <c r="BS97" s="6">
        <v>316000</v>
      </c>
      <c r="BT97" s="6">
        <v>315099</v>
      </c>
      <c r="BU97" s="6">
        <v>319765</v>
      </c>
      <c r="BV97" s="6">
        <v>316996</v>
      </c>
      <c r="BW97" s="6">
        <v>317720</v>
      </c>
      <c r="BX97" s="6"/>
      <c r="BY97" s="554">
        <f>(Tableau8[[#This Row],[juin-24]]-Tableau8[[#This Row],[avr-24]])/Tableau8[[#This Row],[avr-24]]</f>
        <v>2.2839404913626671E-3</v>
      </c>
      <c r="BZ97" s="548">
        <f>Tableau8[[#This Row],[juin-24]]-Tableau8[[#This Row],[avr-24]]</f>
        <v>724</v>
      </c>
    </row>
    <row r="98" spans="1:131" ht="16.5" x14ac:dyDescent="0.3">
      <c r="A98" s="121"/>
      <c r="B98" s="121" t="s">
        <v>288</v>
      </c>
      <c r="C98" s="54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100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57"/>
      <c r="BC98" s="57"/>
      <c r="BD98" s="57"/>
      <c r="BE98" s="57">
        <v>35163</v>
      </c>
      <c r="BF98" s="57">
        <v>35360</v>
      </c>
      <c r="BG98" s="57">
        <v>35787</v>
      </c>
      <c r="BH98" s="57">
        <v>36052</v>
      </c>
      <c r="BI98" s="57">
        <v>36226</v>
      </c>
      <c r="BJ98" s="57">
        <v>38302</v>
      </c>
      <c r="BK98" s="88">
        <v>46393</v>
      </c>
      <c r="BL98" s="204">
        <f>(Tableau8[[#This Row],[mars-20]]-Tableau8[[#This Row],[dec-19]])/Tableau8[[#This Row],[dec-19]]</f>
        <v>0.211242232781578</v>
      </c>
      <c r="BM98" s="214">
        <f>Tableau8[[#This Row],[mars-20]]-Tableau8[[#This Row],[dec-19]]</f>
        <v>8091</v>
      </c>
      <c r="BN98" s="6">
        <v>64705</v>
      </c>
      <c r="BO98" s="6">
        <v>68351</v>
      </c>
      <c r="BP98" s="6">
        <v>103914</v>
      </c>
      <c r="BQ98" s="6">
        <v>107823</v>
      </c>
      <c r="BR98" s="6">
        <v>108381</v>
      </c>
      <c r="BS98" s="6">
        <v>114000</v>
      </c>
      <c r="BT98" s="6">
        <v>113757</v>
      </c>
      <c r="BU98" s="6">
        <v>125159</v>
      </c>
      <c r="BV98" s="6">
        <v>127309</v>
      </c>
      <c r="BW98" s="6">
        <v>127897</v>
      </c>
      <c r="BX98" s="6"/>
      <c r="BY98" s="554">
        <f>(Tableau8[[#This Row],[juin-24]]-Tableau8[[#This Row],[avr-24]])/Tableau8[[#This Row],[avr-24]]</f>
        <v>4.6186836751525816E-3</v>
      </c>
      <c r="BZ98" s="548">
        <f>Tableau8[[#This Row],[juin-24]]-Tableau8[[#This Row],[avr-24]]</f>
        <v>588</v>
      </c>
    </row>
    <row r="99" spans="1:131" ht="16.5" x14ac:dyDescent="0.3">
      <c r="A99" s="121"/>
      <c r="B99" s="55" t="s">
        <v>171</v>
      </c>
      <c r="C99" s="54" t="s">
        <v>54</v>
      </c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100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57">
        <v>71290</v>
      </c>
      <c r="AP99" s="57">
        <v>73588</v>
      </c>
      <c r="AQ99" s="57">
        <v>75883</v>
      </c>
      <c r="AR99" s="57">
        <v>79697</v>
      </c>
      <c r="AS99" s="57">
        <v>81457</v>
      </c>
      <c r="AT99" s="57">
        <v>87936</v>
      </c>
      <c r="AU99" s="57">
        <v>89939</v>
      </c>
      <c r="AV99" s="57">
        <v>92623</v>
      </c>
      <c r="AW99" s="57">
        <v>95479</v>
      </c>
      <c r="AX99" s="57">
        <v>97544</v>
      </c>
      <c r="AY99" s="57">
        <v>102580</v>
      </c>
      <c r="AZ99" s="57">
        <v>108394</v>
      </c>
      <c r="BA99" s="57">
        <v>112840</v>
      </c>
      <c r="BB99" s="57">
        <v>117985</v>
      </c>
      <c r="BC99" s="57">
        <v>123643</v>
      </c>
      <c r="BD99" s="57">
        <v>130531</v>
      </c>
      <c r="BE99" s="57">
        <v>133840</v>
      </c>
      <c r="BF99" s="57">
        <v>145711</v>
      </c>
      <c r="BG99" s="57">
        <v>157416</v>
      </c>
      <c r="BH99" s="57">
        <v>160234</v>
      </c>
      <c r="BI99" s="57">
        <v>161275</v>
      </c>
      <c r="BJ99" s="57">
        <v>161980</v>
      </c>
      <c r="BK99" s="88">
        <v>170978</v>
      </c>
      <c r="BL99" s="204">
        <f>(Tableau8[[#This Row],[mars-20]]-Tableau8[[#This Row],[dec-19]])/Tableau8[[#This Row],[dec-19]]</f>
        <v>5.5550067909618472E-2</v>
      </c>
      <c r="BM99" s="214">
        <f>Tableau8[[#This Row],[mars-20]]-Tableau8[[#This Row],[dec-19]]</f>
        <v>8998</v>
      </c>
      <c r="BN99" s="6">
        <v>190163</v>
      </c>
      <c r="BO99" s="6">
        <v>193611</v>
      </c>
      <c r="BP99" s="6">
        <v>212268</v>
      </c>
      <c r="BQ99" s="6">
        <v>219411</v>
      </c>
      <c r="BR99" s="6">
        <v>220731</v>
      </c>
      <c r="BS99" s="6">
        <v>226000</v>
      </c>
      <c r="BT99" s="6">
        <v>224885</v>
      </c>
      <c r="BU99" s="6">
        <v>229286</v>
      </c>
      <c r="BV99" s="6">
        <v>0</v>
      </c>
      <c r="BW99" s="6">
        <v>233150</v>
      </c>
      <c r="BX99" s="6"/>
      <c r="BY99" s="554">
        <f>(Tableau8[[#This Row],[juin-24]]-Tableau8[[#This Row],[oct-23]])/Tableau8[[#This Row],[oct-23]]</f>
        <v>1.6852315448828103E-2</v>
      </c>
      <c r="BZ99" s="548">
        <f>Tableau8[[#This Row],[juin-24]]-Tableau8[[#This Row],[avr-24]]</f>
        <v>233150</v>
      </c>
    </row>
    <row r="100" spans="1:131" ht="16.5" x14ac:dyDescent="0.3">
      <c r="A100" s="124"/>
      <c r="B100" s="55" t="s">
        <v>170</v>
      </c>
      <c r="C100" s="54" t="s">
        <v>54</v>
      </c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100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57">
        <v>374125</v>
      </c>
      <c r="AP100" s="57">
        <v>378535</v>
      </c>
      <c r="AQ100" s="57">
        <v>382615</v>
      </c>
      <c r="AR100" s="57">
        <v>391456</v>
      </c>
      <c r="AS100" s="57">
        <v>395747</v>
      </c>
      <c r="AT100" s="57">
        <v>418057</v>
      </c>
      <c r="AU100" s="57">
        <v>428448</v>
      </c>
      <c r="AV100" s="57">
        <v>439740</v>
      </c>
      <c r="AW100" s="57">
        <v>447613</v>
      </c>
      <c r="AX100" s="57">
        <v>455391</v>
      </c>
      <c r="AY100" s="57">
        <v>462683</v>
      </c>
      <c r="AZ100" s="57">
        <v>471764</v>
      </c>
      <c r="BA100" s="57">
        <v>484080</v>
      </c>
      <c r="BB100" s="57">
        <v>491850</v>
      </c>
      <c r="BC100" s="57">
        <v>497159</v>
      </c>
      <c r="BD100" s="57">
        <v>526737</v>
      </c>
      <c r="BE100" s="57">
        <v>537816</v>
      </c>
      <c r="BF100" s="57">
        <v>563070</v>
      </c>
      <c r="BG100" s="57">
        <v>571932</v>
      </c>
      <c r="BH100" s="57">
        <v>575541</v>
      </c>
      <c r="BI100" s="57">
        <v>575459</v>
      </c>
      <c r="BJ100" s="57">
        <v>573746</v>
      </c>
      <c r="BK100" s="88">
        <v>575611</v>
      </c>
      <c r="BL100" s="204">
        <f>(Tableau8[[#This Row],[mars-20]]-Tableau8[[#This Row],[dec-19]])/Tableau8[[#This Row],[dec-19]]</f>
        <v>3.2505673242166394E-3</v>
      </c>
      <c r="BM100" s="214">
        <f>Tableau8[[#This Row],[mars-20]]-Tableau8[[#This Row],[dec-19]]</f>
        <v>1865</v>
      </c>
      <c r="BN100" s="6">
        <v>628347</v>
      </c>
      <c r="BO100" s="6">
        <v>634780</v>
      </c>
      <c r="BP100" s="6">
        <v>682268</v>
      </c>
      <c r="BQ100" s="6">
        <v>698865</v>
      </c>
      <c r="BR100" s="6">
        <v>701555</v>
      </c>
      <c r="BS100" s="6">
        <v>715000</v>
      </c>
      <c r="BT100" s="6">
        <v>713875</v>
      </c>
      <c r="BU100" s="6">
        <v>723913</v>
      </c>
      <c r="BV100" s="6">
        <v>733171</v>
      </c>
      <c r="BW100" s="6">
        <v>735366</v>
      </c>
      <c r="BX100" s="6"/>
      <c r="BY100" s="554">
        <f>(Tableau8[[#This Row],[juin-24]]-Tableau8[[#This Row],[avr-24]])/Tableau8[[#This Row],[avr-24]]</f>
        <v>2.9938445464973381E-3</v>
      </c>
      <c r="BZ100" s="548">
        <f>Tableau8[[#This Row],[juin-24]]-Tableau8[[#This Row],[avr-24]]</f>
        <v>2195</v>
      </c>
    </row>
    <row r="101" spans="1:131" ht="16.5" x14ac:dyDescent="0.3">
      <c r="A101" s="121"/>
      <c r="B101" s="55" t="s">
        <v>167</v>
      </c>
      <c r="C101" s="54" t="s">
        <v>55</v>
      </c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100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57">
        <v>13490</v>
      </c>
      <c r="AP101" s="57">
        <v>14033</v>
      </c>
      <c r="AQ101" s="57">
        <v>14409</v>
      </c>
      <c r="AR101" s="57">
        <v>14678</v>
      </c>
      <c r="AS101" s="57">
        <v>15166</v>
      </c>
      <c r="AT101" s="57">
        <v>18147</v>
      </c>
      <c r="AU101" s="57">
        <v>19372</v>
      </c>
      <c r="AV101" s="57">
        <v>19575</v>
      </c>
      <c r="AW101" s="57">
        <v>19873</v>
      </c>
      <c r="AX101" s="114">
        <v>19970</v>
      </c>
      <c r="AY101" s="114">
        <v>20602</v>
      </c>
      <c r="AZ101" s="114">
        <v>22883</v>
      </c>
      <c r="BA101" s="114">
        <v>23435</v>
      </c>
      <c r="BB101" s="114">
        <v>24250</v>
      </c>
      <c r="BC101" s="114">
        <v>24848</v>
      </c>
      <c r="BD101" s="114">
        <v>25567</v>
      </c>
      <c r="BE101" s="114">
        <v>26749</v>
      </c>
      <c r="BF101" s="114">
        <v>32009</v>
      </c>
      <c r="BG101" s="114">
        <v>45037</v>
      </c>
      <c r="BH101" s="114">
        <v>47687</v>
      </c>
      <c r="BI101" s="114">
        <v>48707</v>
      </c>
      <c r="BJ101" s="114">
        <v>52079</v>
      </c>
      <c r="BK101" s="100">
        <v>77735</v>
      </c>
      <c r="BL101" s="204">
        <f>(Tableau8[[#This Row],[mars-20]]-Tableau8[[#This Row],[dec-19]])/Tableau8[[#This Row],[dec-19]]</f>
        <v>0.4926361873307859</v>
      </c>
      <c r="BM101" s="214">
        <f>Tableau8[[#This Row],[mars-20]]-Tableau8[[#This Row],[dec-19]]</f>
        <v>25656</v>
      </c>
      <c r="BN101" s="6">
        <v>121296</v>
      </c>
      <c r="BO101" s="6">
        <v>123233</v>
      </c>
      <c r="BP101" s="6">
        <v>140093</v>
      </c>
      <c r="BQ101" s="6">
        <v>144337</v>
      </c>
      <c r="BR101" s="6">
        <v>145699</v>
      </c>
      <c r="BS101" s="6">
        <v>165000</v>
      </c>
      <c r="BT101" s="6">
        <v>158880</v>
      </c>
      <c r="BU101" s="6">
        <v>160225</v>
      </c>
      <c r="BV101" s="6">
        <v>160447</v>
      </c>
      <c r="BW101" s="6">
        <v>162601</v>
      </c>
      <c r="BX101" s="6"/>
      <c r="BY101" s="554">
        <f>(Tableau8[[#This Row],[juin-24]]-Tableau8[[#This Row],[avr-24]])/Tableau8[[#This Row],[avr-24]]</f>
        <v>1.3424993923226984E-2</v>
      </c>
      <c r="BZ101" s="548">
        <f>Tableau8[[#This Row],[juin-24]]-Tableau8[[#This Row],[avr-24]]</f>
        <v>2154</v>
      </c>
    </row>
    <row r="102" spans="1:131" ht="16.5" x14ac:dyDescent="0.3">
      <c r="A102" s="121"/>
      <c r="B102" s="55" t="s">
        <v>226</v>
      </c>
      <c r="C102" s="54" t="s">
        <v>54</v>
      </c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100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57">
        <v>155865</v>
      </c>
      <c r="AP102" s="57">
        <v>157536</v>
      </c>
      <c r="AQ102" s="57">
        <v>158956</v>
      </c>
      <c r="AR102" s="57">
        <v>170457</v>
      </c>
      <c r="AS102" s="57">
        <v>175930</v>
      </c>
      <c r="AT102" s="57">
        <v>187962</v>
      </c>
      <c r="AU102" s="57">
        <v>192370</v>
      </c>
      <c r="AV102" s="57">
        <v>198755</v>
      </c>
      <c r="AW102" s="57">
        <v>202903</v>
      </c>
      <c r="AX102" s="57">
        <v>206665</v>
      </c>
      <c r="AY102" s="57">
        <v>212234</v>
      </c>
      <c r="AZ102" s="57">
        <v>219951</v>
      </c>
      <c r="BA102" s="57">
        <v>225815</v>
      </c>
      <c r="BB102" s="57">
        <v>230995</v>
      </c>
      <c r="BC102" s="57">
        <v>236342</v>
      </c>
      <c r="BD102" s="57">
        <v>247069</v>
      </c>
      <c r="BE102" s="57">
        <v>251599</v>
      </c>
      <c r="BF102" s="57">
        <v>265146</v>
      </c>
      <c r="BG102" s="57">
        <v>272350</v>
      </c>
      <c r="BH102" s="57">
        <v>276346</v>
      </c>
      <c r="BI102" s="57">
        <v>278580</v>
      </c>
      <c r="BJ102" s="57">
        <v>280309</v>
      </c>
      <c r="BK102" s="88">
        <v>289509</v>
      </c>
      <c r="BL102" s="204">
        <f>(Tableau8[[#This Row],[mars-20]]-Tableau8[[#This Row],[dec-19]])/Tableau8[[#This Row],[dec-19]]</f>
        <v>3.2820922624674911E-2</v>
      </c>
      <c r="BM102" s="214">
        <f>Tableau8[[#This Row],[mars-20]]-Tableau8[[#This Row],[dec-19]]</f>
        <v>9200</v>
      </c>
      <c r="BN102" s="6">
        <v>324485</v>
      </c>
      <c r="BO102" s="6">
        <v>330235</v>
      </c>
      <c r="BP102" s="6">
        <v>345990</v>
      </c>
      <c r="BQ102" s="6">
        <v>344527</v>
      </c>
      <c r="BR102" s="6">
        <v>344088</v>
      </c>
      <c r="BS102" s="6">
        <v>344233</v>
      </c>
      <c r="BT102" s="6">
        <v>342244</v>
      </c>
      <c r="BU102" s="6">
        <v>344377</v>
      </c>
      <c r="BV102" s="6">
        <v>342815</v>
      </c>
      <c r="BW102" s="6">
        <v>341850</v>
      </c>
      <c r="BX102" s="6"/>
      <c r="BY102" s="554">
        <f>(Tableau8[[#This Row],[juin-24]]-Tableau8[[#This Row],[avr-24]])/Tableau8[[#This Row],[avr-24]]</f>
        <v>-2.8149293350641018E-3</v>
      </c>
      <c r="BZ102" s="548">
        <f>Tableau8[[#This Row],[juin-24]]-Tableau8[[#This Row],[avr-24]]</f>
        <v>-965</v>
      </c>
    </row>
    <row r="103" spans="1:131" ht="16.5" x14ac:dyDescent="0.3">
      <c r="A103" s="124"/>
      <c r="B103" s="55" t="s">
        <v>222</v>
      </c>
      <c r="C103" s="54" t="s">
        <v>54</v>
      </c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100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57">
        <v>172400</v>
      </c>
      <c r="AP103" s="57">
        <v>173545</v>
      </c>
      <c r="AQ103" s="57">
        <v>175341</v>
      </c>
      <c r="AR103" s="57">
        <v>181132</v>
      </c>
      <c r="AS103" s="57">
        <v>184030</v>
      </c>
      <c r="AT103" s="57">
        <v>196938</v>
      </c>
      <c r="AU103" s="57">
        <v>201795</v>
      </c>
      <c r="AV103" s="57">
        <v>205383</v>
      </c>
      <c r="AW103" s="57">
        <v>208655</v>
      </c>
      <c r="AX103" s="57">
        <v>210174</v>
      </c>
      <c r="AY103" s="57">
        <v>213097</v>
      </c>
      <c r="AZ103" s="57">
        <v>217828</v>
      </c>
      <c r="BA103" s="57">
        <v>219885</v>
      </c>
      <c r="BB103" s="57">
        <v>223890</v>
      </c>
      <c r="BC103" s="57">
        <v>227827</v>
      </c>
      <c r="BD103" s="57">
        <v>234245</v>
      </c>
      <c r="BE103" s="57">
        <v>237215</v>
      </c>
      <c r="BF103" s="57">
        <v>243656</v>
      </c>
      <c r="BG103" s="57">
        <v>246201</v>
      </c>
      <c r="BH103" s="57">
        <v>247301</v>
      </c>
      <c r="BI103" s="57">
        <v>247653</v>
      </c>
      <c r="BJ103" s="57">
        <v>247253</v>
      </c>
      <c r="BK103" s="88">
        <v>249520</v>
      </c>
      <c r="BL103" s="204">
        <f>(Tableau8[[#This Row],[mars-20]]-Tableau8[[#This Row],[dec-19]])/Tableau8[[#This Row],[dec-19]]</f>
        <v>9.1687461830594567E-3</v>
      </c>
      <c r="BM103" s="214">
        <f>Tableau8[[#This Row],[mars-20]]-Tableau8[[#This Row],[dec-19]]</f>
        <v>2267</v>
      </c>
      <c r="BN103" s="6">
        <v>275734</v>
      </c>
      <c r="BO103" s="6">
        <v>283723</v>
      </c>
      <c r="BP103" s="6">
        <v>294165</v>
      </c>
      <c r="BQ103" s="6">
        <v>298022</v>
      </c>
      <c r="BR103" s="6">
        <v>298059</v>
      </c>
      <c r="BS103" s="6">
        <v>303000</v>
      </c>
      <c r="BT103" s="6">
        <v>301693</v>
      </c>
      <c r="BU103" s="6">
        <v>311427</v>
      </c>
      <c r="BV103" s="6">
        <v>309954</v>
      </c>
      <c r="BW103" s="6">
        <v>309393</v>
      </c>
      <c r="BX103" s="6"/>
      <c r="BY103" s="554">
        <f>(Tableau8[[#This Row],[juin-24]]-Tableau8[[#This Row],[avr-24]])/Tableau8[[#This Row],[avr-24]]</f>
        <v>-1.8099459919859076E-3</v>
      </c>
      <c r="BZ103" s="548">
        <f>Tableau8[[#This Row],[juin-24]]-Tableau8[[#This Row],[avr-24]]</f>
        <v>-561</v>
      </c>
    </row>
    <row r="104" spans="1:131" ht="16.5" x14ac:dyDescent="0.3">
      <c r="A104" s="121"/>
      <c r="B104" s="55" t="s">
        <v>166</v>
      </c>
      <c r="C104" s="54" t="s">
        <v>54</v>
      </c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100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57"/>
      <c r="AP104" s="57">
        <v>49700</v>
      </c>
      <c r="AQ104" s="57">
        <v>51140</v>
      </c>
      <c r="AR104" s="57">
        <v>52698</v>
      </c>
      <c r="AS104" s="57">
        <v>53851</v>
      </c>
      <c r="AT104" s="57">
        <v>61816</v>
      </c>
      <c r="AU104" s="57">
        <v>66583</v>
      </c>
      <c r="AV104" s="57">
        <v>70386</v>
      </c>
      <c r="AW104" s="57">
        <v>72889</v>
      </c>
      <c r="AX104" s="57">
        <v>75745</v>
      </c>
      <c r="AY104" s="57">
        <v>79966</v>
      </c>
      <c r="AZ104" s="57">
        <v>83560</v>
      </c>
      <c r="BA104" s="57">
        <v>86815</v>
      </c>
      <c r="BB104" s="57">
        <v>92920</v>
      </c>
      <c r="BC104" s="57">
        <v>97701</v>
      </c>
      <c r="BD104" s="57">
        <v>105893</v>
      </c>
      <c r="BE104" s="57">
        <v>110954</v>
      </c>
      <c r="BF104" s="57">
        <v>138033</v>
      </c>
      <c r="BG104" s="57">
        <v>150031</v>
      </c>
      <c r="BH104" s="57">
        <v>158449</v>
      </c>
      <c r="BI104" s="57">
        <v>162290</v>
      </c>
      <c r="BJ104" s="57">
        <v>165487</v>
      </c>
      <c r="BK104" s="88">
        <v>189426</v>
      </c>
      <c r="BL104" s="204">
        <f>(Tableau8[[#This Row],[mars-20]]-Tableau8[[#This Row],[dec-19]])/Tableau8[[#This Row],[dec-19]]</f>
        <v>0.1446578885350511</v>
      </c>
      <c r="BM104" s="214">
        <f>Tableau8[[#This Row],[mars-20]]-Tableau8[[#This Row],[dec-19]]</f>
        <v>23939</v>
      </c>
      <c r="BN104" s="6">
        <v>286020</v>
      </c>
      <c r="BO104" s="6">
        <v>308501</v>
      </c>
      <c r="BP104" s="6">
        <v>413356</v>
      </c>
      <c r="BQ104" s="6">
        <v>443173</v>
      </c>
      <c r="BR104" s="6">
        <v>450495</v>
      </c>
      <c r="BS104" s="6">
        <v>552000</v>
      </c>
      <c r="BT104" s="6">
        <v>549912</v>
      </c>
      <c r="BU104" s="6">
        <v>774668</v>
      </c>
      <c r="BV104" s="6">
        <v>811648</v>
      </c>
      <c r="BW104" s="6">
        <v>831021</v>
      </c>
      <c r="BX104" s="6"/>
      <c r="BY104" s="554">
        <f>(Tableau8[[#This Row],[juin-24]]-Tableau8[[#This Row],[avr-24]])/Tableau8[[#This Row],[avr-24]]</f>
        <v>2.3868721416180412E-2</v>
      </c>
      <c r="BZ104" s="548">
        <f>Tableau8[[#This Row],[juin-24]]-Tableau8[[#This Row],[avr-24]]</f>
        <v>19373</v>
      </c>
    </row>
    <row r="105" spans="1:131" ht="16.5" x14ac:dyDescent="0.3">
      <c r="A105" s="121"/>
      <c r="B105" s="55" t="s">
        <v>168</v>
      </c>
      <c r="C105" s="54" t="s">
        <v>55</v>
      </c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100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57">
        <v>77020</v>
      </c>
      <c r="AP105" s="57">
        <v>76945</v>
      </c>
      <c r="AQ105" s="57">
        <v>76819</v>
      </c>
      <c r="AR105" s="57">
        <v>76695</v>
      </c>
      <c r="AS105" s="57">
        <v>76637</v>
      </c>
      <c r="AT105" s="57">
        <v>76767</v>
      </c>
      <c r="AU105" s="57">
        <v>76915</v>
      </c>
      <c r="AV105" s="57">
        <v>77143</v>
      </c>
      <c r="AW105" s="57">
        <v>77750</v>
      </c>
      <c r="AX105" s="114">
        <v>78480</v>
      </c>
      <c r="AY105" s="114">
        <v>78890</v>
      </c>
      <c r="AZ105" s="114">
        <v>79176</v>
      </c>
      <c r="BA105" s="114">
        <v>80050</v>
      </c>
      <c r="BB105" s="114">
        <v>81240</v>
      </c>
      <c r="BC105" s="114">
        <v>82211</v>
      </c>
      <c r="BD105" s="114">
        <v>83546</v>
      </c>
      <c r="BE105" s="114">
        <v>83818</v>
      </c>
      <c r="BF105" s="114">
        <v>84486</v>
      </c>
      <c r="BG105" s="114">
        <v>85791</v>
      </c>
      <c r="BH105" s="114">
        <v>86398</v>
      </c>
      <c r="BI105" s="114">
        <v>87331</v>
      </c>
      <c r="BJ105" s="114">
        <v>88154</v>
      </c>
      <c r="BK105" s="88">
        <v>91347</v>
      </c>
      <c r="BL105" s="204">
        <f>(Tableau8[[#This Row],[mars-20]]-Tableau8[[#This Row],[dec-19]])/Tableau8[[#This Row],[dec-19]]</f>
        <v>3.6220704675908072E-2</v>
      </c>
      <c r="BM105" s="214">
        <f>Tableau8[[#This Row],[mars-20]]-Tableau8[[#This Row],[dec-19]]</f>
        <v>3193</v>
      </c>
      <c r="BN105" s="6">
        <v>95400</v>
      </c>
      <c r="BO105" s="6">
        <v>96077</v>
      </c>
      <c r="BP105" s="6">
        <v>99030</v>
      </c>
      <c r="BQ105" s="6">
        <v>99168</v>
      </c>
      <c r="BR105" s="6">
        <v>99162</v>
      </c>
      <c r="BS105" s="6">
        <v>99200</v>
      </c>
      <c r="BT105" s="6">
        <v>99344</v>
      </c>
      <c r="BU105" s="6">
        <v>100000</v>
      </c>
      <c r="BV105" s="6">
        <v>101567</v>
      </c>
      <c r="BW105" s="6">
        <v>103044</v>
      </c>
      <c r="BX105" s="6"/>
      <c r="BY105" s="554">
        <f>(Tableau8[[#This Row],[juin-24]]-Tableau8[[#This Row],[avr-24]])/Tableau8[[#This Row],[avr-24]]</f>
        <v>1.4542124902773538E-2</v>
      </c>
      <c r="BZ105" s="548">
        <f>Tableau8[[#This Row],[juin-24]]-Tableau8[[#This Row],[avr-24]]</f>
        <v>1477</v>
      </c>
    </row>
    <row r="106" spans="1:131" ht="16.5" x14ac:dyDescent="0.3">
      <c r="A106" s="121"/>
      <c r="B106" s="55" t="s">
        <v>223</v>
      </c>
      <c r="C106" s="54" t="s">
        <v>55</v>
      </c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100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57">
        <v>28580</v>
      </c>
      <c r="AP106" s="57">
        <v>29135</v>
      </c>
      <c r="AQ106" s="57">
        <v>29429</v>
      </c>
      <c r="AR106" s="57">
        <v>29711</v>
      </c>
      <c r="AS106" s="57">
        <v>29840</v>
      </c>
      <c r="AT106" s="57">
        <v>31516</v>
      </c>
      <c r="AU106" s="57">
        <v>32095</v>
      </c>
      <c r="AV106" s="57">
        <v>32080</v>
      </c>
      <c r="AW106" s="57">
        <v>32172</v>
      </c>
      <c r="AX106" s="57">
        <v>32215</v>
      </c>
      <c r="AY106" s="57">
        <v>33223</v>
      </c>
      <c r="AZ106" s="57">
        <v>33892</v>
      </c>
      <c r="BA106" s="57">
        <v>34375</v>
      </c>
      <c r="BB106" s="57">
        <v>35335</v>
      </c>
      <c r="BC106" s="57">
        <v>37133</v>
      </c>
      <c r="BD106" s="57">
        <v>38278</v>
      </c>
      <c r="BE106" s="57">
        <v>38788</v>
      </c>
      <c r="BF106" s="57">
        <v>40884</v>
      </c>
      <c r="BG106" s="57">
        <v>41428</v>
      </c>
      <c r="BH106" s="57">
        <v>36311</v>
      </c>
      <c r="BI106" s="57">
        <v>41439</v>
      </c>
      <c r="BJ106" s="57">
        <v>41523</v>
      </c>
      <c r="BK106" s="88">
        <v>42558</v>
      </c>
      <c r="BL106" s="204">
        <f>(Tableau8[[#This Row],[mars-20]]-Tableau8[[#This Row],[dec-19]])/Tableau8[[#This Row],[dec-19]]</f>
        <v>2.4925944657177949E-2</v>
      </c>
      <c r="BM106" s="214">
        <f>Tableau8[[#This Row],[mars-20]]-Tableau8[[#This Row],[dec-19]]</f>
        <v>1035</v>
      </c>
      <c r="BN106" s="6">
        <v>49028</v>
      </c>
      <c r="BO106" s="6">
        <v>49733</v>
      </c>
      <c r="BP106" s="6">
        <v>72264</v>
      </c>
      <c r="BQ106" s="6">
        <v>108746</v>
      </c>
      <c r="BR106" s="6">
        <v>110487</v>
      </c>
      <c r="BS106" s="6">
        <v>118000</v>
      </c>
      <c r="BT106" s="6">
        <v>117773</v>
      </c>
      <c r="BU106" s="6">
        <v>126472</v>
      </c>
      <c r="BV106" s="6">
        <v>128403</v>
      </c>
      <c r="BW106" s="6">
        <v>129188</v>
      </c>
      <c r="BX106" s="6"/>
      <c r="BY106" s="554">
        <f>(Tableau8[[#This Row],[juin-24]]-Tableau8[[#This Row],[avr-24]])/Tableau8[[#This Row],[avr-24]]</f>
        <v>6.1135643248210712E-3</v>
      </c>
      <c r="BZ106" s="548">
        <f>Tableau8[[#This Row],[juin-24]]-Tableau8[[#This Row],[avr-24]]</f>
        <v>785</v>
      </c>
    </row>
    <row r="107" spans="1:131" ht="16.5" x14ac:dyDescent="0.3">
      <c r="A107" s="121"/>
      <c r="B107" s="55" t="s">
        <v>169</v>
      </c>
      <c r="C107" s="54" t="s">
        <v>54</v>
      </c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100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57">
        <v>292570</v>
      </c>
      <c r="AP107" s="57">
        <v>296266</v>
      </c>
      <c r="AQ107" s="57">
        <v>301084</v>
      </c>
      <c r="AR107" s="57">
        <v>307057</v>
      </c>
      <c r="AS107" s="57">
        <v>311039</v>
      </c>
      <c r="AT107" s="57">
        <v>324812</v>
      </c>
      <c r="AU107" s="57">
        <v>332956</v>
      </c>
      <c r="AV107" s="57">
        <v>338426</v>
      </c>
      <c r="AW107" s="57">
        <v>343253</v>
      </c>
      <c r="AX107" s="114">
        <v>348315</v>
      </c>
      <c r="AY107" s="114">
        <v>353922</v>
      </c>
      <c r="AZ107" s="114">
        <v>361930</v>
      </c>
      <c r="BA107" s="114">
        <v>369060</v>
      </c>
      <c r="BB107" s="114">
        <v>376825</v>
      </c>
      <c r="BC107" s="114">
        <v>383915</v>
      </c>
      <c r="BD107" s="114">
        <v>394583</v>
      </c>
      <c r="BE107" s="114">
        <v>399919</v>
      </c>
      <c r="BF107" s="114">
        <v>414135</v>
      </c>
      <c r="BG107" s="114">
        <v>423407</v>
      </c>
      <c r="BH107" s="114">
        <v>428697</v>
      </c>
      <c r="BI107" s="114">
        <v>432642</v>
      </c>
      <c r="BJ107" s="114">
        <v>434656</v>
      </c>
      <c r="BK107" s="88">
        <v>448927</v>
      </c>
      <c r="BL107" s="204">
        <f>(Tableau8[[#This Row],[mars-20]]-Tableau8[[#This Row],[dec-19]])/Tableau8[[#This Row],[dec-19]]</f>
        <v>3.2832860929102557E-2</v>
      </c>
      <c r="BM107" s="214">
        <f>Tableau8[[#This Row],[mars-20]]-Tableau8[[#This Row],[dec-19]]</f>
        <v>14271</v>
      </c>
      <c r="BN107" s="6">
        <v>498698</v>
      </c>
      <c r="BO107" s="6">
        <v>510652</v>
      </c>
      <c r="BP107" s="6">
        <v>556301</v>
      </c>
      <c r="BQ107" s="6">
        <v>564578</v>
      </c>
      <c r="BR107" s="6">
        <v>566474</v>
      </c>
      <c r="BS107" s="6">
        <v>563000</v>
      </c>
      <c r="BT107" s="6">
        <v>560034</v>
      </c>
      <c r="BU107" s="6">
        <v>580008</v>
      </c>
      <c r="BV107" s="6">
        <v>581061</v>
      </c>
      <c r="BW107" s="6">
        <v>588545</v>
      </c>
      <c r="BX107" s="6"/>
      <c r="BY107" s="554">
        <f>(Tableau8[[#This Row],[juin-24]]-Tableau8[[#This Row],[avr-24]])/Tableau8[[#This Row],[avr-24]]</f>
        <v>1.287988696539606E-2</v>
      </c>
      <c r="BZ107" s="548">
        <f>Tableau8[[#This Row],[juin-24]]-Tableau8[[#This Row],[avr-24]]</f>
        <v>7484</v>
      </c>
    </row>
    <row r="108" spans="1:131" ht="16.5" x14ac:dyDescent="0.3">
      <c r="A108" s="121"/>
      <c r="B108" s="120" t="s">
        <v>176</v>
      </c>
      <c r="C108" s="54" t="s">
        <v>54</v>
      </c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100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57">
        <v>21490</v>
      </c>
      <c r="AP108" s="57">
        <v>23369</v>
      </c>
      <c r="AQ108" s="57">
        <v>24825</v>
      </c>
      <c r="AR108" s="57">
        <v>28403</v>
      </c>
      <c r="AS108" s="57">
        <v>30304</v>
      </c>
      <c r="AT108" s="57">
        <v>35072</v>
      </c>
      <c r="AU108" s="57">
        <v>38449</v>
      </c>
      <c r="AV108" s="57">
        <v>41900</v>
      </c>
      <c r="AW108" s="57">
        <v>46348</v>
      </c>
      <c r="AX108" s="114">
        <v>48984</v>
      </c>
      <c r="AY108" s="114">
        <v>52800</v>
      </c>
      <c r="AZ108" s="114">
        <v>59937</v>
      </c>
      <c r="BA108" s="114">
        <v>67430</v>
      </c>
      <c r="BB108" s="114">
        <v>72150</v>
      </c>
      <c r="BC108" s="114">
        <v>75993</v>
      </c>
      <c r="BD108" s="114">
        <v>85181</v>
      </c>
      <c r="BE108" s="114">
        <v>88148</v>
      </c>
      <c r="BF108" s="114">
        <v>96323</v>
      </c>
      <c r="BG108" s="114">
        <v>102510</v>
      </c>
      <c r="BH108" s="114">
        <v>106720</v>
      </c>
      <c r="BI108" s="114">
        <v>108890</v>
      </c>
      <c r="BJ108" s="114">
        <v>109774</v>
      </c>
      <c r="BK108" s="88">
        <v>122031</v>
      </c>
      <c r="BL108" s="204">
        <f>(Tableau8[[#This Row],[mars-20]]-Tableau8[[#This Row],[dec-19]])/Tableau8[[#This Row],[dec-19]]</f>
        <v>0.11165667644433108</v>
      </c>
      <c r="BM108" s="214">
        <f>Tableau8[[#This Row],[mars-20]]-Tableau8[[#This Row],[dec-19]]</f>
        <v>12257</v>
      </c>
      <c r="BN108" s="6">
        <v>172000</v>
      </c>
      <c r="BO108" s="6">
        <v>182258</v>
      </c>
      <c r="BP108" s="6">
        <v>259193</v>
      </c>
      <c r="BQ108" s="6">
        <v>282214</v>
      </c>
      <c r="BR108" s="6">
        <v>287278</v>
      </c>
      <c r="BS108" s="6">
        <v>322000</v>
      </c>
      <c r="BT108" s="6">
        <v>327542</v>
      </c>
      <c r="BU108" s="6">
        <v>454369</v>
      </c>
      <c r="BV108" s="6">
        <v>493109</v>
      </c>
      <c r="BW108" s="6">
        <v>564544</v>
      </c>
      <c r="BX108" s="6"/>
      <c r="BY108" s="554">
        <f>(Tableau8[[#This Row],[juin-24]]-Tableau8[[#This Row],[avr-24]])/Tableau8[[#This Row],[avr-24]]</f>
        <v>0.14486655080316929</v>
      </c>
      <c r="BZ108" s="548">
        <f>Tableau8[[#This Row],[juin-24]]-Tableau8[[#This Row],[avr-24]]</f>
        <v>71435</v>
      </c>
    </row>
    <row r="109" spans="1:131" ht="16.5" x14ac:dyDescent="0.3">
      <c r="A109" s="121"/>
      <c r="B109" s="121" t="s">
        <v>246</v>
      </c>
      <c r="C109" s="54" t="s">
        <v>55</v>
      </c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100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118"/>
      <c r="AP109" s="118"/>
      <c r="AQ109" s="118"/>
      <c r="AR109" s="118"/>
      <c r="AS109" s="118"/>
      <c r="AT109" s="118"/>
      <c r="AU109" s="118"/>
      <c r="AV109" s="118"/>
      <c r="AW109" s="118"/>
      <c r="AX109" s="259"/>
      <c r="AY109" s="259"/>
      <c r="AZ109" s="259"/>
      <c r="BA109" s="259"/>
      <c r="BB109" s="114"/>
      <c r="BC109" s="114"/>
      <c r="BD109" s="114"/>
      <c r="BE109" s="114"/>
      <c r="BF109" s="114"/>
      <c r="BG109" s="114"/>
      <c r="BH109" s="114"/>
      <c r="BI109" s="114"/>
      <c r="BJ109" s="114"/>
      <c r="BK109" s="207"/>
      <c r="BL109" s="204"/>
      <c r="BM109" s="214"/>
      <c r="BN109" s="6"/>
      <c r="BO109" s="6"/>
      <c r="BP109" s="6"/>
      <c r="BQ109" s="6">
        <v>44357</v>
      </c>
      <c r="BR109" s="6">
        <v>44585</v>
      </c>
      <c r="BS109" s="6">
        <v>45300</v>
      </c>
      <c r="BT109" s="6">
        <v>46459</v>
      </c>
      <c r="BU109" s="6">
        <v>51800</v>
      </c>
      <c r="BV109" s="6">
        <v>51452</v>
      </c>
      <c r="BW109" s="6">
        <v>51226</v>
      </c>
      <c r="BX109" s="6"/>
      <c r="BY109" s="554">
        <f>(Tableau8[[#This Row],[juin-24]]-Tableau8[[#This Row],[avr-24]])/Tableau8[[#This Row],[avr-24]]</f>
        <v>-4.3924434424317807E-3</v>
      </c>
      <c r="BZ109" s="548">
        <f>Tableau8[[#This Row],[juin-24]]-Tableau8[[#This Row],[avr-24]]</f>
        <v>-226</v>
      </c>
    </row>
    <row r="110" spans="1:131" ht="16.5" x14ac:dyDescent="0.3">
      <c r="A110" s="121"/>
      <c r="B110" s="121" t="s">
        <v>247</v>
      </c>
      <c r="C110" s="54" t="s">
        <v>55</v>
      </c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100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259"/>
      <c r="AY110" s="259"/>
      <c r="AZ110" s="259"/>
      <c r="BA110" s="259"/>
      <c r="BB110" s="114"/>
      <c r="BC110" s="114"/>
      <c r="BD110" s="114"/>
      <c r="BE110" s="114"/>
      <c r="BF110" s="114"/>
      <c r="BG110" s="114"/>
      <c r="BH110" s="114"/>
      <c r="BI110" s="114"/>
      <c r="BJ110" s="114"/>
      <c r="BK110" s="207"/>
      <c r="BL110" s="204"/>
      <c r="BM110" s="214"/>
      <c r="BN110" s="6"/>
      <c r="BO110" s="6"/>
      <c r="BP110" s="6"/>
      <c r="BQ110" s="6">
        <v>15032</v>
      </c>
      <c r="BR110" s="6">
        <v>15648</v>
      </c>
      <c r="BS110" s="6">
        <v>17600</v>
      </c>
      <c r="BT110" s="6">
        <v>18003</v>
      </c>
      <c r="BU110" s="6">
        <v>20300</v>
      </c>
      <c r="BV110" s="6">
        <v>22278</v>
      </c>
      <c r="BW110" s="6">
        <v>22645</v>
      </c>
      <c r="BX110" s="6"/>
      <c r="BY110" s="554">
        <f>(Tableau8[[#This Row],[juin-24]]-Tableau8[[#This Row],[avr-24]])/Tableau8[[#This Row],[avr-24]]</f>
        <v>1.6473651135649518E-2</v>
      </c>
      <c r="BZ110" s="548">
        <f>Tableau8[[#This Row],[juin-24]]-Tableau8[[#This Row],[avr-24]]</f>
        <v>367</v>
      </c>
    </row>
    <row r="111" spans="1:131" ht="16.5" x14ac:dyDescent="0.3">
      <c r="A111" s="121"/>
      <c r="B111" s="121" t="s">
        <v>243</v>
      </c>
      <c r="C111" s="54" t="s">
        <v>55</v>
      </c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100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118"/>
      <c r="AP111" s="118"/>
      <c r="AQ111" s="118"/>
      <c r="AR111" s="118"/>
      <c r="AS111" s="118"/>
      <c r="AT111" s="118"/>
      <c r="AU111" s="118"/>
      <c r="AV111" s="118"/>
      <c r="AW111" s="118"/>
      <c r="AX111" s="259"/>
      <c r="AY111" s="259"/>
      <c r="AZ111" s="259"/>
      <c r="BA111" s="259"/>
      <c r="BB111" s="114"/>
      <c r="BC111" s="114"/>
      <c r="BD111" s="114"/>
      <c r="BE111" s="114"/>
      <c r="BF111" s="114"/>
      <c r="BG111" s="114"/>
      <c r="BH111" s="114"/>
      <c r="BI111" s="114"/>
      <c r="BJ111" s="114"/>
      <c r="BK111" s="207"/>
      <c r="BL111" s="204"/>
      <c r="BM111" s="214"/>
      <c r="BN111" s="6"/>
      <c r="BO111" s="6"/>
      <c r="BP111" s="6"/>
      <c r="BQ111" s="6">
        <v>31188</v>
      </c>
      <c r="BR111" s="6">
        <v>31685</v>
      </c>
      <c r="BS111" s="6">
        <v>31400</v>
      </c>
      <c r="BT111" s="6">
        <v>31294</v>
      </c>
      <c r="BU111" s="6">
        <v>31100</v>
      </c>
      <c r="BV111" s="6">
        <v>30867</v>
      </c>
      <c r="BW111" s="6">
        <v>30778</v>
      </c>
      <c r="BX111" s="6"/>
      <c r="BY111" s="554">
        <f>(Tableau8[[#This Row],[juin-24]]-Tableau8[[#This Row],[avr-24]])/Tableau8[[#This Row],[avr-24]]</f>
        <v>-2.8833381928920856E-3</v>
      </c>
      <c r="BZ111" s="548">
        <f>Tableau8[[#This Row],[juin-24]]-Tableau8[[#This Row],[avr-24]]</f>
        <v>-89</v>
      </c>
    </row>
    <row r="112" spans="1:131" s="491" customFormat="1" ht="16.5" x14ac:dyDescent="0.3">
      <c r="A112" s="291"/>
      <c r="B112" s="291" t="s">
        <v>244</v>
      </c>
      <c r="C112" s="54" t="s">
        <v>55</v>
      </c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7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85"/>
      <c r="AP112" s="285"/>
      <c r="AQ112" s="285"/>
      <c r="AR112" s="285"/>
      <c r="AS112" s="285"/>
      <c r="AT112" s="285"/>
      <c r="AU112" s="285"/>
      <c r="AV112" s="285"/>
      <c r="AW112" s="285"/>
      <c r="AX112" s="298"/>
      <c r="AY112" s="298"/>
      <c r="AZ112" s="298"/>
      <c r="BA112" s="298"/>
      <c r="BB112" s="299"/>
      <c r="BC112" s="299"/>
      <c r="BD112" s="299"/>
      <c r="BE112" s="299"/>
      <c r="BF112" s="299"/>
      <c r="BG112" s="299"/>
      <c r="BH112" s="299"/>
      <c r="BI112" s="299"/>
      <c r="BJ112" s="299"/>
      <c r="BK112" s="300"/>
      <c r="BL112" s="204"/>
      <c r="BM112" s="301"/>
      <c r="BN112" s="6"/>
      <c r="BO112" s="6"/>
      <c r="BP112" s="6"/>
      <c r="BQ112" s="6">
        <v>17456</v>
      </c>
      <c r="BR112" s="6">
        <v>18516</v>
      </c>
      <c r="BS112" s="6">
        <v>20800</v>
      </c>
      <c r="BT112" s="6">
        <v>21437</v>
      </c>
      <c r="BU112" s="6">
        <v>41528</v>
      </c>
      <c r="BV112" s="6">
        <v>0</v>
      </c>
      <c r="BW112" s="6">
        <v>47451</v>
      </c>
      <c r="BX112" s="6"/>
      <c r="BY112" s="554" t="e">
        <f>(Tableau8[[#This Row],[juin-24]]-Tableau8[[#This Row],[avr-24]])/Tableau8[[#This Row],[avr-24]]</f>
        <v>#DIV/0!</v>
      </c>
      <c r="BZ112" s="548">
        <f>Tableau8[[#This Row],[juin-24]]-Tableau8[[#This Row],[avr-24]]</f>
        <v>47451</v>
      </c>
      <c r="CA112"/>
      <c r="CB112"/>
      <c r="CC112" s="542"/>
      <c r="CD112" s="542"/>
      <c r="CE112" s="542"/>
      <c r="CF112" s="542"/>
      <c r="CG112" s="542"/>
      <c r="CH112" s="542"/>
      <c r="CI112" s="542"/>
      <c r="CJ112" s="542"/>
      <c r="CK112" s="542"/>
      <c r="CL112" s="542"/>
      <c r="CM112" s="542"/>
      <c r="CN112" s="542"/>
      <c r="CO112" s="542"/>
      <c r="CP112" s="542"/>
      <c r="CQ112" s="542"/>
      <c r="CR112" s="542"/>
      <c r="CS112" s="542"/>
      <c r="CT112" s="542"/>
      <c r="CU112" s="542"/>
      <c r="CV112" s="542"/>
      <c r="CW112" s="542"/>
      <c r="CX112" s="542"/>
      <c r="CY112" s="542"/>
      <c r="CZ112" s="542"/>
      <c r="DA112" s="542"/>
      <c r="DB112" s="542"/>
      <c r="DC112" s="542"/>
      <c r="DD112" s="542"/>
      <c r="DE112" s="542"/>
      <c r="DF112" s="542"/>
      <c r="DG112" s="542"/>
      <c r="DH112" s="542"/>
      <c r="DI112" s="542"/>
      <c r="DJ112" s="542"/>
      <c r="DK112" s="542"/>
      <c r="DL112" s="542"/>
      <c r="DM112" s="542"/>
      <c r="DN112" s="542"/>
      <c r="DO112" s="542"/>
      <c r="DP112" s="542"/>
      <c r="DQ112" s="542"/>
      <c r="DR112" s="542"/>
      <c r="DS112" s="542"/>
      <c r="DT112" s="542"/>
      <c r="DU112" s="542"/>
      <c r="DV112" s="542"/>
      <c r="DW112" s="542"/>
      <c r="DX112" s="542"/>
      <c r="DY112" s="542"/>
      <c r="DZ112" s="542"/>
      <c r="EA112" s="542"/>
    </row>
    <row r="113" spans="1:78" ht="16.5" x14ac:dyDescent="0.3">
      <c r="A113" s="291"/>
      <c r="B113" s="291" t="s">
        <v>289</v>
      </c>
      <c r="C113" s="175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7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85"/>
      <c r="AP113" s="285"/>
      <c r="AQ113" s="285"/>
      <c r="AR113" s="285"/>
      <c r="AS113" s="285"/>
      <c r="AT113" s="285"/>
      <c r="AU113" s="285"/>
      <c r="AV113" s="285"/>
      <c r="AW113" s="285"/>
      <c r="AX113" s="298"/>
      <c r="AY113" s="298"/>
      <c r="AZ113" s="298"/>
      <c r="BA113" s="298"/>
      <c r="BB113" s="299"/>
      <c r="BC113" s="299"/>
      <c r="BD113" s="299"/>
      <c r="BE113" s="299"/>
      <c r="BF113" s="299"/>
      <c r="BG113" s="299"/>
      <c r="BH113" s="299"/>
      <c r="BI113" s="299"/>
      <c r="BJ113" s="299"/>
      <c r="BK113" s="300"/>
      <c r="BL113" s="356"/>
      <c r="BM113" s="301"/>
      <c r="BN113" s="6"/>
      <c r="BO113" s="6"/>
      <c r="BP113" s="6"/>
      <c r="BQ113" s="6"/>
      <c r="BR113" s="6"/>
      <c r="BS113" s="6">
        <v>21100</v>
      </c>
      <c r="BT113" s="6">
        <v>21020</v>
      </c>
      <c r="BU113" s="6">
        <v>19800</v>
      </c>
      <c r="BV113" s="6">
        <v>19073</v>
      </c>
      <c r="BW113" s="6">
        <v>18916</v>
      </c>
      <c r="BX113" s="6"/>
      <c r="BY113" s="554">
        <f>(Tableau8[[#This Row],[juin-24]]-Tableau8[[#This Row],[avr-24]])/Tableau8[[#This Row],[avr-24]]</f>
        <v>-8.2315314842971738E-3</v>
      </c>
      <c r="BZ113" s="548">
        <f>Tableau8[[#This Row],[juin-24]]-Tableau8[[#This Row],[avr-24]]</f>
        <v>-157</v>
      </c>
    </row>
    <row r="114" spans="1:78" ht="16.5" x14ac:dyDescent="0.3">
      <c r="A114" s="291"/>
      <c r="B114" s="291" t="s">
        <v>290</v>
      </c>
      <c r="C114" s="175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7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85"/>
      <c r="AP114" s="285"/>
      <c r="AQ114" s="285"/>
      <c r="AR114" s="285"/>
      <c r="AS114" s="285"/>
      <c r="AT114" s="285"/>
      <c r="AU114" s="285"/>
      <c r="AV114" s="285"/>
      <c r="AW114" s="285"/>
      <c r="AX114" s="298"/>
      <c r="AY114" s="298"/>
      <c r="AZ114" s="298"/>
      <c r="BA114" s="298"/>
      <c r="BB114" s="299"/>
      <c r="BC114" s="299"/>
      <c r="BD114" s="299"/>
      <c r="BE114" s="299"/>
      <c r="BF114" s="299"/>
      <c r="BG114" s="299"/>
      <c r="BH114" s="299"/>
      <c r="BI114" s="299"/>
      <c r="BJ114" s="299"/>
      <c r="BK114" s="300"/>
      <c r="BL114" s="356"/>
      <c r="BM114" s="301"/>
      <c r="BN114" s="6"/>
      <c r="BO114" s="6"/>
      <c r="BP114" s="6"/>
      <c r="BQ114" s="6"/>
      <c r="BR114" s="6"/>
      <c r="BS114" s="6">
        <v>9448</v>
      </c>
      <c r="BT114" s="6">
        <v>9507</v>
      </c>
      <c r="BU114" s="6">
        <v>9959</v>
      </c>
      <c r="BV114" s="6">
        <v>10577</v>
      </c>
      <c r="BW114" s="6">
        <v>10632</v>
      </c>
      <c r="BX114" s="6"/>
      <c r="BY114" s="554">
        <f>(Tableau8[[#This Row],[juin-24]]-Tableau8[[#This Row],[avr-24]])/Tableau8[[#This Row],[avr-24]]</f>
        <v>5.1999621820932214E-3</v>
      </c>
      <c r="BZ114" s="548">
        <f>Tableau8[[#This Row],[juin-24]]-Tableau8[[#This Row],[avr-24]]</f>
        <v>55</v>
      </c>
    </row>
    <row r="115" spans="1:78" ht="16.5" x14ac:dyDescent="0.3">
      <c r="A115" s="291"/>
      <c r="B115" s="291" t="s">
        <v>291</v>
      </c>
      <c r="C115" s="175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7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85"/>
      <c r="AP115" s="285"/>
      <c r="AQ115" s="285"/>
      <c r="AR115" s="285"/>
      <c r="AS115" s="285"/>
      <c r="AT115" s="285"/>
      <c r="AU115" s="285"/>
      <c r="AV115" s="285"/>
      <c r="AW115" s="285"/>
      <c r="AX115" s="298"/>
      <c r="AY115" s="298"/>
      <c r="AZ115" s="298"/>
      <c r="BA115" s="298"/>
      <c r="BB115" s="299"/>
      <c r="BC115" s="299"/>
      <c r="BD115" s="299"/>
      <c r="BE115" s="299"/>
      <c r="BF115" s="299"/>
      <c r="BG115" s="299"/>
      <c r="BH115" s="299"/>
      <c r="BI115" s="299"/>
      <c r="BJ115" s="299"/>
      <c r="BK115" s="300"/>
      <c r="BL115" s="356"/>
      <c r="BM115" s="301"/>
      <c r="BN115" s="6"/>
      <c r="BO115" s="6"/>
      <c r="BP115" s="6"/>
      <c r="BQ115" s="6"/>
      <c r="BR115" s="6"/>
      <c r="BS115" s="6">
        <v>26100</v>
      </c>
      <c r="BT115" s="6">
        <v>26035</v>
      </c>
      <c r="BU115" s="6">
        <v>27900</v>
      </c>
      <c r="BV115" s="6">
        <v>0</v>
      </c>
      <c r="BW115" s="6">
        <v>34612</v>
      </c>
      <c r="BX115" s="6"/>
      <c r="BY115" s="554" t="e">
        <f>(Tableau8[[#This Row],[juin-24]]-Tableau8[[#This Row],[avr-24]])/Tableau8[[#This Row],[avr-24]]</f>
        <v>#DIV/0!</v>
      </c>
      <c r="BZ115" s="548">
        <f>Tableau8[[#This Row],[juin-24]]-Tableau8[[#This Row],[avr-24]]</f>
        <v>34612</v>
      </c>
    </row>
    <row r="116" spans="1:78" ht="16.5" x14ac:dyDescent="0.3">
      <c r="A116" s="291"/>
      <c r="B116" s="368" t="s">
        <v>292</v>
      </c>
      <c r="C116" s="175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7"/>
      <c r="V116" s="296"/>
      <c r="W116" s="296"/>
      <c r="X116" s="296"/>
      <c r="Y116" s="296"/>
      <c r="Z116" s="296"/>
      <c r="AA116" s="296"/>
      <c r="AB116" s="296"/>
      <c r="AC116" s="296"/>
      <c r="AD116" s="296"/>
      <c r="AE116" s="296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85"/>
      <c r="AP116" s="285"/>
      <c r="AQ116" s="285"/>
      <c r="AR116" s="285"/>
      <c r="AS116" s="285"/>
      <c r="AT116" s="285"/>
      <c r="AU116" s="285"/>
      <c r="AV116" s="285"/>
      <c r="AW116" s="285"/>
      <c r="AX116" s="298"/>
      <c r="AY116" s="298"/>
      <c r="AZ116" s="298"/>
      <c r="BA116" s="298"/>
      <c r="BB116" s="299"/>
      <c r="BC116" s="299"/>
      <c r="BD116" s="299"/>
      <c r="BE116" s="299"/>
      <c r="BF116" s="299"/>
      <c r="BG116" s="299"/>
      <c r="BH116" s="299"/>
      <c r="BI116" s="299"/>
      <c r="BJ116" s="299"/>
      <c r="BK116" s="300"/>
      <c r="BL116" s="356"/>
      <c r="BM116" s="301"/>
      <c r="BN116" s="6"/>
      <c r="BO116" s="6"/>
      <c r="BP116" s="6"/>
      <c r="BQ116" s="6"/>
      <c r="BR116" s="6"/>
      <c r="BS116" s="6">
        <v>8483</v>
      </c>
      <c r="BT116" s="6">
        <v>8496</v>
      </c>
      <c r="BU116" s="6">
        <v>10300</v>
      </c>
      <c r="BV116" s="6">
        <v>10976</v>
      </c>
      <c r="BW116" s="6">
        <v>11176</v>
      </c>
      <c r="BX116" s="6"/>
      <c r="BY116" s="554">
        <f>(Tableau8[[#This Row],[juin-24]]-Tableau8[[#This Row],[avr-24]])/Tableau8[[#This Row],[avr-24]]</f>
        <v>1.8221574344023325E-2</v>
      </c>
      <c r="BZ116" s="548">
        <f>Tableau8[[#This Row],[juin-24]]-Tableau8[[#This Row],[avr-24]]</f>
        <v>200</v>
      </c>
    </row>
    <row r="117" spans="1:78" ht="16.5" x14ac:dyDescent="0.3">
      <c r="A117" s="291"/>
      <c r="B117" s="370" t="s">
        <v>293</v>
      </c>
      <c r="C117" s="175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7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85"/>
      <c r="AP117" s="285"/>
      <c r="AQ117" s="285"/>
      <c r="AR117" s="285"/>
      <c r="AS117" s="285"/>
      <c r="AT117" s="285"/>
      <c r="AU117" s="285"/>
      <c r="AV117" s="285"/>
      <c r="AW117" s="285"/>
      <c r="AX117" s="298"/>
      <c r="AY117" s="298"/>
      <c r="AZ117" s="298"/>
      <c r="BA117" s="298"/>
      <c r="BB117" s="299"/>
      <c r="BC117" s="299"/>
      <c r="BD117" s="299"/>
      <c r="BE117" s="299"/>
      <c r="BF117" s="299"/>
      <c r="BG117" s="299"/>
      <c r="BH117" s="299"/>
      <c r="BI117" s="299"/>
      <c r="BJ117" s="299"/>
      <c r="BK117" s="300"/>
      <c r="BL117" s="356"/>
      <c r="BM117" s="301"/>
      <c r="BN117" s="6"/>
      <c r="BO117" s="6"/>
      <c r="BP117" s="6"/>
      <c r="BQ117" s="6"/>
      <c r="BR117" s="6"/>
      <c r="BS117" s="6">
        <v>26100</v>
      </c>
      <c r="BT117" s="6">
        <v>26172</v>
      </c>
      <c r="BU117" s="6">
        <v>30200</v>
      </c>
      <c r="BV117" s="6">
        <v>1215</v>
      </c>
      <c r="BW117" s="6">
        <v>1426</v>
      </c>
      <c r="BX117" s="6"/>
      <c r="BY117" s="554">
        <f>(Tableau8[[#This Row],[juin-24]]-Tableau8[[#This Row],[avr-24]])/Tableau8[[#This Row],[avr-24]]</f>
        <v>0.17366255144032922</v>
      </c>
      <c r="BZ117" s="548">
        <f>Tableau8[[#This Row],[juin-24]]-Tableau8[[#This Row],[avr-24]]</f>
        <v>211</v>
      </c>
    </row>
    <row r="118" spans="1:78" ht="16.5" x14ac:dyDescent="0.3">
      <c r="A118" s="291"/>
      <c r="B118" s="368" t="s">
        <v>294</v>
      </c>
      <c r="C118" s="175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7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85"/>
      <c r="AP118" s="285"/>
      <c r="AQ118" s="285"/>
      <c r="AR118" s="285"/>
      <c r="AS118" s="285"/>
      <c r="AT118" s="285"/>
      <c r="AU118" s="285"/>
      <c r="AV118" s="285"/>
      <c r="AW118" s="285"/>
      <c r="AX118" s="298"/>
      <c r="AY118" s="298"/>
      <c r="AZ118" s="298"/>
      <c r="BA118" s="298"/>
      <c r="BB118" s="299"/>
      <c r="BC118" s="299"/>
      <c r="BD118" s="299"/>
      <c r="BE118" s="299"/>
      <c r="BF118" s="299"/>
      <c r="BG118" s="299"/>
      <c r="BH118" s="299"/>
      <c r="BI118" s="299"/>
      <c r="BJ118" s="299"/>
      <c r="BK118" s="300"/>
      <c r="BL118" s="356"/>
      <c r="BM118" s="301"/>
      <c r="BN118" s="6"/>
      <c r="BO118" s="6"/>
      <c r="BP118" s="6"/>
      <c r="BQ118" s="6"/>
      <c r="BR118" s="6"/>
      <c r="BS118" s="6">
        <v>32900</v>
      </c>
      <c r="BT118" s="6">
        <v>33939</v>
      </c>
      <c r="BU118" s="6">
        <v>36700</v>
      </c>
      <c r="BV118" s="6">
        <v>0</v>
      </c>
      <c r="BW118" s="6">
        <v>0</v>
      </c>
      <c r="BX118" s="6"/>
      <c r="BY118" s="554" t="e">
        <f>(Tableau8[[#This Row],[juin-24]]-Tableau8[[#This Row],[avr-24]])/Tableau8[[#This Row],[avr-24]]</f>
        <v>#DIV/0!</v>
      </c>
      <c r="BZ118" s="548">
        <f>Tableau8[[#This Row],[juin-24]]-Tableau8[[#This Row],[avr-24]]</f>
        <v>0</v>
      </c>
    </row>
    <row r="119" spans="1:78" ht="16.5" x14ac:dyDescent="0.3">
      <c r="A119" s="291"/>
      <c r="B119" s="370" t="s">
        <v>370</v>
      </c>
      <c r="C119" s="175"/>
      <c r="D119" s="296"/>
      <c r="E119" s="296"/>
      <c r="F119" s="296"/>
      <c r="G119" s="296"/>
      <c r="H119" s="296"/>
      <c r="I119" s="296"/>
      <c r="J119" s="296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7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85"/>
      <c r="AP119" s="285"/>
      <c r="AQ119" s="285"/>
      <c r="AR119" s="285"/>
      <c r="AS119" s="285"/>
      <c r="AT119" s="285"/>
      <c r="AU119" s="285"/>
      <c r="AV119" s="285"/>
      <c r="AW119" s="285"/>
      <c r="AX119" s="298"/>
      <c r="AY119" s="298"/>
      <c r="AZ119" s="298"/>
      <c r="BA119" s="298"/>
      <c r="BB119" s="299"/>
      <c r="BC119" s="299"/>
      <c r="BD119" s="299"/>
      <c r="BE119" s="299"/>
      <c r="BF119" s="299"/>
      <c r="BG119" s="299"/>
      <c r="BH119" s="299"/>
      <c r="BI119" s="299"/>
      <c r="BJ119" s="299"/>
      <c r="BK119" s="300" t="e">
        <f>(Tableau8[[#This Row],[dec-19]]-Tableau8[[#This Row],[nov-19]])/Tableau8[[#This Row],[nov-19]]</f>
        <v>#DIV/0!</v>
      </c>
      <c r="BL119" s="356" t="e">
        <f>(Tableau8[[#This Row],[mars-20]]-Tableau8[[#This Row],[dec-19]])/Tableau8[[#This Row],[dec-19]]</f>
        <v>#DIV/0!</v>
      </c>
      <c r="BM119" s="301" t="e">
        <f>Tableau8[[#This Row],[mars-20]]-Tableau8[[#This Row],[dec-19]]</f>
        <v>#DIV/0!</v>
      </c>
      <c r="BN119" s="6"/>
      <c r="BO119" s="6"/>
      <c r="BP119" s="6"/>
      <c r="BQ119" s="6"/>
      <c r="BR119" s="6"/>
      <c r="BS119" s="6"/>
      <c r="BT119" s="6"/>
      <c r="BU119" s="6">
        <v>31100</v>
      </c>
      <c r="BV119" s="6">
        <v>35650</v>
      </c>
      <c r="BW119" s="6">
        <v>38898</v>
      </c>
      <c r="BX119" s="6"/>
      <c r="BY119" s="554">
        <f>(Tableau8[[#This Row],[juin-24]]-Tableau8[[#This Row],[avr-24]])/Tableau8[[#This Row],[avr-24]]</f>
        <v>9.1107994389901817E-2</v>
      </c>
      <c r="BZ119" s="548">
        <f>Tableau8[[#This Row],[juin-24]]-Tableau8[[#This Row],[avr-24]]</f>
        <v>3248</v>
      </c>
    </row>
    <row r="120" spans="1:78" ht="16.5" x14ac:dyDescent="0.3">
      <c r="A120" s="291"/>
      <c r="B120" s="368" t="s">
        <v>373</v>
      </c>
      <c r="C120" s="175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7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85"/>
      <c r="AP120" s="285"/>
      <c r="AQ120" s="285"/>
      <c r="AR120" s="285"/>
      <c r="AS120" s="285"/>
      <c r="AT120" s="285"/>
      <c r="AU120" s="285"/>
      <c r="AV120" s="285"/>
      <c r="AW120" s="285"/>
      <c r="AX120" s="298"/>
      <c r="AY120" s="298"/>
      <c r="AZ120" s="298"/>
      <c r="BA120" s="298"/>
      <c r="BB120" s="299"/>
      <c r="BC120" s="299"/>
      <c r="BD120" s="299"/>
      <c r="BE120" s="299"/>
      <c r="BF120" s="299"/>
      <c r="BG120" s="299"/>
      <c r="BH120" s="299"/>
      <c r="BI120" s="299"/>
      <c r="BJ120" s="299"/>
      <c r="BK120" s="300" t="e">
        <f>(Tableau8[[#This Row],[dec-19]]-Tableau8[[#This Row],[nov-19]])/Tableau8[[#This Row],[nov-19]]</f>
        <v>#DIV/0!</v>
      </c>
      <c r="BL120" s="356" t="e">
        <f>(Tableau8[[#This Row],[mars-20]]-Tableau8[[#This Row],[dec-19]])/Tableau8[[#This Row],[dec-19]]</f>
        <v>#DIV/0!</v>
      </c>
      <c r="BM120" s="301" t="e">
        <f>Tableau8[[#This Row],[mars-20]]-Tableau8[[#This Row],[dec-19]]</f>
        <v>#DIV/0!</v>
      </c>
      <c r="BN120" s="6"/>
      <c r="BO120" s="6"/>
      <c r="BP120" s="6"/>
      <c r="BQ120" s="6"/>
      <c r="BR120" s="6"/>
      <c r="BS120" s="6"/>
      <c r="BT120" s="6"/>
      <c r="BU120" s="6">
        <v>57800</v>
      </c>
      <c r="BV120" s="6">
        <v>58374</v>
      </c>
      <c r="BW120" s="6">
        <v>62040</v>
      </c>
      <c r="BX120" s="6"/>
      <c r="BY120" s="554">
        <f>(Tableau8[[#This Row],[juin-24]]-Tableau8[[#This Row],[avr-24]])/Tableau8[[#This Row],[avr-24]]</f>
        <v>6.280193236714976E-2</v>
      </c>
      <c r="BZ120" s="548">
        <f>Tableau8[[#This Row],[juin-24]]-Tableau8[[#This Row],[avr-24]]</f>
        <v>3666</v>
      </c>
    </row>
    <row r="121" spans="1:78" ht="16.5" x14ac:dyDescent="0.3">
      <c r="A121" s="291"/>
      <c r="B121" s="368" t="s">
        <v>376</v>
      </c>
      <c r="C121" s="175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7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85"/>
      <c r="AP121" s="285"/>
      <c r="AQ121" s="285"/>
      <c r="AR121" s="285"/>
      <c r="AS121" s="285"/>
      <c r="AT121" s="285"/>
      <c r="AU121" s="285"/>
      <c r="AV121" s="285"/>
      <c r="AW121" s="285"/>
      <c r="AX121" s="298"/>
      <c r="AY121" s="298"/>
      <c r="AZ121" s="298"/>
      <c r="BA121" s="298"/>
      <c r="BB121" s="299"/>
      <c r="BC121" s="299"/>
      <c r="BD121" s="299"/>
      <c r="BE121" s="299"/>
      <c r="BF121" s="299"/>
      <c r="BG121" s="299"/>
      <c r="BH121" s="299"/>
      <c r="BI121" s="299"/>
      <c r="BJ121" s="299"/>
      <c r="BK121" s="300" t="e">
        <f>(Tableau8[[#This Row],[dec-19]]-Tableau8[[#This Row],[nov-19]])/Tableau8[[#This Row],[nov-19]]</f>
        <v>#DIV/0!</v>
      </c>
      <c r="BL121" s="356" t="e">
        <f>(Tableau8[[#This Row],[mars-20]]-Tableau8[[#This Row],[dec-19]])/Tableau8[[#This Row],[dec-19]]</f>
        <v>#DIV/0!</v>
      </c>
      <c r="BM121" s="301" t="e">
        <f>Tableau8[[#This Row],[mars-20]]-Tableau8[[#This Row],[dec-19]]</f>
        <v>#DIV/0!</v>
      </c>
      <c r="BN121" s="6"/>
      <c r="BO121" s="6"/>
      <c r="BP121" s="6"/>
      <c r="BQ121" s="6"/>
      <c r="BR121" s="6"/>
      <c r="BS121" s="6"/>
      <c r="BT121" s="6"/>
      <c r="BU121" s="6">
        <v>207000</v>
      </c>
      <c r="BV121" s="6">
        <v>207861</v>
      </c>
      <c r="BW121" s="6">
        <v>210623</v>
      </c>
      <c r="BX121" s="6"/>
      <c r="BY121" s="554">
        <f>(Tableau8[[#This Row],[juin-24]]-Tableau8[[#This Row],[avr-24]])/Tableau8[[#This Row],[avr-24]]</f>
        <v>1.328772593223356E-2</v>
      </c>
      <c r="BZ121" s="548">
        <f>Tableau8[[#This Row],[juin-24]]-Tableau8[[#This Row],[avr-24]]</f>
        <v>2762</v>
      </c>
    </row>
    <row r="122" spans="1:78" ht="16.5" x14ac:dyDescent="0.3">
      <c r="B122" s="252" t="s">
        <v>332</v>
      </c>
      <c r="BT122" s="6">
        <v>1619</v>
      </c>
      <c r="BU122" s="6">
        <v>0</v>
      </c>
      <c r="BV122" s="6">
        <v>0</v>
      </c>
      <c r="BW122" s="6">
        <v>0</v>
      </c>
      <c r="BX122" s="6"/>
      <c r="BY122" s="554">
        <f>(BU122-BT122)/BT122</f>
        <v>-1</v>
      </c>
      <c r="BZ122" s="548" t="e">
        <f>Tableau8[[#This Row],[juin-24]]-Tableau8[[#This Row],[avr-24]]</f>
        <v>#VALUE!</v>
      </c>
    </row>
    <row r="123" spans="1:78" s="340" customFormat="1" ht="16.5" x14ac:dyDescent="0.3">
      <c r="A123" s="101" t="s">
        <v>56</v>
      </c>
      <c r="B123" s="49"/>
      <c r="C123" s="520"/>
      <c r="D123" s="520"/>
      <c r="E123" s="520"/>
      <c r="F123" s="520"/>
      <c r="G123" s="520"/>
      <c r="H123" s="520"/>
      <c r="I123" s="520"/>
      <c r="J123" s="520"/>
      <c r="K123" s="520"/>
      <c r="L123" s="520"/>
      <c r="M123" s="520"/>
      <c r="N123" s="520"/>
      <c r="O123" s="520"/>
      <c r="P123" s="520"/>
      <c r="Q123" s="520"/>
      <c r="R123" s="520"/>
      <c r="S123" s="520"/>
      <c r="T123" s="521"/>
      <c r="U123" s="520"/>
      <c r="V123" s="520"/>
      <c r="W123" s="520"/>
      <c r="X123" s="520"/>
      <c r="Y123" s="520"/>
      <c r="Z123" s="520"/>
      <c r="AA123" s="520"/>
      <c r="AB123" s="520"/>
      <c r="AC123" s="520"/>
      <c r="AD123" s="520"/>
      <c r="AE123" s="520"/>
      <c r="AF123" s="520"/>
      <c r="AG123" s="520"/>
      <c r="AH123" s="520"/>
      <c r="AI123" s="520"/>
      <c r="AJ123" s="520"/>
      <c r="AK123" s="520"/>
      <c r="AL123" s="520"/>
      <c r="AM123" s="520"/>
      <c r="AN123" s="63"/>
      <c r="AO123" s="63">
        <f t="shared" ref="AO123:BK123" si="0">SUM(AO85:AO108)</f>
        <v>2758805</v>
      </c>
      <c r="AP123" s="63">
        <f t="shared" si="0"/>
        <v>2858398</v>
      </c>
      <c r="AQ123" s="63">
        <f t="shared" si="0"/>
        <v>2910046</v>
      </c>
      <c r="AR123" s="63">
        <f t="shared" si="0"/>
        <v>2995676</v>
      </c>
      <c r="AS123" s="63">
        <f t="shared" si="0"/>
        <v>3046823</v>
      </c>
      <c r="AT123" s="63">
        <f t="shared" si="0"/>
        <v>3254815</v>
      </c>
      <c r="AU123" s="63">
        <f t="shared" si="0"/>
        <v>3362303</v>
      </c>
      <c r="AV123" s="63">
        <f t="shared" si="0"/>
        <v>3443977</v>
      </c>
      <c r="AW123" s="63">
        <f t="shared" si="0"/>
        <v>3517608</v>
      </c>
      <c r="AX123" s="63">
        <f t="shared" si="0"/>
        <v>3571322</v>
      </c>
      <c r="AY123" s="63">
        <f t="shared" si="0"/>
        <v>3641485</v>
      </c>
      <c r="AZ123" s="63">
        <f t="shared" si="0"/>
        <v>3749699</v>
      </c>
      <c r="BA123" s="63">
        <f t="shared" si="0"/>
        <v>3847040</v>
      </c>
      <c r="BB123" s="63">
        <f t="shared" si="0"/>
        <v>3939095</v>
      </c>
      <c r="BC123" s="63">
        <f t="shared" si="0"/>
        <v>4027083</v>
      </c>
      <c r="BD123" s="63">
        <f t="shared" si="0"/>
        <v>4181605</v>
      </c>
      <c r="BE123" s="63">
        <f t="shared" si="0"/>
        <v>4293126</v>
      </c>
      <c r="BF123" s="63">
        <f t="shared" si="0"/>
        <v>4552418</v>
      </c>
      <c r="BG123" s="63">
        <f t="shared" si="0"/>
        <v>4702193</v>
      </c>
      <c r="BH123" s="63">
        <f t="shared" si="0"/>
        <v>4756424</v>
      </c>
      <c r="BI123" s="63">
        <f t="shared" si="0"/>
        <v>4789818</v>
      </c>
      <c r="BJ123" s="63">
        <f t="shared" si="0"/>
        <v>4809132</v>
      </c>
      <c r="BK123" s="63">
        <f t="shared" si="0"/>
        <v>5020079</v>
      </c>
      <c r="BL123" s="522"/>
      <c r="BN123" s="7">
        <f t="shared" ref="BN123:BS123" si="1">SUM(BN85:BN118)</f>
        <v>5772655</v>
      </c>
      <c r="BO123" s="7">
        <f t="shared" si="1"/>
        <v>6042759</v>
      </c>
      <c r="BP123" s="7">
        <f t="shared" si="1"/>
        <v>7197003</v>
      </c>
      <c r="BQ123" s="7">
        <f t="shared" si="1"/>
        <v>7515061</v>
      </c>
      <c r="BR123" s="7">
        <f t="shared" si="1"/>
        <v>7569693</v>
      </c>
      <c r="BS123" s="7">
        <f t="shared" si="1"/>
        <v>8013264</v>
      </c>
      <c r="BT123" s="7">
        <f>SUM(BT85:BT122)</f>
        <v>7992378</v>
      </c>
      <c r="BU123" s="7">
        <f>SUM(BU85:BU122)</f>
        <v>8982473</v>
      </c>
      <c r="BV123" s="7">
        <f>SUM(BV85:BV122)</f>
        <v>8789819</v>
      </c>
      <c r="BW123" s="7">
        <f>SUM(BW85:BW122)</f>
        <v>9257601</v>
      </c>
      <c r="BX123" s="7"/>
      <c r="BY123" s="555">
        <f>(BW123-BV123)/BV123</f>
        <v>5.3218615764442929E-2</v>
      </c>
      <c r="BZ123" s="556">
        <f>BW123-BV123</f>
        <v>467782</v>
      </c>
    </row>
    <row r="124" spans="1:78" ht="16.5" x14ac:dyDescent="0.3">
      <c r="A124" s="261"/>
      <c r="B124" s="1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185"/>
      <c r="BN124" s="6"/>
      <c r="BO124" s="6"/>
      <c r="BP124" s="6"/>
      <c r="BQ124" s="6"/>
      <c r="BR124" s="6"/>
      <c r="BS124" s="6"/>
      <c r="BT124" s="208"/>
      <c r="BU124" s="208"/>
      <c r="BV124" s="208"/>
      <c r="BW124" s="208"/>
      <c r="BX124" s="208"/>
      <c r="BY124" s="276"/>
    </row>
    <row r="125" spans="1:78" ht="16.5" x14ac:dyDescent="0.3">
      <c r="A125" s="261"/>
      <c r="B125" s="1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185"/>
      <c r="BN125" s="6"/>
      <c r="BO125" s="6"/>
      <c r="BP125" s="6"/>
      <c r="BQ125" s="6"/>
      <c r="BR125" s="6"/>
      <c r="BS125" s="6"/>
      <c r="BT125" s="208"/>
      <c r="BU125" s="208"/>
      <c r="BV125" s="208"/>
      <c r="BW125" s="208"/>
      <c r="BX125" s="208"/>
      <c r="BY125" s="211"/>
    </row>
    <row r="126" spans="1:78" ht="16.5" x14ac:dyDescent="0.3">
      <c r="A126" s="484" t="s">
        <v>185</v>
      </c>
      <c r="B126" s="485" t="s">
        <v>275</v>
      </c>
      <c r="C126" s="486" t="s">
        <v>118</v>
      </c>
      <c r="D126" s="487" t="s">
        <v>0</v>
      </c>
      <c r="E126" s="488" t="s">
        <v>1</v>
      </c>
      <c r="F126" s="488" t="s">
        <v>4</v>
      </c>
      <c r="G126" s="488" t="s">
        <v>5</v>
      </c>
      <c r="H126" s="488" t="s">
        <v>6</v>
      </c>
      <c r="I126" s="488" t="s">
        <v>7</v>
      </c>
      <c r="J126" s="488" t="s">
        <v>8</v>
      </c>
      <c r="K126" s="488" t="s">
        <v>9</v>
      </c>
      <c r="L126" s="488" t="s">
        <v>10</v>
      </c>
      <c r="M126" s="488" t="s">
        <v>11</v>
      </c>
      <c r="N126" s="488" t="s">
        <v>12</v>
      </c>
      <c r="O126" s="488" t="s">
        <v>3</v>
      </c>
      <c r="P126" s="488" t="s">
        <v>2</v>
      </c>
      <c r="Q126" s="488" t="s">
        <v>63</v>
      </c>
      <c r="R126" s="488" t="s">
        <v>64</v>
      </c>
      <c r="S126" s="488" t="s">
        <v>65</v>
      </c>
      <c r="T126" s="488" t="s">
        <v>66</v>
      </c>
      <c r="U126" s="488" t="s">
        <v>68</v>
      </c>
      <c r="V126" s="488" t="s">
        <v>69</v>
      </c>
      <c r="W126" s="488" t="s">
        <v>70</v>
      </c>
      <c r="X126" s="488" t="s">
        <v>71</v>
      </c>
      <c r="Y126" s="488" t="s">
        <v>72</v>
      </c>
      <c r="Z126" s="488" t="s">
        <v>73</v>
      </c>
      <c r="AA126" s="488" t="s">
        <v>75</v>
      </c>
      <c r="AB126" s="488" t="s">
        <v>77</v>
      </c>
      <c r="AC126" s="488" t="s">
        <v>81</v>
      </c>
      <c r="AD126" s="488" t="s">
        <v>84</v>
      </c>
      <c r="AE126" s="488" t="s">
        <v>85</v>
      </c>
      <c r="AF126" s="488" t="s">
        <v>86</v>
      </c>
      <c r="AG126" s="488" t="s">
        <v>99</v>
      </c>
      <c r="AH126" s="488" t="s">
        <v>101</v>
      </c>
      <c r="AI126" s="488" t="s">
        <v>102</v>
      </c>
      <c r="AJ126" s="488" t="s">
        <v>105</v>
      </c>
      <c r="AK126" s="488" t="s">
        <v>106</v>
      </c>
      <c r="AL126" s="488" t="s">
        <v>108</v>
      </c>
      <c r="AM126" s="488" t="s">
        <v>109</v>
      </c>
      <c r="AN126" s="488" t="s">
        <v>110</v>
      </c>
      <c r="AO126" s="488" t="s">
        <v>117</v>
      </c>
      <c r="AP126" s="488" t="s">
        <v>127</v>
      </c>
      <c r="AQ126" s="380" t="s">
        <v>129</v>
      </c>
      <c r="AR126" s="380" t="s">
        <v>131</v>
      </c>
      <c r="AS126" s="380" t="s">
        <v>142</v>
      </c>
      <c r="AT126" s="380" t="s">
        <v>143</v>
      </c>
      <c r="AU126" s="380" t="s">
        <v>151</v>
      </c>
      <c r="AV126" s="380" t="s">
        <v>156</v>
      </c>
      <c r="AW126" s="380" t="s">
        <v>157</v>
      </c>
      <c r="AX126" s="380" t="s">
        <v>163</v>
      </c>
      <c r="AY126" s="380" t="s">
        <v>164</v>
      </c>
      <c r="AZ126" s="380" t="s">
        <v>177</v>
      </c>
      <c r="BA126" s="380" t="s">
        <v>179</v>
      </c>
      <c r="BB126" s="380" t="s">
        <v>183</v>
      </c>
      <c r="BC126" s="380" t="s">
        <v>184</v>
      </c>
      <c r="BD126" s="380" t="s">
        <v>186</v>
      </c>
      <c r="BE126" s="380" t="s">
        <v>188</v>
      </c>
      <c r="BF126" s="380" t="s">
        <v>200</v>
      </c>
      <c r="BG126" s="380" t="s">
        <v>201</v>
      </c>
      <c r="BH126" s="380" t="s">
        <v>203</v>
      </c>
      <c r="BI126" s="380" t="s">
        <v>207</v>
      </c>
      <c r="BJ126" s="380" t="s">
        <v>208</v>
      </c>
      <c r="BK126" s="489" t="s">
        <v>209</v>
      </c>
      <c r="BL126" s="490" t="s">
        <v>53</v>
      </c>
      <c r="BM126" s="490" t="s">
        <v>78</v>
      </c>
      <c r="BN126" s="489" t="s">
        <v>210</v>
      </c>
      <c r="BO126" s="489" t="s">
        <v>211</v>
      </c>
      <c r="BP126" s="489" t="s">
        <v>214</v>
      </c>
      <c r="BQ126" s="489" t="s">
        <v>213</v>
      </c>
      <c r="BR126" s="489" t="s">
        <v>272</v>
      </c>
      <c r="BS126" s="497" t="s">
        <v>330</v>
      </c>
      <c r="BT126" s="511" t="s">
        <v>331</v>
      </c>
      <c r="BU126" s="511" t="s">
        <v>333</v>
      </c>
      <c r="BV126" s="511" t="s">
        <v>389</v>
      </c>
      <c r="BW126" s="511" t="s">
        <v>405</v>
      </c>
      <c r="BX126" s="208"/>
      <c r="BY126" s="572" t="s">
        <v>235</v>
      </c>
      <c r="BZ126" s="572" t="s">
        <v>236</v>
      </c>
    </row>
    <row r="127" spans="1:78" ht="16.5" x14ac:dyDescent="0.3">
      <c r="A127" s="456"/>
      <c r="B127" s="291" t="s">
        <v>220</v>
      </c>
      <c r="C127" s="175" t="s">
        <v>54</v>
      </c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7"/>
      <c r="V127" s="296"/>
      <c r="W127" s="296"/>
      <c r="X127" s="296"/>
      <c r="Y127" s="296"/>
      <c r="Z127" s="296"/>
      <c r="AA127" s="296"/>
      <c r="AB127" s="296"/>
      <c r="AC127" s="296"/>
      <c r="AD127" s="296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151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1"/>
      <c r="AZ127" s="151"/>
      <c r="BA127" s="151"/>
      <c r="BB127" s="151"/>
      <c r="BC127" s="151"/>
      <c r="BD127" s="151"/>
      <c r="BE127" s="151"/>
      <c r="BF127" s="151"/>
      <c r="BG127" s="151"/>
      <c r="BH127" s="151"/>
      <c r="BI127" s="151"/>
      <c r="BJ127" s="151"/>
      <c r="BK127" s="468"/>
      <c r="BL127" s="360"/>
      <c r="BM127" s="474"/>
      <c r="BN127" s="348"/>
      <c r="BO127" s="348"/>
      <c r="BP127" s="348"/>
      <c r="BQ127" s="348"/>
      <c r="BR127" s="361">
        <v>31100</v>
      </c>
      <c r="BS127" s="476">
        <v>41300</v>
      </c>
      <c r="BT127" s="476">
        <v>41700</v>
      </c>
      <c r="BU127" s="476">
        <v>68600</v>
      </c>
      <c r="BV127" s="476">
        <v>744000</v>
      </c>
      <c r="BW127" s="476">
        <v>721000</v>
      </c>
      <c r="BX127" s="208"/>
      <c r="BY127" s="554">
        <f>(Tableau9[[#This Row],[juin-24]]-Tableau9[[#This Row],[avr-24]])/Tableau9[[#This Row],[avr-24]]</f>
        <v>-3.0913978494623656E-2</v>
      </c>
      <c r="BZ127" s="548">
        <f>Tableau9[[#This Row],[juin-24]]-Tableau9[[#This Row],[avr-24]]</f>
        <v>-23000</v>
      </c>
    </row>
    <row r="128" spans="1:78" ht="16.5" x14ac:dyDescent="0.3">
      <c r="A128" s="120"/>
      <c r="B128" s="329" t="s">
        <v>166</v>
      </c>
      <c r="C128" s="1" t="s">
        <v>54</v>
      </c>
      <c r="T128"/>
      <c r="U128" s="6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"/>
      <c r="BL128" s="473"/>
      <c r="BM128" s="262"/>
      <c r="BN128" s="6"/>
      <c r="BO128" s="6"/>
      <c r="BP128" s="6"/>
      <c r="BQ128" s="6"/>
      <c r="BR128" s="6">
        <v>31300</v>
      </c>
      <c r="BS128" s="326">
        <v>37300</v>
      </c>
      <c r="BT128" s="326">
        <v>37500</v>
      </c>
      <c r="BU128" s="326">
        <v>74300</v>
      </c>
      <c r="BV128" s="326">
        <v>75700</v>
      </c>
      <c r="BW128" s="326">
        <v>77800</v>
      </c>
      <c r="BX128" s="208"/>
      <c r="BY128" s="554">
        <f>(Tableau9[[#This Row],[juin-24]]-Tableau9[[#This Row],[avr-24]])/Tableau9[[#This Row],[avr-24]]</f>
        <v>2.7741083223249668E-2</v>
      </c>
      <c r="BZ128" s="548">
        <f>Tableau9[[#This Row],[juin-24]]-Tableau9[[#This Row],[avr-24]]</f>
        <v>2100</v>
      </c>
    </row>
    <row r="129" spans="1:79" ht="16.5" x14ac:dyDescent="0.3">
      <c r="A129" s="457"/>
      <c r="B129" s="124" t="s">
        <v>223</v>
      </c>
      <c r="C129" s="272" t="s">
        <v>55</v>
      </c>
      <c r="D129" s="460"/>
      <c r="E129" s="460"/>
      <c r="F129" s="460"/>
      <c r="G129" s="460"/>
      <c r="H129" s="460"/>
      <c r="I129" s="460"/>
      <c r="J129" s="460"/>
      <c r="K129" s="460"/>
      <c r="L129" s="460"/>
      <c r="M129" s="460"/>
      <c r="N129" s="460"/>
      <c r="O129" s="460"/>
      <c r="P129" s="460"/>
      <c r="Q129" s="460"/>
      <c r="R129" s="460"/>
      <c r="S129" s="460"/>
      <c r="T129" s="460"/>
      <c r="U129" s="462"/>
      <c r="V129" s="460"/>
      <c r="W129" s="460"/>
      <c r="X129" s="460"/>
      <c r="Y129" s="460"/>
      <c r="Z129" s="460"/>
      <c r="AA129" s="460"/>
      <c r="AB129" s="460"/>
      <c r="AC129" s="460"/>
      <c r="AD129" s="460"/>
      <c r="AE129" s="460"/>
      <c r="AF129" s="460"/>
      <c r="AG129" s="460"/>
      <c r="AH129" s="460"/>
      <c r="AI129" s="460"/>
      <c r="AJ129" s="460"/>
      <c r="AK129" s="460"/>
      <c r="AL129" s="460"/>
      <c r="AM129" s="460"/>
      <c r="AN129" s="460"/>
      <c r="AO129" s="465"/>
      <c r="AP129" s="465"/>
      <c r="AQ129" s="465"/>
      <c r="AR129" s="465"/>
      <c r="AS129" s="465"/>
      <c r="AT129" s="465"/>
      <c r="AU129" s="465"/>
      <c r="AV129" s="465"/>
      <c r="AW129" s="465"/>
      <c r="AX129" s="465"/>
      <c r="AY129" s="465"/>
      <c r="AZ129" s="465"/>
      <c r="BA129" s="465"/>
      <c r="BB129" s="465"/>
      <c r="BC129" s="465"/>
      <c r="BD129" s="465"/>
      <c r="BE129" s="465"/>
      <c r="BF129" s="465"/>
      <c r="BG129" s="465"/>
      <c r="BH129" s="465"/>
      <c r="BI129" s="465"/>
      <c r="BJ129" s="465"/>
      <c r="BK129" s="212"/>
      <c r="BL129" s="471"/>
      <c r="BM129" s="475"/>
      <c r="BN129" s="476"/>
      <c r="BO129" s="476"/>
      <c r="BP129" s="476"/>
      <c r="BQ129" s="476"/>
      <c r="BR129" s="480">
        <v>8317</v>
      </c>
      <c r="BS129" s="326">
        <v>18100</v>
      </c>
      <c r="BT129" s="326">
        <v>18300</v>
      </c>
      <c r="BU129" s="326">
        <v>39700</v>
      </c>
      <c r="BV129" s="326">
        <v>40600</v>
      </c>
      <c r="BW129" s="326">
        <v>41500</v>
      </c>
      <c r="BX129" s="208"/>
      <c r="BY129" s="554">
        <f>(Tableau9[[#This Row],[juin-24]]-Tableau9[[#This Row],[avr-24]])/Tableau9[[#This Row],[avr-24]]</f>
        <v>2.2167487684729065E-2</v>
      </c>
      <c r="BZ129" s="548">
        <f>Tableau9[[#This Row],[juin-24]]-Tableau9[[#This Row],[avr-24]]</f>
        <v>900</v>
      </c>
    </row>
    <row r="130" spans="1:79" ht="16.5" x14ac:dyDescent="0.3">
      <c r="A130" s="313"/>
      <c r="B130" s="329" t="s">
        <v>173</v>
      </c>
      <c r="C130" s="315" t="s">
        <v>54</v>
      </c>
      <c r="D130" s="316"/>
      <c r="E130" s="316"/>
      <c r="F130" s="316"/>
      <c r="G130" s="316"/>
      <c r="H130" s="316"/>
      <c r="I130" s="316"/>
      <c r="J130" s="316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7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  <c r="AG130" s="316"/>
      <c r="AH130" s="316"/>
      <c r="AI130" s="316"/>
      <c r="AJ130" s="316"/>
      <c r="AK130" s="316"/>
      <c r="AL130" s="316"/>
      <c r="AM130" s="316"/>
      <c r="AN130" s="316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  <c r="BI130" s="318"/>
      <c r="BJ130" s="318"/>
      <c r="BK130" s="322"/>
      <c r="BL130" s="319"/>
      <c r="BM130" s="323"/>
      <c r="BN130" s="320"/>
      <c r="BO130" s="320"/>
      <c r="BP130" s="320"/>
      <c r="BQ130" s="320"/>
      <c r="BR130" s="324"/>
      <c r="BS130" s="320">
        <v>14700</v>
      </c>
      <c r="BT130" s="320">
        <v>14900</v>
      </c>
      <c r="BU130" s="320">
        <v>29800</v>
      </c>
      <c r="BV130" s="320">
        <v>29900</v>
      </c>
      <c r="BW130" s="320">
        <v>29800</v>
      </c>
      <c r="BX130" s="208"/>
      <c r="BY130" s="554">
        <f>(Tableau9[[#This Row],[juin-24]]-Tableau9[[#This Row],[avr-24]])/Tableau9[[#This Row],[avr-24]]</f>
        <v>-3.3444816053511705E-3</v>
      </c>
      <c r="BZ130" s="548">
        <f>Tableau9[[#This Row],[juin-24]]-Tableau9[[#This Row],[avr-24]]</f>
        <v>-100</v>
      </c>
    </row>
    <row r="131" spans="1:79" ht="16.5" x14ac:dyDescent="0.3">
      <c r="A131" s="314"/>
      <c r="B131" s="459" t="s">
        <v>227</v>
      </c>
      <c r="C131" s="315" t="s">
        <v>54</v>
      </c>
      <c r="D131" s="316"/>
      <c r="E131" s="316"/>
      <c r="F131" s="316"/>
      <c r="G131" s="316"/>
      <c r="H131" s="316"/>
      <c r="I131" s="316"/>
      <c r="J131" s="316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7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  <c r="AG131" s="316"/>
      <c r="AH131" s="316"/>
      <c r="AI131" s="316"/>
      <c r="AJ131" s="316"/>
      <c r="AK131" s="316"/>
      <c r="AL131" s="316"/>
      <c r="AM131" s="316"/>
      <c r="AN131" s="316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  <c r="BI131" s="318"/>
      <c r="BJ131" s="318"/>
      <c r="BK131" s="322"/>
      <c r="BL131" s="319"/>
      <c r="BM131" s="323"/>
      <c r="BN131" s="320"/>
      <c r="BO131" s="320"/>
      <c r="BP131" s="479"/>
      <c r="BQ131" s="479"/>
      <c r="BR131" s="482">
        <v>3030</v>
      </c>
      <c r="BS131" s="483">
        <v>9665</v>
      </c>
      <c r="BT131" s="483">
        <v>9920</v>
      </c>
      <c r="BU131" s="483">
        <v>44500</v>
      </c>
      <c r="BV131" s="483">
        <v>48500</v>
      </c>
      <c r="BW131" s="483">
        <v>49600</v>
      </c>
      <c r="BX131" s="208"/>
      <c r="BY131" s="554">
        <f>(Tableau9[[#This Row],[juin-24]]-Tableau9[[#This Row],[avr-24]])/Tableau9[[#This Row],[avr-24]]</f>
        <v>2.268041237113402E-2</v>
      </c>
      <c r="BZ131" s="548">
        <f>Tableau9[[#This Row],[juin-24]]-Tableau9[[#This Row],[avr-24]]</f>
        <v>1100</v>
      </c>
    </row>
    <row r="132" spans="1:79" ht="16.5" x14ac:dyDescent="0.3">
      <c r="A132" s="55"/>
      <c r="B132" s="329" t="s">
        <v>285</v>
      </c>
      <c r="C132" s="54" t="s">
        <v>55</v>
      </c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00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88"/>
      <c r="BL132" s="321"/>
      <c r="BM132" s="114"/>
      <c r="BN132" s="326"/>
      <c r="BO132" s="326"/>
      <c r="BP132" s="326"/>
      <c r="BQ132" s="326"/>
      <c r="BR132" s="327">
        <v>7056</v>
      </c>
      <c r="BS132" s="326">
        <v>9643</v>
      </c>
      <c r="BT132" s="326">
        <v>9829</v>
      </c>
      <c r="BU132" s="326">
        <v>0</v>
      </c>
      <c r="BV132" s="326">
        <v>0</v>
      </c>
      <c r="BW132" s="326">
        <v>0</v>
      </c>
      <c r="BX132" s="208"/>
      <c r="BY132" s="554" t="e">
        <f>(Tableau9[[#This Row],[juin-24]]-Tableau9[[#This Row],[avr-24]])/Tableau9[[#This Row],[avr-24]]</f>
        <v>#DIV/0!</v>
      </c>
      <c r="BZ132" s="548">
        <f>Tableau9[[#This Row],[juin-24]]-Tableau9[[#This Row],[avr-24]]</f>
        <v>0</v>
      </c>
    </row>
    <row r="133" spans="1:79" ht="16.5" x14ac:dyDescent="0.3">
      <c r="A133" s="325"/>
      <c r="B133" s="329" t="s">
        <v>170</v>
      </c>
      <c r="C133" s="54" t="s">
        <v>54</v>
      </c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00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88"/>
      <c r="BL133" s="321"/>
      <c r="BM133" s="114"/>
      <c r="BN133" s="326"/>
      <c r="BO133" s="326"/>
      <c r="BP133" s="326"/>
      <c r="BQ133" s="326"/>
      <c r="BR133" s="327">
        <v>4676</v>
      </c>
      <c r="BS133" s="326">
        <v>7965</v>
      </c>
      <c r="BT133" s="326">
        <v>8224</v>
      </c>
      <c r="BU133" s="326">
        <v>33500</v>
      </c>
      <c r="BV133" s="326">
        <v>41100</v>
      </c>
      <c r="BW133" s="326">
        <v>44000</v>
      </c>
      <c r="BX133" s="208"/>
      <c r="BY133" s="554">
        <f>(Tableau9[[#This Row],[juin-24]]-Tableau9[[#This Row],[avr-24]])/Tableau9[[#This Row],[avr-24]]</f>
        <v>7.0559610705596104E-2</v>
      </c>
      <c r="BZ133" s="548">
        <f>Tableau9[[#This Row],[juin-24]]-Tableau9[[#This Row],[avr-24]]</f>
        <v>2900</v>
      </c>
    </row>
    <row r="134" spans="1:79" ht="16.5" x14ac:dyDescent="0.3">
      <c r="A134" s="314"/>
      <c r="B134" s="459" t="s">
        <v>284</v>
      </c>
      <c r="C134" s="315" t="s">
        <v>54</v>
      </c>
      <c r="D134" s="316"/>
      <c r="E134" s="316"/>
      <c r="F134" s="316"/>
      <c r="G134" s="316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7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  <c r="AG134" s="316"/>
      <c r="AH134" s="316"/>
      <c r="AI134" s="316"/>
      <c r="AJ134" s="316"/>
      <c r="AK134" s="316"/>
      <c r="AL134" s="316"/>
      <c r="AM134" s="316"/>
      <c r="AN134" s="316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  <c r="BI134" s="318"/>
      <c r="BJ134" s="318"/>
      <c r="BK134" s="322"/>
      <c r="BL134" s="319"/>
      <c r="BM134" s="323"/>
      <c r="BN134" s="320"/>
      <c r="BO134" s="320"/>
      <c r="BP134" s="320"/>
      <c r="BQ134" s="320"/>
      <c r="BR134" s="324">
        <v>1841</v>
      </c>
      <c r="BS134" s="320">
        <v>7562</v>
      </c>
      <c r="BT134" s="320">
        <v>8268</v>
      </c>
      <c r="BU134" s="320">
        <v>24900</v>
      </c>
      <c r="BV134" s="320">
        <v>26400</v>
      </c>
      <c r="BW134" s="320">
        <v>27300</v>
      </c>
      <c r="BX134" s="208"/>
      <c r="BY134" s="554">
        <f>(Tableau9[[#This Row],[juin-24]]-Tableau9[[#This Row],[avr-24]])/Tableau9[[#This Row],[avr-24]]</f>
        <v>3.4090909090909088E-2</v>
      </c>
      <c r="BZ134" s="548">
        <f>Tableau9[[#This Row],[juin-24]]-Tableau9[[#This Row],[avr-24]]</f>
        <v>900</v>
      </c>
    </row>
    <row r="135" spans="1:79" ht="16.5" x14ac:dyDescent="0.3">
      <c r="A135" s="121"/>
      <c r="B135" s="344" t="s">
        <v>283</v>
      </c>
      <c r="C135" s="54" t="s">
        <v>55</v>
      </c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100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118"/>
      <c r="AP135" s="118"/>
      <c r="AQ135" s="118"/>
      <c r="AR135" s="118"/>
      <c r="AS135" s="118"/>
      <c r="AT135" s="118"/>
      <c r="AU135" s="118"/>
      <c r="AV135" s="118"/>
      <c r="AW135" s="118"/>
      <c r="AX135" s="118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18"/>
      <c r="BJ135" s="118"/>
      <c r="BK135" s="179"/>
      <c r="BL135" s="472"/>
      <c r="BM135" s="259"/>
      <c r="BN135" s="477"/>
      <c r="BO135" s="477"/>
      <c r="BP135" s="478"/>
      <c r="BQ135" s="478"/>
      <c r="BR135" s="481">
        <v>4297</v>
      </c>
      <c r="BS135" s="347">
        <v>7394</v>
      </c>
      <c r="BT135" s="347">
        <v>8102</v>
      </c>
      <c r="BU135" s="347">
        <v>14400</v>
      </c>
      <c r="BV135" s="347">
        <v>16000</v>
      </c>
      <c r="BW135" s="347">
        <v>16200</v>
      </c>
      <c r="BX135" s="208"/>
      <c r="BY135" s="554">
        <f>(Tableau9[[#This Row],[juin-24]]-Tableau9[[#This Row],[avr-24]])/Tableau9[[#This Row],[avr-24]]</f>
        <v>1.2500000000000001E-2</v>
      </c>
      <c r="BZ135" s="548">
        <f>Tableau9[[#This Row],[juin-24]]-Tableau9[[#This Row],[avr-24]]</f>
        <v>200</v>
      </c>
    </row>
    <row r="136" spans="1:79" ht="16.5" x14ac:dyDescent="0.3">
      <c r="A136" s="313"/>
      <c r="B136" s="329" t="s">
        <v>273</v>
      </c>
      <c r="C136" s="315" t="s">
        <v>54</v>
      </c>
      <c r="D136" s="316"/>
      <c r="E136" s="316"/>
      <c r="F136" s="316"/>
      <c r="G136" s="316"/>
      <c r="H136" s="316"/>
      <c r="I136" s="316"/>
      <c r="J136" s="316"/>
      <c r="K136" s="316"/>
      <c r="L136" s="316"/>
      <c r="M136" s="316"/>
      <c r="N136" s="316"/>
      <c r="O136" s="316"/>
      <c r="P136" s="316"/>
      <c r="Q136" s="316"/>
      <c r="R136" s="316"/>
      <c r="S136" s="316"/>
      <c r="T136" s="316"/>
      <c r="U136" s="317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  <c r="AG136" s="316"/>
      <c r="AH136" s="316"/>
      <c r="AI136" s="316"/>
      <c r="AJ136" s="316"/>
      <c r="AK136" s="316"/>
      <c r="AL136" s="316"/>
      <c r="AM136" s="316"/>
      <c r="AN136" s="316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/>
      <c r="BF136" s="318"/>
      <c r="BG136" s="318"/>
      <c r="BH136" s="318"/>
      <c r="BI136" s="318"/>
      <c r="BJ136" s="318"/>
      <c r="BK136" s="322"/>
      <c r="BL136" s="319"/>
      <c r="BM136" s="323"/>
      <c r="BN136" s="320"/>
      <c r="BO136" s="320"/>
      <c r="BP136" s="320"/>
      <c r="BQ136" s="320"/>
      <c r="BR136" s="324">
        <v>3288</v>
      </c>
      <c r="BS136" s="320">
        <v>5109</v>
      </c>
      <c r="BT136" s="320">
        <v>5278</v>
      </c>
      <c r="BU136" s="320">
        <v>11800</v>
      </c>
      <c r="BV136" s="320">
        <v>20400</v>
      </c>
      <c r="BW136" s="320">
        <v>22900</v>
      </c>
      <c r="BX136" s="208"/>
      <c r="BY136" s="554">
        <f>(Tableau9[[#This Row],[juin-24]]-Tableau9[[#This Row],[avr-24]])/Tableau9[[#This Row],[avr-24]]</f>
        <v>0.12254901960784313</v>
      </c>
      <c r="BZ136" s="548">
        <f>Tableau9[[#This Row],[juin-24]]-Tableau9[[#This Row],[avr-24]]</f>
        <v>2500</v>
      </c>
      <c r="CA136" s="252" t="s">
        <v>344</v>
      </c>
    </row>
    <row r="137" spans="1:79" ht="16.5" x14ac:dyDescent="0.3">
      <c r="A137" s="55"/>
      <c r="B137" s="329" t="s">
        <v>287</v>
      </c>
      <c r="C137" s="54" t="s">
        <v>54</v>
      </c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100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88"/>
      <c r="BL137" s="321"/>
      <c r="BM137" s="114"/>
      <c r="BN137" s="326"/>
      <c r="BO137" s="326"/>
      <c r="BP137" s="326"/>
      <c r="BQ137" s="326"/>
      <c r="BR137" s="327"/>
      <c r="BS137" s="326">
        <v>5092</v>
      </c>
      <c r="BT137" s="326">
        <v>5179</v>
      </c>
      <c r="BU137" s="326">
        <v>21100</v>
      </c>
      <c r="BV137" s="326">
        <v>23500</v>
      </c>
      <c r="BW137" s="326">
        <v>24700</v>
      </c>
      <c r="BX137" s="208"/>
      <c r="BY137" s="554">
        <f>(Tableau9[[#This Row],[juin-24]]-Tableau9[[#This Row],[avr-24]])/Tableau9[[#This Row],[avr-24]]</f>
        <v>5.106382978723404E-2</v>
      </c>
      <c r="BZ137" s="548">
        <f>Tableau9[[#This Row],[juin-24]]-Tableau9[[#This Row],[avr-24]]</f>
        <v>1200</v>
      </c>
    </row>
    <row r="138" spans="1:79" ht="16.5" x14ac:dyDescent="0.3">
      <c r="A138" s="55"/>
      <c r="B138" s="329" t="s">
        <v>226</v>
      </c>
      <c r="C138" s="54" t="s">
        <v>54</v>
      </c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100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88"/>
      <c r="BL138" s="321"/>
      <c r="BM138" s="114"/>
      <c r="BN138" s="326"/>
      <c r="BO138" s="326"/>
      <c r="BP138" s="326"/>
      <c r="BQ138" s="326"/>
      <c r="BR138" s="327">
        <v>3675</v>
      </c>
      <c r="BS138" s="326">
        <v>4809</v>
      </c>
      <c r="BT138" s="326">
        <v>4863</v>
      </c>
      <c r="BU138" s="326">
        <v>9493</v>
      </c>
      <c r="BV138" s="326">
        <v>9800</v>
      </c>
      <c r="BW138" s="326">
        <v>10000</v>
      </c>
      <c r="BX138" s="208"/>
      <c r="BY138" s="554">
        <f>(Tableau9[[#This Row],[juin-24]]-Tableau9[[#This Row],[avr-24]])/Tableau9[[#This Row],[avr-24]]</f>
        <v>2.0408163265306121E-2</v>
      </c>
      <c r="BZ138" s="548">
        <f>Tableau9[[#This Row],[juin-24]]-Tableau9[[#This Row],[avr-24]]</f>
        <v>200</v>
      </c>
    </row>
    <row r="139" spans="1:79" ht="16.5" x14ac:dyDescent="0.3">
      <c r="A139" s="313"/>
      <c r="B139" s="329" t="s">
        <v>222</v>
      </c>
      <c r="C139" s="315" t="s">
        <v>54</v>
      </c>
      <c r="D139" s="316"/>
      <c r="E139" s="316"/>
      <c r="F139" s="316"/>
      <c r="G139" s="316"/>
      <c r="H139" s="316"/>
      <c r="I139" s="316"/>
      <c r="J139" s="316"/>
      <c r="K139" s="316"/>
      <c r="L139" s="316"/>
      <c r="M139" s="316"/>
      <c r="N139" s="316"/>
      <c r="O139" s="316"/>
      <c r="P139" s="316"/>
      <c r="Q139" s="316"/>
      <c r="R139" s="316"/>
      <c r="S139" s="316"/>
      <c r="T139" s="316"/>
      <c r="U139" s="317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  <c r="AG139" s="316"/>
      <c r="AH139" s="316"/>
      <c r="AI139" s="316"/>
      <c r="AJ139" s="316"/>
      <c r="AK139" s="316"/>
      <c r="AL139" s="316"/>
      <c r="AM139" s="316"/>
      <c r="AN139" s="316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  <c r="BI139" s="318"/>
      <c r="BJ139" s="318"/>
      <c r="BK139" s="322"/>
      <c r="BL139" s="319"/>
      <c r="BM139" s="323"/>
      <c r="BN139" s="320"/>
      <c r="BO139" s="320"/>
      <c r="BP139" s="320"/>
      <c r="BQ139" s="320"/>
      <c r="BR139" s="324">
        <v>2757</v>
      </c>
      <c r="BS139" s="320">
        <v>3718</v>
      </c>
      <c r="BT139" s="320">
        <v>3761</v>
      </c>
      <c r="BU139" s="320">
        <v>9078</v>
      </c>
      <c r="BV139" s="320">
        <v>0</v>
      </c>
      <c r="BW139" s="320">
        <v>9387</v>
      </c>
      <c r="BX139" s="208"/>
      <c r="BY139" s="554">
        <f>(Tableau9[[#This Row],[juin-24]]-Tableau9[[#This Row],[oct-23]])/Tableau9[[#This Row],[oct-23]]</f>
        <v>3.4038334434897552E-2</v>
      </c>
      <c r="BZ139" s="548">
        <f>Tableau9[[#This Row],[juin-24]]-Tableau9[[#This Row],[oct-23]]</f>
        <v>309</v>
      </c>
      <c r="CA139" s="252" t="s">
        <v>334</v>
      </c>
    </row>
    <row r="140" spans="1:79" ht="16.5" x14ac:dyDescent="0.3">
      <c r="A140" s="314"/>
      <c r="B140" s="329" t="s">
        <v>167</v>
      </c>
      <c r="C140" s="315" t="s">
        <v>55</v>
      </c>
      <c r="D140" s="316"/>
      <c r="E140" s="316"/>
      <c r="F140" s="316"/>
      <c r="G140" s="316"/>
      <c r="H140" s="316"/>
      <c r="I140" s="316"/>
      <c r="J140" s="316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7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  <c r="AG140" s="316"/>
      <c r="AH140" s="316"/>
      <c r="AI140" s="316"/>
      <c r="AJ140" s="316"/>
      <c r="AK140" s="316"/>
      <c r="AL140" s="316"/>
      <c r="AM140" s="316"/>
      <c r="AN140" s="316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  <c r="BI140" s="318"/>
      <c r="BJ140" s="318"/>
      <c r="BK140" s="317"/>
      <c r="BL140" s="319"/>
      <c r="BM140" s="323"/>
      <c r="BN140" s="320"/>
      <c r="BO140" s="320"/>
      <c r="BP140" s="320"/>
      <c r="BQ140" s="320"/>
      <c r="BR140" s="324">
        <v>644</v>
      </c>
      <c r="BS140" s="320">
        <v>3483</v>
      </c>
      <c r="BT140" s="320">
        <v>3528</v>
      </c>
      <c r="BU140" s="320">
        <v>7327</v>
      </c>
      <c r="BV140" s="320">
        <v>8929</v>
      </c>
      <c r="BW140" s="320">
        <v>9635</v>
      </c>
      <c r="BX140" s="208"/>
      <c r="BY140" s="554">
        <f>(Tableau9[[#This Row],[juin-24]]-Tableau9[[#This Row],[avr-24]])/Tableau9[[#This Row],[avr-24]]</f>
        <v>7.9068204726173139E-2</v>
      </c>
      <c r="BZ140" s="548">
        <f>Tableau9[[#This Row],[juin-24]]-Tableau9[[#This Row],[avr-24]]</f>
        <v>706</v>
      </c>
    </row>
    <row r="141" spans="1:79" ht="16.5" x14ac:dyDescent="0.3">
      <c r="A141" s="55"/>
      <c r="B141" s="329" t="s">
        <v>174</v>
      </c>
      <c r="C141" s="54" t="s">
        <v>55</v>
      </c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100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88"/>
      <c r="BL141" s="321"/>
      <c r="BM141" s="114"/>
      <c r="BN141" s="326"/>
      <c r="BO141" s="326"/>
      <c r="BP141" s="326"/>
      <c r="BQ141" s="326"/>
      <c r="BR141" s="327"/>
      <c r="BS141" s="326">
        <v>2300</v>
      </c>
      <c r="BT141" s="326">
        <v>2392</v>
      </c>
      <c r="BU141" s="326">
        <v>11600</v>
      </c>
      <c r="BV141" s="326">
        <v>12000</v>
      </c>
      <c r="BW141" s="326">
        <v>14100</v>
      </c>
      <c r="BX141" s="208"/>
      <c r="BY141" s="554">
        <f>(Tableau9[[#This Row],[juin-24]]-Tableau9[[#This Row],[avr-24]])/Tableau9[[#This Row],[avr-24]]</f>
        <v>0.17499999999999999</v>
      </c>
      <c r="BZ141" s="548">
        <f>Tableau9[[#This Row],[juin-24]]-Tableau9[[#This Row],[avr-24]]</f>
        <v>2100</v>
      </c>
    </row>
    <row r="142" spans="1:79" ht="16.5" x14ac:dyDescent="0.3">
      <c r="A142" s="313"/>
      <c r="B142" s="329" t="s">
        <v>228</v>
      </c>
      <c r="C142" s="315" t="s">
        <v>54</v>
      </c>
      <c r="D142" s="316"/>
      <c r="E142" s="316"/>
      <c r="F142" s="316"/>
      <c r="G142" s="316"/>
      <c r="H142" s="316"/>
      <c r="I142" s="316"/>
      <c r="J142" s="316"/>
      <c r="K142" s="316"/>
      <c r="L142" s="316"/>
      <c r="M142" s="316"/>
      <c r="N142" s="316"/>
      <c r="O142" s="316"/>
      <c r="P142" s="316"/>
      <c r="Q142" s="316"/>
      <c r="R142" s="316"/>
      <c r="S142" s="316"/>
      <c r="T142" s="316"/>
      <c r="U142" s="317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  <c r="AG142" s="316"/>
      <c r="AH142" s="316"/>
      <c r="AI142" s="316"/>
      <c r="AJ142" s="316"/>
      <c r="AK142" s="316"/>
      <c r="AL142" s="316"/>
      <c r="AM142" s="316"/>
      <c r="AN142" s="316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  <c r="BI142" s="318"/>
      <c r="BJ142" s="318"/>
      <c r="BK142" s="322"/>
      <c r="BL142" s="319"/>
      <c r="BM142" s="323"/>
      <c r="BN142" s="320"/>
      <c r="BO142" s="320"/>
      <c r="BP142" s="320"/>
      <c r="BQ142" s="320"/>
      <c r="BR142" s="324">
        <v>823</v>
      </c>
      <c r="BS142" s="320">
        <v>1779</v>
      </c>
      <c r="BT142" s="320">
        <v>1855</v>
      </c>
      <c r="BU142" s="320">
        <v>7635</v>
      </c>
      <c r="BV142" s="320">
        <v>8009</v>
      </c>
      <c r="BW142" s="320">
        <v>8309</v>
      </c>
      <c r="BX142" s="208"/>
      <c r="BY142" s="554">
        <f>(Tableau9[[#This Row],[juin-24]]-Tableau9[[#This Row],[avr-24]])/Tableau9[[#This Row],[avr-24]]</f>
        <v>3.7457859907603946E-2</v>
      </c>
      <c r="BZ142" s="548">
        <f>Tableau9[[#This Row],[juin-24]]-Tableau9[[#This Row],[avr-24]]</f>
        <v>300</v>
      </c>
    </row>
    <row r="143" spans="1:79" ht="16.5" x14ac:dyDescent="0.3">
      <c r="A143" s="55"/>
      <c r="B143" s="329" t="s">
        <v>176</v>
      </c>
      <c r="C143" s="54" t="s">
        <v>54</v>
      </c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100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57"/>
      <c r="AP143" s="57"/>
      <c r="AQ143" s="57"/>
      <c r="AR143" s="57"/>
      <c r="AS143" s="57"/>
      <c r="AT143" s="57"/>
      <c r="AU143" s="57"/>
      <c r="AV143" s="57"/>
      <c r="AW143" s="57"/>
      <c r="AX143" s="114"/>
      <c r="AY143" s="114"/>
      <c r="AZ143" s="114"/>
      <c r="BA143" s="114"/>
      <c r="BB143" s="114"/>
      <c r="BC143" s="114"/>
      <c r="BD143" s="114"/>
      <c r="BE143" s="114"/>
      <c r="BF143" s="114"/>
      <c r="BG143" s="114"/>
      <c r="BH143" s="114"/>
      <c r="BI143" s="114"/>
      <c r="BJ143" s="114"/>
      <c r="BK143" s="88"/>
      <c r="BL143" s="321"/>
      <c r="BM143" s="114"/>
      <c r="BN143" s="326"/>
      <c r="BO143" s="326"/>
      <c r="BP143" s="326"/>
      <c r="BQ143" s="326"/>
      <c r="BR143" s="327">
        <v>129</v>
      </c>
      <c r="BS143" s="326">
        <v>748</v>
      </c>
      <c r="BT143" s="326">
        <v>962</v>
      </c>
      <c r="BU143" s="326">
        <v>1075</v>
      </c>
      <c r="BV143" s="326">
        <v>1076</v>
      </c>
      <c r="BW143" s="326">
        <v>1069</v>
      </c>
      <c r="BX143" s="208"/>
      <c r="BY143" s="554">
        <f>(Tableau9[[#This Row],[juin-24]]-Tableau9[[#This Row],[avr-24]])/Tableau9[[#This Row],[avr-24]]</f>
        <v>-6.5055762081784388E-3</v>
      </c>
      <c r="BZ143" s="548">
        <f>Tableau9[[#This Row],[juin-24]]-Tableau9[[#This Row],[avr-24]]</f>
        <v>-7</v>
      </c>
    </row>
    <row r="144" spans="1:79" ht="16.5" x14ac:dyDescent="0.3">
      <c r="A144" s="314"/>
      <c r="B144" s="329" t="s">
        <v>168</v>
      </c>
      <c r="C144" s="315" t="s">
        <v>55</v>
      </c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7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  <c r="AG144" s="316"/>
      <c r="AH144" s="316"/>
      <c r="AI144" s="316"/>
      <c r="AJ144" s="316"/>
      <c r="AK144" s="316"/>
      <c r="AL144" s="316"/>
      <c r="AM144" s="316"/>
      <c r="AN144" s="316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  <c r="BI144" s="318"/>
      <c r="BJ144" s="318"/>
      <c r="BK144" s="322"/>
      <c r="BL144" s="319"/>
      <c r="BM144" s="323"/>
      <c r="BN144" s="320"/>
      <c r="BO144" s="320"/>
      <c r="BP144" s="320"/>
      <c r="BQ144" s="320"/>
      <c r="BR144" s="324">
        <v>117</v>
      </c>
      <c r="BS144" s="320">
        <v>167</v>
      </c>
      <c r="BT144" s="320">
        <v>180</v>
      </c>
      <c r="BU144" s="320">
        <v>271</v>
      </c>
      <c r="BV144" s="320">
        <v>318</v>
      </c>
      <c r="BW144" s="320">
        <v>323</v>
      </c>
      <c r="BX144" s="208"/>
      <c r="BY144" s="554">
        <f>(Tableau9[[#This Row],[juin-24]]-Tableau9[[#This Row],[avr-24]])/Tableau9[[#This Row],[avr-24]]</f>
        <v>1.5723270440251572E-2</v>
      </c>
      <c r="BZ144" s="548">
        <f>Tableau9[[#This Row],[juin-24]]-Tableau9[[#This Row],[avr-24]]</f>
        <v>5</v>
      </c>
    </row>
    <row r="145" spans="1:79" ht="16.5" x14ac:dyDescent="0.3">
      <c r="A145" s="313"/>
      <c r="B145" s="329" t="s">
        <v>246</v>
      </c>
      <c r="C145" s="315" t="s">
        <v>55</v>
      </c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7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  <c r="AG145" s="316"/>
      <c r="AH145" s="316"/>
      <c r="AI145" s="316"/>
      <c r="AJ145" s="316"/>
      <c r="AK145" s="316"/>
      <c r="AL145" s="316"/>
      <c r="AM145" s="316"/>
      <c r="AN145" s="316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  <c r="BI145" s="318"/>
      <c r="BJ145" s="318"/>
      <c r="BK145" s="328"/>
      <c r="BL145" s="319"/>
      <c r="BM145" s="323"/>
      <c r="BN145" s="320"/>
      <c r="BO145" s="320"/>
      <c r="BP145" s="320"/>
      <c r="BQ145" s="320"/>
      <c r="BR145" s="324">
        <v>74</v>
      </c>
      <c r="BS145" s="320">
        <v>100</v>
      </c>
      <c r="BT145" s="320">
        <v>102</v>
      </c>
      <c r="BU145" s="320">
        <v>229</v>
      </c>
      <c r="BV145" s="320">
        <v>258</v>
      </c>
      <c r="BW145" s="320">
        <v>282</v>
      </c>
      <c r="BX145" s="208"/>
      <c r="BY145" s="554">
        <f>(Tableau9[[#This Row],[juin-24]]-Tableau9[[#This Row],[avr-24]])/Tableau9[[#This Row],[avr-24]]</f>
        <v>9.3023255813953487E-2</v>
      </c>
      <c r="BZ145" s="548">
        <f>Tableau9[[#This Row],[juin-24]]-Tableau9[[#This Row],[avr-24]]</f>
        <v>24</v>
      </c>
    </row>
    <row r="146" spans="1:79" ht="16.5" x14ac:dyDescent="0.3">
      <c r="A146" s="55"/>
      <c r="B146" s="329" t="s">
        <v>293</v>
      </c>
      <c r="C146" s="54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100"/>
      <c r="U146" s="100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464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63"/>
      <c r="BL146" s="321"/>
      <c r="BM146" s="114"/>
      <c r="BN146" s="326"/>
      <c r="BO146" s="326"/>
      <c r="BP146" s="326"/>
      <c r="BQ146" s="326"/>
      <c r="BR146" s="327"/>
      <c r="BS146" s="326">
        <v>19</v>
      </c>
      <c r="BT146" s="326">
        <v>20</v>
      </c>
      <c r="BU146" s="326">
        <v>111</v>
      </c>
      <c r="BV146" s="326">
        <v>0</v>
      </c>
      <c r="BW146" s="326">
        <v>143</v>
      </c>
      <c r="BX146" s="208"/>
      <c r="BY146" s="554">
        <f>(Tableau9[[#This Row],[juin-24]]-Tableau9[[#This Row],[oct-23]])/Tableau9[[#This Row],[oct-23]]</f>
        <v>0.28828828828828829</v>
      </c>
      <c r="BZ146" s="548">
        <f>Tableau9[[#This Row],[juin-24]]-Tableau9[[#This Row],[oct-23]]</f>
        <v>32</v>
      </c>
      <c r="CA146" s="252" t="s">
        <v>335</v>
      </c>
    </row>
    <row r="147" spans="1:79" ht="16.5" x14ac:dyDescent="0.3">
      <c r="A147" s="55"/>
      <c r="B147" t="s">
        <v>172</v>
      </c>
      <c r="C147" s="54" t="s">
        <v>54</v>
      </c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100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57"/>
      <c r="AP147" s="57"/>
      <c r="AQ147" s="57"/>
      <c r="AR147" s="57"/>
      <c r="AS147" s="57"/>
      <c r="AT147" s="57"/>
      <c r="AU147" s="57"/>
      <c r="AV147" s="57"/>
      <c r="AW147" s="57"/>
      <c r="AX147" s="114"/>
      <c r="AY147" s="114"/>
      <c r="AZ147" s="114"/>
      <c r="BA147" s="114"/>
      <c r="BB147" s="114"/>
      <c r="BC147" s="114"/>
      <c r="BD147" s="114"/>
      <c r="BE147" s="114"/>
      <c r="BF147" s="114"/>
      <c r="BG147" s="114"/>
      <c r="BH147" s="114"/>
      <c r="BI147" s="114"/>
      <c r="BJ147" s="114"/>
      <c r="BK147" s="88"/>
      <c r="BL147" s="321"/>
      <c r="BM147" s="114"/>
      <c r="BN147" s="326"/>
      <c r="BO147" s="326"/>
      <c r="BP147" s="326"/>
      <c r="BQ147" s="326"/>
      <c r="BR147" s="327"/>
      <c r="BS147" s="326"/>
      <c r="BT147" s="326"/>
      <c r="BU147" s="326">
        <v>41400</v>
      </c>
      <c r="BV147" s="326">
        <v>43900</v>
      </c>
      <c r="BW147" s="326">
        <v>45400</v>
      </c>
      <c r="BX147" s="208"/>
      <c r="BY147" s="554">
        <f>(Tableau9[[#This Row],[juin-24]]-Tableau9[[#This Row],[avr-24]])/Tableau9[[#This Row],[avr-24]]</f>
        <v>3.4168564920273349E-2</v>
      </c>
      <c r="BZ147" s="548">
        <f>Tableau9[[#This Row],[juin-24]]-Tableau9[[#This Row],[avr-24]]</f>
        <v>1500</v>
      </c>
      <c r="CA147" s="252" t="s">
        <v>336</v>
      </c>
    </row>
    <row r="148" spans="1:79" ht="16.5" x14ac:dyDescent="0.3">
      <c r="A148" s="314"/>
      <c r="B148" t="s">
        <v>175</v>
      </c>
      <c r="C148" s="315" t="s">
        <v>55</v>
      </c>
      <c r="D148" s="316"/>
      <c r="E148" s="316"/>
      <c r="F148" s="316"/>
      <c r="G148" s="316"/>
      <c r="H148" s="316"/>
      <c r="I148" s="316"/>
      <c r="J148" s="316"/>
      <c r="K148" s="316"/>
      <c r="L148" s="316"/>
      <c r="M148" s="316"/>
      <c r="N148" s="316"/>
      <c r="O148" s="316"/>
      <c r="P148" s="316"/>
      <c r="Q148" s="316"/>
      <c r="R148" s="316"/>
      <c r="S148" s="316"/>
      <c r="T148" s="316"/>
      <c r="U148" s="317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  <c r="AG148" s="316"/>
      <c r="AH148" s="316"/>
      <c r="AI148" s="316"/>
      <c r="AJ148" s="316"/>
      <c r="AK148" s="316"/>
      <c r="AL148" s="316"/>
      <c r="AM148" s="316"/>
      <c r="AN148" s="316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  <c r="BI148" s="318"/>
      <c r="BJ148" s="318"/>
      <c r="BK148" s="322"/>
      <c r="BL148" s="319"/>
      <c r="BM148" s="323"/>
      <c r="BN148" s="320"/>
      <c r="BO148" s="320"/>
      <c r="BP148" s="320"/>
      <c r="BQ148" s="320"/>
      <c r="BR148" s="324"/>
      <c r="BS148" s="320"/>
      <c r="BT148" s="320"/>
      <c r="BU148" s="320">
        <v>3063</v>
      </c>
      <c r="BV148" s="320">
        <v>3775</v>
      </c>
      <c r="BW148" s="320">
        <v>3877</v>
      </c>
      <c r="BX148" s="208"/>
      <c r="BY148" s="554">
        <f>(Tableau9[[#This Row],[juin-24]]-Tableau9[[#This Row],[avr-24]])/Tableau9[[#This Row],[avr-24]]</f>
        <v>2.7019867549668876E-2</v>
      </c>
      <c r="BZ148" s="548">
        <f>Tableau9[[#This Row],[juin-24]]-Tableau9[[#This Row],[avr-24]]</f>
        <v>102</v>
      </c>
      <c r="CA148" s="252" t="s">
        <v>337</v>
      </c>
    </row>
    <row r="149" spans="1:79" ht="16.5" x14ac:dyDescent="0.3">
      <c r="A149" s="314"/>
      <c r="B149" t="s">
        <v>219</v>
      </c>
      <c r="C149" s="315" t="s">
        <v>55</v>
      </c>
      <c r="D149" s="316"/>
      <c r="E149" s="316"/>
      <c r="F149" s="316"/>
      <c r="G149" s="316"/>
      <c r="H149" s="316"/>
      <c r="I149" s="316"/>
      <c r="J149" s="316"/>
      <c r="K149" s="316"/>
      <c r="L149" s="316"/>
      <c r="M149" s="316"/>
      <c r="N149" s="316"/>
      <c r="O149" s="316"/>
      <c r="P149" s="316"/>
      <c r="Q149" s="316"/>
      <c r="R149" s="316"/>
      <c r="S149" s="316"/>
      <c r="T149" s="316"/>
      <c r="U149" s="317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  <c r="AG149" s="316"/>
      <c r="AH149" s="316"/>
      <c r="AI149" s="316"/>
      <c r="AJ149" s="316"/>
      <c r="AK149" s="316"/>
      <c r="AL149" s="316"/>
      <c r="AM149" s="316"/>
      <c r="AN149" s="316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23"/>
      <c r="AY149" s="323"/>
      <c r="AZ149" s="323"/>
      <c r="BA149" s="323"/>
      <c r="BB149" s="323"/>
      <c r="BC149" s="323"/>
      <c r="BD149" s="323"/>
      <c r="BE149" s="323"/>
      <c r="BF149" s="323"/>
      <c r="BG149" s="323"/>
      <c r="BH149" s="323"/>
      <c r="BI149" s="323"/>
      <c r="BJ149" s="323"/>
      <c r="BK149" s="322"/>
      <c r="BL149" s="319"/>
      <c r="BM149" s="323"/>
      <c r="BN149" s="320"/>
      <c r="BO149" s="320"/>
      <c r="BP149" s="320"/>
      <c r="BQ149" s="320"/>
      <c r="BR149" s="324"/>
      <c r="BS149" s="320"/>
      <c r="BT149" s="320"/>
      <c r="BU149" s="320">
        <v>6978</v>
      </c>
      <c r="BV149" s="320">
        <v>3943</v>
      </c>
      <c r="BW149" s="320">
        <v>12000</v>
      </c>
      <c r="BX149" s="208"/>
      <c r="BY149" s="554">
        <f>(Tableau9[[#This Row],[juin-24]]-Tableau9[[#This Row],[avr-24]])/Tableau9[[#This Row],[avr-24]]</f>
        <v>2.0433679939132641</v>
      </c>
      <c r="BZ149" s="548">
        <f>Tableau9[[#This Row],[juin-24]]-Tableau9[[#This Row],[avr-24]]</f>
        <v>8057</v>
      </c>
      <c r="CA149" s="252" t="s">
        <v>338</v>
      </c>
    </row>
    <row r="150" spans="1:79" ht="16.5" x14ac:dyDescent="0.3">
      <c r="A150" s="55"/>
      <c r="B150" t="s">
        <v>288</v>
      </c>
      <c r="C150" s="54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100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57"/>
      <c r="AP150" s="57"/>
      <c r="AQ150" s="57"/>
      <c r="AR150" s="57"/>
      <c r="AS150" s="57"/>
      <c r="AT150" s="57"/>
      <c r="AU150" s="57"/>
      <c r="AV150" s="57"/>
      <c r="AW150" s="57"/>
      <c r="AX150" s="114"/>
      <c r="AY150" s="114"/>
      <c r="AZ150" s="114"/>
      <c r="BA150" s="114"/>
      <c r="BB150" s="114"/>
      <c r="BC150" s="114"/>
      <c r="BD150" s="114"/>
      <c r="BE150" s="114"/>
      <c r="BF150" s="114"/>
      <c r="BG150" s="114"/>
      <c r="BH150" s="114"/>
      <c r="BI150" s="114"/>
      <c r="BJ150" s="114"/>
      <c r="BK150" s="88"/>
      <c r="BL150" s="321"/>
      <c r="BM150" s="114"/>
      <c r="BN150" s="326"/>
      <c r="BO150" s="326"/>
      <c r="BP150" s="326"/>
      <c r="BQ150" s="326"/>
      <c r="BR150" s="327"/>
      <c r="BS150" s="326"/>
      <c r="BT150" s="326"/>
      <c r="BU150" s="326">
        <v>3715</v>
      </c>
      <c r="BV150" s="326">
        <v>4350</v>
      </c>
      <c r="BW150" s="326">
        <v>4565</v>
      </c>
      <c r="BX150" s="208"/>
      <c r="BY150" s="554">
        <f>(Tableau9[[#This Row],[juin-24]]-Tableau9[[#This Row],[avr-24]])/Tableau9[[#This Row],[avr-24]]</f>
        <v>4.9425287356321838E-2</v>
      </c>
      <c r="BZ150" s="548">
        <f>Tableau9[[#This Row],[juin-24]]-Tableau9[[#This Row],[avr-24]]</f>
        <v>215</v>
      </c>
      <c r="CA150" s="252" t="s">
        <v>339</v>
      </c>
    </row>
    <row r="151" spans="1:79" ht="16.5" x14ac:dyDescent="0.3">
      <c r="A151" s="314"/>
      <c r="B151" t="s">
        <v>171</v>
      </c>
      <c r="C151" s="315" t="s">
        <v>54</v>
      </c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7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  <c r="AG151" s="316"/>
      <c r="AH151" s="316"/>
      <c r="AI151" s="316"/>
      <c r="AJ151" s="316"/>
      <c r="AK151" s="316"/>
      <c r="AL151" s="316"/>
      <c r="AM151" s="316"/>
      <c r="AN151" s="316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23"/>
      <c r="AY151" s="323"/>
      <c r="AZ151" s="323"/>
      <c r="BA151" s="323"/>
      <c r="BB151" s="323"/>
      <c r="BC151" s="323"/>
      <c r="BD151" s="323"/>
      <c r="BE151" s="323"/>
      <c r="BF151" s="323"/>
      <c r="BG151" s="323"/>
      <c r="BH151" s="323"/>
      <c r="BI151" s="323"/>
      <c r="BJ151" s="323"/>
      <c r="BK151" s="322"/>
      <c r="BL151" s="319"/>
      <c r="BM151" s="323"/>
      <c r="BN151" s="320"/>
      <c r="BO151" s="320"/>
      <c r="BP151" s="320"/>
      <c r="BQ151" s="320"/>
      <c r="BR151" s="324"/>
      <c r="BS151" s="320"/>
      <c r="BT151" s="320"/>
      <c r="BU151" s="320">
        <v>3465</v>
      </c>
      <c r="BV151" s="320">
        <v>0</v>
      </c>
      <c r="BW151" s="320">
        <v>5041</v>
      </c>
      <c r="BX151" s="208"/>
      <c r="BY151" s="554">
        <f>(Tableau9[[#This Row],[juin-24]]-Tableau9[[#This Row],[oct-23]])/Tableau9[[#This Row],[oct-23]]</f>
        <v>0.45483405483405481</v>
      </c>
      <c r="BZ151" s="548">
        <f>Tableau9[[#This Row],[juin-24]]-Tableau9[[#This Row],[oct-23]]</f>
        <v>1576</v>
      </c>
      <c r="CA151" s="252" t="s">
        <v>340</v>
      </c>
    </row>
    <row r="152" spans="1:79" ht="16.5" x14ac:dyDescent="0.3">
      <c r="A152" s="314"/>
      <c r="B152" t="s">
        <v>169</v>
      </c>
      <c r="C152" s="315" t="s">
        <v>54</v>
      </c>
      <c r="D152" s="316"/>
      <c r="E152" s="316"/>
      <c r="F152" s="316"/>
      <c r="G152" s="316"/>
      <c r="H152" s="316"/>
      <c r="I152" s="316"/>
      <c r="J152" s="316"/>
      <c r="K152" s="316"/>
      <c r="L152" s="316"/>
      <c r="M152" s="316"/>
      <c r="N152" s="316"/>
      <c r="O152" s="316"/>
      <c r="P152" s="316"/>
      <c r="Q152" s="316"/>
      <c r="R152" s="316"/>
      <c r="S152" s="316"/>
      <c r="T152" s="316"/>
      <c r="U152" s="317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  <c r="AG152" s="316"/>
      <c r="AH152" s="316"/>
      <c r="AI152" s="316"/>
      <c r="AJ152" s="316"/>
      <c r="AK152" s="316"/>
      <c r="AL152" s="316"/>
      <c r="AM152" s="316"/>
      <c r="AN152" s="316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23"/>
      <c r="AY152" s="323"/>
      <c r="AZ152" s="323"/>
      <c r="BA152" s="323"/>
      <c r="BB152" s="323"/>
      <c r="BC152" s="323"/>
      <c r="BD152" s="323"/>
      <c r="BE152" s="323"/>
      <c r="BF152" s="323"/>
      <c r="BG152" s="323"/>
      <c r="BH152" s="323"/>
      <c r="BI152" s="323"/>
      <c r="BJ152" s="323"/>
      <c r="BK152" s="322"/>
      <c r="BL152" s="319"/>
      <c r="BM152" s="323"/>
      <c r="BN152" s="320"/>
      <c r="BO152" s="320"/>
      <c r="BP152" s="320"/>
      <c r="BQ152" s="320"/>
      <c r="BR152" s="324"/>
      <c r="BS152" s="320"/>
      <c r="BT152" s="320"/>
      <c r="BU152" s="320">
        <v>0</v>
      </c>
      <c r="BV152" s="320">
        <v>15800</v>
      </c>
      <c r="BW152" s="320">
        <v>16500</v>
      </c>
      <c r="BX152" s="208"/>
      <c r="BY152" s="554">
        <f>(Tableau9[[#This Row],[juin-24]]-Tableau9[[#This Row],[avr-24]])/Tableau9[[#This Row],[avr-24]]</f>
        <v>4.4303797468354431E-2</v>
      </c>
      <c r="BZ152" s="548">
        <f>Tableau9[[#This Row],[juin-24]]-Tableau9[[#This Row],[avr-24]]</f>
        <v>700</v>
      </c>
    </row>
    <row r="153" spans="1:79" ht="16.5" x14ac:dyDescent="0.3">
      <c r="A153" s="55"/>
      <c r="B153" t="s">
        <v>247</v>
      </c>
      <c r="C153" s="54" t="s">
        <v>55</v>
      </c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100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57"/>
      <c r="AP153" s="57"/>
      <c r="AQ153" s="57"/>
      <c r="AR153" s="57"/>
      <c r="AS153" s="57"/>
      <c r="AT153" s="57"/>
      <c r="AU153" s="57"/>
      <c r="AV153" s="57"/>
      <c r="AW153" s="57"/>
      <c r="AX153" s="114"/>
      <c r="AY153" s="114"/>
      <c r="AZ153" s="114"/>
      <c r="BA153" s="114"/>
      <c r="BB153" s="114"/>
      <c r="BC153" s="114"/>
      <c r="BD153" s="114"/>
      <c r="BE153" s="114"/>
      <c r="BF153" s="114"/>
      <c r="BG153" s="114"/>
      <c r="BH153" s="114"/>
      <c r="BI153" s="114"/>
      <c r="BJ153" s="114"/>
      <c r="BK153" s="207"/>
      <c r="BL153" s="321"/>
      <c r="BM153" s="114"/>
      <c r="BN153" s="326"/>
      <c r="BO153" s="326"/>
      <c r="BP153" s="326"/>
      <c r="BQ153" s="326"/>
      <c r="BR153" s="327"/>
      <c r="BS153" s="326"/>
      <c r="BT153" s="326"/>
      <c r="BU153" s="326">
        <v>2117</v>
      </c>
      <c r="BV153" s="326">
        <v>2188</v>
      </c>
      <c r="BW153" s="326">
        <v>2232</v>
      </c>
      <c r="BX153" s="208"/>
      <c r="BY153" s="554">
        <f>(Tableau9[[#This Row],[juin-24]]-Tableau9[[#This Row],[avr-24]])/Tableau9[[#This Row],[avr-24]]</f>
        <v>2.0109689213893969E-2</v>
      </c>
      <c r="BZ153" s="548">
        <f>Tableau9[[#This Row],[juin-24]]-Tableau9[[#This Row],[avr-24]]</f>
        <v>44</v>
      </c>
      <c r="CA153" s="252" t="s">
        <v>341</v>
      </c>
    </row>
    <row r="154" spans="1:79" ht="16.5" x14ac:dyDescent="0.3">
      <c r="A154" s="458"/>
      <c r="B154" t="s">
        <v>243</v>
      </c>
      <c r="C154" s="315" t="s">
        <v>55</v>
      </c>
      <c r="D154" s="461"/>
      <c r="E154" s="461"/>
      <c r="F154" s="461"/>
      <c r="G154" s="461"/>
      <c r="H154" s="461"/>
      <c r="I154" s="461"/>
      <c r="J154" s="461"/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3"/>
      <c r="V154" s="461"/>
      <c r="W154" s="461"/>
      <c r="X154" s="461"/>
      <c r="Y154" s="461"/>
      <c r="Z154" s="461"/>
      <c r="AA154" s="461"/>
      <c r="AB154" s="461"/>
      <c r="AC154" s="461"/>
      <c r="AD154" s="461"/>
      <c r="AE154" s="461"/>
      <c r="AF154" s="461"/>
      <c r="AG154" s="461"/>
      <c r="AH154" s="461"/>
      <c r="AI154" s="461"/>
      <c r="AJ154" s="461"/>
      <c r="AK154" s="461"/>
      <c r="AL154" s="461"/>
      <c r="AM154" s="461"/>
      <c r="AN154" s="461"/>
      <c r="AO154" s="466"/>
      <c r="AP154" s="466"/>
      <c r="AQ154" s="466"/>
      <c r="AR154" s="466"/>
      <c r="AS154" s="466"/>
      <c r="AT154" s="466"/>
      <c r="AU154" s="466"/>
      <c r="AV154" s="466"/>
      <c r="AW154" s="466"/>
      <c r="AX154" s="467"/>
      <c r="AY154" s="467"/>
      <c r="AZ154" s="467"/>
      <c r="BA154" s="467"/>
      <c r="BB154" s="467"/>
      <c r="BC154" s="467"/>
      <c r="BD154" s="467"/>
      <c r="BE154" s="467"/>
      <c r="BF154" s="467"/>
      <c r="BG154" s="467"/>
      <c r="BH154" s="467"/>
      <c r="BI154" s="467"/>
      <c r="BJ154" s="467"/>
      <c r="BK154" s="470"/>
      <c r="BL154" s="319"/>
      <c r="BM154" s="467"/>
      <c r="BN154" s="320"/>
      <c r="BO154" s="320"/>
      <c r="BP154" s="320"/>
      <c r="BQ154" s="320"/>
      <c r="BR154" s="324"/>
      <c r="BS154" s="343"/>
      <c r="BT154" s="320"/>
      <c r="BU154" s="320">
        <v>0</v>
      </c>
      <c r="BV154" s="320">
        <v>0</v>
      </c>
      <c r="BW154" s="320">
        <v>0</v>
      </c>
      <c r="BX154" s="208"/>
      <c r="BY154" s="554" t="e">
        <f>(Tableau9[[#This Row],[juin-24]]-Tableau9[[#This Row],[avr-24]])/Tableau9[[#This Row],[avr-24]]</f>
        <v>#DIV/0!</v>
      </c>
      <c r="BZ154" s="548">
        <f>Tableau9[[#This Row],[juin-24]]-Tableau9[[#This Row],[avr-24]]</f>
        <v>0</v>
      </c>
    </row>
    <row r="155" spans="1:79" ht="16.5" x14ac:dyDescent="0.3">
      <c r="A155" s="357"/>
      <c r="B155" t="s">
        <v>244</v>
      </c>
      <c r="C155" s="175" t="s">
        <v>55</v>
      </c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7"/>
      <c r="V155" s="296"/>
      <c r="W155" s="296"/>
      <c r="X155" s="296"/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299"/>
      <c r="AY155" s="299"/>
      <c r="AZ155" s="299"/>
      <c r="BA155" s="299"/>
      <c r="BB155" s="299"/>
      <c r="BC155" s="299"/>
      <c r="BD155" s="299"/>
      <c r="BE155" s="299"/>
      <c r="BF155" s="299"/>
      <c r="BG155" s="299"/>
      <c r="BH155" s="299"/>
      <c r="BI155" s="299"/>
      <c r="BJ155" s="299"/>
      <c r="BK155" s="469"/>
      <c r="BL155" s="360"/>
      <c r="BM155" s="299"/>
      <c r="BN155" s="348"/>
      <c r="BO155" s="348"/>
      <c r="BP155" s="348"/>
      <c r="BQ155" s="348"/>
      <c r="BR155" s="361"/>
      <c r="BS155" s="348"/>
      <c r="BT155" s="326"/>
      <c r="BU155" s="326">
        <v>0</v>
      </c>
      <c r="BV155" s="326">
        <v>0</v>
      </c>
      <c r="BW155" s="326">
        <v>0</v>
      </c>
      <c r="BX155" s="208"/>
      <c r="BY155" s="554" t="e">
        <f>(Tableau9[[#This Row],[juin-24]]-Tableau9[[#This Row],[avr-24]])/Tableau9[[#This Row],[avr-24]]</f>
        <v>#DIV/0!</v>
      </c>
      <c r="BZ155" s="548">
        <f>Tableau9[[#This Row],[juin-24]]-Tableau9[[#This Row],[avr-24]]</f>
        <v>0</v>
      </c>
    </row>
    <row r="156" spans="1:79" ht="16.5" x14ac:dyDescent="0.3">
      <c r="A156" s="357"/>
      <c r="B156" t="s">
        <v>289</v>
      </c>
      <c r="C156" s="175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7"/>
      <c r="U156" s="297"/>
      <c r="V156" s="296"/>
      <c r="W156" s="296"/>
      <c r="X156" s="296"/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358"/>
      <c r="AO156" s="359"/>
      <c r="AP156" s="359"/>
      <c r="AQ156" s="359"/>
      <c r="AR156" s="359"/>
      <c r="AS156" s="359"/>
      <c r="AT156" s="359"/>
      <c r="AU156" s="359"/>
      <c r="AV156" s="359"/>
      <c r="AW156" s="359"/>
      <c r="AX156" s="289"/>
      <c r="AY156" s="289"/>
      <c r="AZ156" s="289"/>
      <c r="BA156" s="289"/>
      <c r="BB156" s="289"/>
      <c r="BC156" s="289"/>
      <c r="BD156" s="289"/>
      <c r="BE156" s="289"/>
      <c r="BF156" s="289"/>
      <c r="BG156" s="289"/>
      <c r="BH156" s="289"/>
      <c r="BI156" s="289"/>
      <c r="BJ156" s="289"/>
      <c r="BK156" s="22"/>
      <c r="BL156" s="360"/>
      <c r="BM156" s="299"/>
      <c r="BN156" s="348"/>
      <c r="BO156" s="348"/>
      <c r="BP156" s="348"/>
      <c r="BQ156" s="348"/>
      <c r="BR156" s="361"/>
      <c r="BS156" s="348"/>
      <c r="BT156" s="326"/>
      <c r="BU156" s="326">
        <v>0</v>
      </c>
      <c r="BV156" s="326">
        <v>0</v>
      </c>
      <c r="BW156" s="326">
        <v>0</v>
      </c>
      <c r="BX156" s="208"/>
      <c r="BY156" s="554" t="e">
        <f>(Tableau9[[#This Row],[juin-24]]-Tableau9[[#This Row],[avr-24]])/Tableau9[[#This Row],[avr-24]]</f>
        <v>#DIV/0!</v>
      </c>
      <c r="BZ156" s="548">
        <f>Tableau9[[#This Row],[juin-24]]-Tableau9[[#This Row],[avr-24]]</f>
        <v>0</v>
      </c>
    </row>
    <row r="157" spans="1:79" ht="16.5" x14ac:dyDescent="0.3">
      <c r="A157" s="357"/>
      <c r="B157" t="s">
        <v>290</v>
      </c>
      <c r="C157" s="175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7"/>
      <c r="U157" s="297"/>
      <c r="V157" s="296"/>
      <c r="W157" s="296"/>
      <c r="X157" s="296"/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358"/>
      <c r="AO157" s="359"/>
      <c r="AP157" s="359"/>
      <c r="AQ157" s="359"/>
      <c r="AR157" s="359"/>
      <c r="AS157" s="359"/>
      <c r="AT157" s="359"/>
      <c r="AU157" s="359"/>
      <c r="AV157" s="359"/>
      <c r="AW157" s="359"/>
      <c r="AX157" s="289"/>
      <c r="AY157" s="289"/>
      <c r="AZ157" s="289"/>
      <c r="BA157" s="289"/>
      <c r="BB157" s="289"/>
      <c r="BC157" s="289"/>
      <c r="BD157" s="289"/>
      <c r="BE157" s="289"/>
      <c r="BF157" s="289"/>
      <c r="BG157" s="289"/>
      <c r="BH157" s="289"/>
      <c r="BI157" s="289"/>
      <c r="BJ157" s="289"/>
      <c r="BK157" s="22"/>
      <c r="BL157" s="360"/>
      <c r="BM157" s="299"/>
      <c r="BN157" s="348"/>
      <c r="BO157" s="348"/>
      <c r="BP157" s="348"/>
      <c r="BQ157" s="348"/>
      <c r="BR157" s="361"/>
      <c r="BS157" s="348"/>
      <c r="BT157" s="326"/>
      <c r="BU157" s="326">
        <v>291</v>
      </c>
      <c r="BV157" s="326">
        <v>1086</v>
      </c>
      <c r="BW157" s="326">
        <v>1214</v>
      </c>
      <c r="BX157" s="208"/>
      <c r="BY157" s="554">
        <f>(Tableau9[[#This Row],[juin-24]]-Tableau9[[#This Row],[avr-24]])/Tableau9[[#This Row],[avr-24]]</f>
        <v>0.11786372007366483</v>
      </c>
      <c r="BZ157" s="548">
        <f>Tableau9[[#This Row],[juin-24]]-Tableau9[[#This Row],[avr-24]]</f>
        <v>128</v>
      </c>
      <c r="CA157" s="252" t="s">
        <v>342</v>
      </c>
    </row>
    <row r="158" spans="1:79" ht="16.5" x14ac:dyDescent="0.3">
      <c r="A158" s="357"/>
      <c r="B158" t="s">
        <v>291</v>
      </c>
      <c r="C158" s="175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7"/>
      <c r="U158" s="297"/>
      <c r="V158" s="296"/>
      <c r="W158" s="296"/>
      <c r="X158" s="296"/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358"/>
      <c r="AO158" s="359"/>
      <c r="AP158" s="359"/>
      <c r="AQ158" s="359"/>
      <c r="AR158" s="359"/>
      <c r="AS158" s="359"/>
      <c r="AT158" s="359"/>
      <c r="AU158" s="359"/>
      <c r="AV158" s="359"/>
      <c r="AW158" s="359"/>
      <c r="AX158" s="289"/>
      <c r="AY158" s="289"/>
      <c r="AZ158" s="289"/>
      <c r="BA158" s="289"/>
      <c r="BB158" s="289"/>
      <c r="BC158" s="289"/>
      <c r="BD158" s="289"/>
      <c r="BE158" s="289"/>
      <c r="BF158" s="289"/>
      <c r="BG158" s="289"/>
      <c r="BH158" s="289"/>
      <c r="BI158" s="289"/>
      <c r="BJ158" s="289"/>
      <c r="BK158" s="22"/>
      <c r="BL158" s="360"/>
      <c r="BM158" s="299"/>
      <c r="BN158" s="348"/>
      <c r="BO158" s="348"/>
      <c r="BP158" s="348"/>
      <c r="BQ158" s="348"/>
      <c r="BR158" s="361"/>
      <c r="BS158" s="348"/>
      <c r="BT158" s="326"/>
      <c r="BU158" s="326">
        <v>0</v>
      </c>
      <c r="BV158" s="326">
        <v>0</v>
      </c>
      <c r="BW158" s="326">
        <v>1307</v>
      </c>
      <c r="BX158" s="208"/>
      <c r="BY158" s="554" t="e">
        <f>(Tableau9[[#This Row],[juin-24]]-Tableau9[[#This Row],[avr-24]])/Tableau9[[#This Row],[avr-24]]</f>
        <v>#DIV/0!</v>
      </c>
      <c r="BZ158" s="548">
        <f>Tableau9[[#This Row],[juin-24]]-Tableau9[[#This Row],[avr-24]]</f>
        <v>1307</v>
      </c>
    </row>
    <row r="159" spans="1:79" ht="16.5" x14ac:dyDescent="0.3">
      <c r="A159" s="357"/>
      <c r="B159" t="s">
        <v>292</v>
      </c>
      <c r="C159" s="175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7"/>
      <c r="U159" s="297"/>
      <c r="V159" s="296"/>
      <c r="W159" s="296"/>
      <c r="X159" s="296"/>
      <c r="Y159" s="296"/>
      <c r="Z159" s="296"/>
      <c r="AA159" s="296"/>
      <c r="AB159" s="296"/>
      <c r="AC159" s="296"/>
      <c r="AD159" s="296"/>
      <c r="AE159" s="296"/>
      <c r="AF159" s="296"/>
      <c r="AG159" s="296"/>
      <c r="AH159" s="296"/>
      <c r="AI159" s="296"/>
      <c r="AJ159" s="296"/>
      <c r="AK159" s="296"/>
      <c r="AL159" s="296"/>
      <c r="AM159" s="296"/>
      <c r="AN159" s="358"/>
      <c r="AO159" s="359"/>
      <c r="AP159" s="359"/>
      <c r="AQ159" s="359"/>
      <c r="AR159" s="359"/>
      <c r="AS159" s="359"/>
      <c r="AT159" s="359"/>
      <c r="AU159" s="359"/>
      <c r="AV159" s="359"/>
      <c r="AW159" s="359"/>
      <c r="AX159" s="289"/>
      <c r="AY159" s="289"/>
      <c r="AZ159" s="289"/>
      <c r="BA159" s="289"/>
      <c r="BB159" s="289"/>
      <c r="BC159" s="289"/>
      <c r="BD159" s="289"/>
      <c r="BE159" s="289"/>
      <c r="BF159" s="289"/>
      <c r="BG159" s="289"/>
      <c r="BH159" s="289"/>
      <c r="BI159" s="289"/>
      <c r="BJ159" s="289"/>
      <c r="BK159" s="22"/>
      <c r="BL159" s="360"/>
      <c r="BM159" s="299"/>
      <c r="BN159" s="348"/>
      <c r="BO159" s="348"/>
      <c r="BP159" s="348"/>
      <c r="BQ159" s="348"/>
      <c r="BR159" s="361"/>
      <c r="BS159" s="348"/>
      <c r="BT159" s="326"/>
      <c r="BU159" s="326">
        <v>0</v>
      </c>
      <c r="BV159" s="326">
        <v>0</v>
      </c>
      <c r="BW159" s="326">
        <v>0</v>
      </c>
      <c r="BX159" s="208"/>
      <c r="BY159" s="554" t="e">
        <f>(Tableau9[[#This Row],[juin-24]]-Tableau9[[#This Row],[avr-24]])/Tableau9[[#This Row],[avr-24]]</f>
        <v>#DIV/0!</v>
      </c>
      <c r="BZ159" s="548">
        <f>Tableau9[[#This Row],[juin-24]]-Tableau9[[#This Row],[avr-24]]</f>
        <v>0</v>
      </c>
    </row>
    <row r="160" spans="1:79" ht="16.5" x14ac:dyDescent="0.3">
      <c r="A160" s="357"/>
      <c r="B160" t="s">
        <v>294</v>
      </c>
      <c r="C160" s="175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296"/>
      <c r="P160" s="296"/>
      <c r="Q160" s="296"/>
      <c r="R160" s="296"/>
      <c r="S160" s="296"/>
      <c r="T160" s="297"/>
      <c r="U160" s="297"/>
      <c r="V160" s="296"/>
      <c r="W160" s="296"/>
      <c r="X160" s="296"/>
      <c r="Y160" s="296"/>
      <c r="Z160" s="296"/>
      <c r="AA160" s="296"/>
      <c r="AB160" s="296"/>
      <c r="AC160" s="296"/>
      <c r="AD160" s="296"/>
      <c r="AE160" s="296"/>
      <c r="AF160" s="296"/>
      <c r="AG160" s="296"/>
      <c r="AH160" s="296"/>
      <c r="AI160" s="296"/>
      <c r="AJ160" s="296"/>
      <c r="AK160" s="296"/>
      <c r="AL160" s="296"/>
      <c r="AM160" s="296"/>
      <c r="AN160" s="358"/>
      <c r="AO160" s="359"/>
      <c r="AP160" s="359"/>
      <c r="AQ160" s="359"/>
      <c r="AR160" s="359"/>
      <c r="AS160" s="359"/>
      <c r="AT160" s="359"/>
      <c r="AU160" s="359"/>
      <c r="AV160" s="359"/>
      <c r="AW160" s="359"/>
      <c r="AX160" s="289"/>
      <c r="AY160" s="289"/>
      <c r="AZ160" s="289"/>
      <c r="BA160" s="289"/>
      <c r="BB160" s="289"/>
      <c r="BC160" s="289"/>
      <c r="BD160" s="289"/>
      <c r="BE160" s="289"/>
      <c r="BF160" s="289"/>
      <c r="BG160" s="289"/>
      <c r="BH160" s="289"/>
      <c r="BI160" s="289"/>
      <c r="BJ160" s="289"/>
      <c r="BK160" s="22"/>
      <c r="BL160" s="360"/>
      <c r="BM160" s="299"/>
      <c r="BN160" s="348"/>
      <c r="BO160" s="348"/>
      <c r="BP160" s="348"/>
      <c r="BQ160" s="348"/>
      <c r="BR160" s="361"/>
      <c r="BS160" s="348"/>
      <c r="BT160" s="348"/>
      <c r="BU160" s="348">
        <v>1043</v>
      </c>
      <c r="BV160" s="326">
        <v>1150</v>
      </c>
      <c r="BW160" s="326">
        <v>0</v>
      </c>
      <c r="BX160" s="208"/>
      <c r="BY160" s="554">
        <f>(Tableau9[[#This Row],[juin-24]]-Tableau9[[#This Row],[avr-24]])/Tableau9[[#This Row],[avr-24]]</f>
        <v>-1</v>
      </c>
      <c r="BZ160" s="548">
        <f>Tableau9[[#This Row],[juin-24]]-Tableau9[[#This Row],[avr-24]]</f>
        <v>-1150</v>
      </c>
      <c r="CA160" s="252" t="s">
        <v>343</v>
      </c>
    </row>
    <row r="161" spans="1:79" ht="16.5" x14ac:dyDescent="0.3">
      <c r="A161" s="357"/>
      <c r="B161" t="s">
        <v>370</v>
      </c>
      <c r="C161" s="175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296"/>
      <c r="P161" s="296"/>
      <c r="Q161" s="296"/>
      <c r="R161" s="296"/>
      <c r="S161" s="296"/>
      <c r="T161" s="297"/>
      <c r="U161" s="297"/>
      <c r="V161" s="296"/>
      <c r="W161" s="296"/>
      <c r="X161" s="296"/>
      <c r="Y161" s="296"/>
      <c r="Z161" s="296"/>
      <c r="AA161" s="296"/>
      <c r="AB161" s="296"/>
      <c r="AC161" s="296"/>
      <c r="AD161" s="296"/>
      <c r="AE161" s="296"/>
      <c r="AF161" s="296"/>
      <c r="AG161" s="296"/>
      <c r="AH161" s="296"/>
      <c r="AI161" s="296"/>
      <c r="AJ161" s="296"/>
      <c r="AK161" s="296"/>
      <c r="AL161" s="296"/>
      <c r="AM161" s="296"/>
      <c r="AN161" s="358"/>
      <c r="AO161" s="359"/>
      <c r="AP161" s="359"/>
      <c r="AQ161" s="359"/>
      <c r="AR161" s="359"/>
      <c r="AS161" s="359"/>
      <c r="AT161" s="359"/>
      <c r="AU161" s="359"/>
      <c r="AV161" s="359"/>
      <c r="AW161" s="359"/>
      <c r="AX161" s="289"/>
      <c r="AY161" s="289"/>
      <c r="AZ161" s="289"/>
      <c r="BA161" s="289"/>
      <c r="BB161" s="289"/>
      <c r="BC161" s="289"/>
      <c r="BD161" s="289"/>
      <c r="BE161" s="289"/>
      <c r="BF161" s="289"/>
      <c r="BG161" s="289"/>
      <c r="BH161" s="289"/>
      <c r="BI161" s="289"/>
      <c r="BJ161" s="289"/>
      <c r="BK161" s="22"/>
      <c r="BL161" s="360"/>
      <c r="BM161" s="299"/>
      <c r="BN161" s="348"/>
      <c r="BO161" s="348"/>
      <c r="BP161" s="348"/>
      <c r="BQ161" s="348"/>
      <c r="BR161" s="361"/>
      <c r="BS161" s="348"/>
      <c r="BT161" s="326"/>
      <c r="BU161" s="326">
        <v>95</v>
      </c>
      <c r="BV161" s="326">
        <v>112</v>
      </c>
      <c r="BW161" s="326">
        <v>144</v>
      </c>
      <c r="BX161" s="208"/>
      <c r="BY161" s="554">
        <f>(Tableau9[[#This Row],[juin-24]]-Tableau9[[#This Row],[avr-24]])/Tableau9[[#This Row],[avr-24]]</f>
        <v>0.2857142857142857</v>
      </c>
      <c r="BZ161" s="548">
        <f>Tableau9[[#This Row],[juin-24]]-Tableau9[[#This Row],[avr-24]]</f>
        <v>32</v>
      </c>
    </row>
    <row r="162" spans="1:79" s="34" customFormat="1" ht="16.5" x14ac:dyDescent="0.3">
      <c r="A162" s="357"/>
      <c r="B162" t="s">
        <v>373</v>
      </c>
      <c r="C162" s="175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7"/>
      <c r="U162" s="297"/>
      <c r="V162" s="296"/>
      <c r="W162" s="296"/>
      <c r="X162" s="296"/>
      <c r="Y162" s="296"/>
      <c r="Z162" s="296"/>
      <c r="AA162" s="296"/>
      <c r="AB162" s="296"/>
      <c r="AC162" s="296"/>
      <c r="AD162" s="296"/>
      <c r="AE162" s="296"/>
      <c r="AF162" s="296"/>
      <c r="AG162" s="296"/>
      <c r="AH162" s="296"/>
      <c r="AI162" s="296"/>
      <c r="AJ162" s="296"/>
      <c r="AK162" s="296"/>
      <c r="AL162" s="296"/>
      <c r="AM162" s="296"/>
      <c r="AN162" s="358"/>
      <c r="AO162" s="359"/>
      <c r="AP162" s="359"/>
      <c r="AQ162" s="359"/>
      <c r="AR162" s="359"/>
      <c r="AS162" s="359"/>
      <c r="AT162" s="359"/>
      <c r="AU162" s="359"/>
      <c r="AV162" s="359"/>
      <c r="AW162" s="359"/>
      <c r="AX162" s="289"/>
      <c r="AY162" s="289"/>
      <c r="AZ162" s="289"/>
      <c r="BA162" s="289"/>
      <c r="BB162" s="289"/>
      <c r="BC162" s="289"/>
      <c r="BD162" s="289"/>
      <c r="BE162" s="289"/>
      <c r="BF162" s="289"/>
      <c r="BG162" s="289"/>
      <c r="BH162" s="289"/>
      <c r="BI162" s="289"/>
      <c r="BJ162" s="289"/>
      <c r="BK162" s="22"/>
      <c r="BL162" s="360"/>
      <c r="BM162" s="299"/>
      <c r="BN162" s="348"/>
      <c r="BO162" s="348"/>
      <c r="BP162" s="348"/>
      <c r="BQ162" s="348"/>
      <c r="BR162" s="361"/>
      <c r="BS162" s="348"/>
      <c r="BT162" s="348"/>
      <c r="BU162" s="348">
        <v>26500</v>
      </c>
      <c r="BV162" s="326">
        <v>4664</v>
      </c>
      <c r="BW162" s="326">
        <v>5409</v>
      </c>
      <c r="BX162" s="208"/>
      <c r="BY162" s="554">
        <f>(Tableau9[[#This Row],[juin-24]]-Tableau9[[#This Row],[avr-24]])/Tableau9[[#This Row],[avr-24]]</f>
        <v>0.15973413379073756</v>
      </c>
      <c r="BZ162" s="548">
        <f>Tableau9[[#This Row],[juin-24]]-Tableau9[[#This Row],[avr-24]]</f>
        <v>745</v>
      </c>
    </row>
    <row r="163" spans="1:79" ht="16.5" x14ac:dyDescent="0.3">
      <c r="A163" s="357"/>
      <c r="B163" t="s">
        <v>376</v>
      </c>
      <c r="C163" s="175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7"/>
      <c r="U163" s="297"/>
      <c r="V163" s="296"/>
      <c r="W163" s="296"/>
      <c r="X163" s="296"/>
      <c r="Y163" s="296"/>
      <c r="Z163" s="296"/>
      <c r="AA163" s="296"/>
      <c r="AB163" s="296"/>
      <c r="AC163" s="296"/>
      <c r="AD163" s="296"/>
      <c r="AE163" s="296"/>
      <c r="AF163" s="296"/>
      <c r="AG163" s="296"/>
      <c r="AH163" s="296"/>
      <c r="AI163" s="296"/>
      <c r="AJ163" s="296"/>
      <c r="AK163" s="296"/>
      <c r="AL163" s="296"/>
      <c r="AM163" s="296"/>
      <c r="AN163" s="358"/>
      <c r="AO163" s="359"/>
      <c r="AP163" s="359"/>
      <c r="AQ163" s="359"/>
      <c r="AR163" s="359"/>
      <c r="AS163" s="359"/>
      <c r="AT163" s="359"/>
      <c r="AU163" s="359"/>
      <c r="AV163" s="359"/>
      <c r="AW163" s="359"/>
      <c r="AX163" s="289"/>
      <c r="AY163" s="289"/>
      <c r="AZ163" s="289"/>
      <c r="BA163" s="289"/>
      <c r="BB163" s="289"/>
      <c r="BC163" s="289"/>
      <c r="BD163" s="289"/>
      <c r="BE163" s="289"/>
      <c r="BF163" s="289"/>
      <c r="BG163" s="289"/>
      <c r="BH163" s="289"/>
      <c r="BI163" s="289"/>
      <c r="BJ163" s="289"/>
      <c r="BK163" s="22"/>
      <c r="BL163" s="360"/>
      <c r="BM163" s="299"/>
      <c r="BN163" s="348"/>
      <c r="BO163" s="348"/>
      <c r="BP163" s="348"/>
      <c r="BQ163" s="348"/>
      <c r="BR163" s="361"/>
      <c r="BS163" s="348"/>
      <c r="BT163" s="326"/>
      <c r="BU163" s="326">
        <v>5640</v>
      </c>
      <c r="BV163" s="326">
        <v>5634</v>
      </c>
      <c r="BW163" s="326">
        <v>5642</v>
      </c>
      <c r="BX163" s="208"/>
      <c r="BY163" s="554">
        <f>(BW163-BV163)/BV163</f>
        <v>1.4199503017394391E-3</v>
      </c>
      <c r="BZ163" s="548">
        <f>BW163-BV163</f>
        <v>8</v>
      </c>
    </row>
    <row r="164" spans="1:79" ht="16.5" x14ac:dyDescent="0.3">
      <c r="A164" s="101"/>
      <c r="B164" s="49" t="s">
        <v>56</v>
      </c>
      <c r="C164" s="520"/>
      <c r="D164" s="520"/>
      <c r="E164" s="520"/>
      <c r="F164" s="520"/>
      <c r="G164" s="520"/>
      <c r="H164" s="520"/>
      <c r="I164" s="520"/>
      <c r="J164" s="52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1"/>
      <c r="U164" s="520"/>
      <c r="V164" s="520"/>
      <c r="W164" s="520"/>
      <c r="X164" s="520"/>
      <c r="Y164" s="520"/>
      <c r="Z164" s="520"/>
      <c r="AA164" s="520"/>
      <c r="AB164" s="520"/>
      <c r="AC164" s="520"/>
      <c r="AD164" s="520"/>
      <c r="AE164" s="520"/>
      <c r="AF164" s="520"/>
      <c r="AG164" s="520"/>
      <c r="AH164" s="520"/>
      <c r="AI164" s="520"/>
      <c r="AJ164" s="520"/>
      <c r="AK164" s="520"/>
      <c r="AL164" s="520"/>
      <c r="AM164" s="520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522"/>
      <c r="BM164" s="340"/>
      <c r="BN164" s="7"/>
      <c r="BO164" s="7"/>
      <c r="BP164" s="7"/>
      <c r="BQ164" s="7"/>
      <c r="BR164" s="7"/>
      <c r="BS164" s="7"/>
      <c r="BT164" s="7"/>
      <c r="BU164" s="7">
        <f>SUM(BU127:BU163)</f>
        <v>503726</v>
      </c>
      <c r="BV164" s="7">
        <f t="shared" ref="BV164:BW164" si="2">SUM(BV127:BV163)</f>
        <v>1193092</v>
      </c>
      <c r="BW164" s="7">
        <f t="shared" si="2"/>
        <v>1211379</v>
      </c>
      <c r="BX164" s="573"/>
      <c r="BY164" s="555">
        <f>(BW164-BV164)/BV164</f>
        <v>1.532740140743547E-2</v>
      </c>
      <c r="BZ164" s="556">
        <f>BW164-BV164</f>
        <v>18287</v>
      </c>
    </row>
    <row r="165" spans="1:79" ht="16.5" x14ac:dyDescent="0.3">
      <c r="BX165" s="208"/>
    </row>
    <row r="166" spans="1:79" ht="15.75" thickBot="1" x14ac:dyDescent="0.3"/>
    <row r="167" spans="1:79" ht="16.5" x14ac:dyDescent="0.3">
      <c r="A167" s="32" t="s">
        <v>185</v>
      </c>
      <c r="B167" s="32" t="s">
        <v>137</v>
      </c>
      <c r="C167" s="33" t="s">
        <v>118</v>
      </c>
      <c r="D167" s="34" t="s">
        <v>0</v>
      </c>
      <c r="E167" s="34" t="s">
        <v>1</v>
      </c>
      <c r="F167" s="34" t="s">
        <v>4</v>
      </c>
      <c r="G167" s="34" t="s">
        <v>5</v>
      </c>
      <c r="H167" s="34" t="s">
        <v>6</v>
      </c>
      <c r="I167" s="34" t="s">
        <v>7</v>
      </c>
      <c r="J167" s="34" t="s">
        <v>8</v>
      </c>
      <c r="K167" s="34" t="s">
        <v>9</v>
      </c>
      <c r="L167" s="34" t="s">
        <v>10</v>
      </c>
      <c r="M167" s="34" t="s">
        <v>11</v>
      </c>
      <c r="N167" s="34" t="s">
        <v>12</v>
      </c>
      <c r="O167" s="34" t="s">
        <v>3</v>
      </c>
      <c r="P167" s="34" t="s">
        <v>2</v>
      </c>
      <c r="Q167" s="34" t="s">
        <v>63</v>
      </c>
      <c r="R167" s="34" t="s">
        <v>64</v>
      </c>
      <c r="S167" s="34" t="s">
        <v>65</v>
      </c>
      <c r="T167" s="34" t="s">
        <v>66</v>
      </c>
      <c r="U167" s="35" t="s">
        <v>68</v>
      </c>
      <c r="V167" s="34" t="s">
        <v>69</v>
      </c>
      <c r="W167" s="34" t="s">
        <v>70</v>
      </c>
      <c r="X167" s="34" t="s">
        <v>71</v>
      </c>
      <c r="Y167" s="34" t="s">
        <v>72</v>
      </c>
      <c r="Z167" s="34" t="s">
        <v>73</v>
      </c>
      <c r="AA167" s="34" t="s">
        <v>75</v>
      </c>
      <c r="AB167" s="34" t="s">
        <v>77</v>
      </c>
      <c r="AC167" s="34" t="s">
        <v>81</v>
      </c>
      <c r="AD167" s="34" t="s">
        <v>84</v>
      </c>
      <c r="AE167" s="34" t="s">
        <v>85</v>
      </c>
      <c r="AF167" s="34" t="s">
        <v>86</v>
      </c>
      <c r="AG167" s="34" t="s">
        <v>99</v>
      </c>
      <c r="AH167" s="34" t="s">
        <v>101</v>
      </c>
      <c r="AI167" s="34" t="s">
        <v>102</v>
      </c>
      <c r="AJ167" s="34" t="s">
        <v>105</v>
      </c>
      <c r="AK167" s="34" t="s">
        <v>106</v>
      </c>
      <c r="AL167" s="34" t="s">
        <v>108</v>
      </c>
      <c r="AM167" s="34" t="s">
        <v>109</v>
      </c>
      <c r="AN167" s="34" t="s">
        <v>110</v>
      </c>
      <c r="AO167" s="34" t="s">
        <v>117</v>
      </c>
      <c r="AP167" s="34" t="s">
        <v>127</v>
      </c>
      <c r="AQ167" s="34" t="s">
        <v>129</v>
      </c>
      <c r="AR167" s="34" t="s">
        <v>131</v>
      </c>
      <c r="AS167" s="34" t="s">
        <v>142</v>
      </c>
      <c r="AT167" s="34" t="s">
        <v>143</v>
      </c>
      <c r="AU167" s="34" t="s">
        <v>151</v>
      </c>
      <c r="AV167" s="41" t="s">
        <v>156</v>
      </c>
      <c r="AW167" s="41" t="s">
        <v>157</v>
      </c>
      <c r="AX167" s="41" t="s">
        <v>163</v>
      </c>
      <c r="AY167" s="41" t="s">
        <v>164</v>
      </c>
      <c r="AZ167" s="41" t="s">
        <v>177</v>
      </c>
      <c r="BA167" s="41" t="s">
        <v>179</v>
      </c>
      <c r="BB167" s="41" t="s">
        <v>183</v>
      </c>
      <c r="BC167" s="41" t="s">
        <v>184</v>
      </c>
      <c r="BD167" s="41" t="s">
        <v>186</v>
      </c>
      <c r="BE167" s="41" t="s">
        <v>188</v>
      </c>
      <c r="BF167" s="41" t="s">
        <v>200</v>
      </c>
      <c r="BG167" s="41" t="s">
        <v>201</v>
      </c>
      <c r="BH167" s="41" t="s">
        <v>203</v>
      </c>
      <c r="BI167" s="41" t="s">
        <v>207</v>
      </c>
      <c r="BJ167" s="41" t="s">
        <v>208</v>
      </c>
      <c r="BK167" s="41" t="s">
        <v>209</v>
      </c>
      <c r="BL167" s="34" t="s">
        <v>53</v>
      </c>
      <c r="BM167" s="34" t="s">
        <v>78</v>
      </c>
      <c r="BN167" s="41" t="s">
        <v>210</v>
      </c>
      <c r="BO167" s="41" t="s">
        <v>211</v>
      </c>
      <c r="BP167" s="41" t="s">
        <v>214</v>
      </c>
      <c r="BQ167" s="41" t="s">
        <v>213</v>
      </c>
      <c r="BR167" s="41" t="s">
        <v>272</v>
      </c>
      <c r="BS167" s="236" t="s">
        <v>330</v>
      </c>
      <c r="BT167" s="236" t="s">
        <v>331</v>
      </c>
      <c r="BU167" s="236" t="s">
        <v>333</v>
      </c>
      <c r="BV167" s="236" t="s">
        <v>389</v>
      </c>
      <c r="BW167" s="236" t="s">
        <v>405</v>
      </c>
      <c r="BX167" s="208" t="s">
        <v>354</v>
      </c>
      <c r="BY167" s="277" t="s">
        <v>235</v>
      </c>
      <c r="BZ167" s="278" t="s">
        <v>236</v>
      </c>
    </row>
    <row r="168" spans="1:79" ht="16.5" x14ac:dyDescent="0.3">
      <c r="A168" s="126"/>
      <c r="B168" s="99" t="s">
        <v>377</v>
      </c>
      <c r="C168" s="102" t="s">
        <v>153</v>
      </c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2">
        <f t="shared" ref="AT168:BO168" si="3">AT2+AT43+AT85</f>
        <v>385141</v>
      </c>
      <c r="AU168" s="2">
        <f t="shared" si="3"/>
        <v>389483</v>
      </c>
      <c r="AV168" s="2">
        <f t="shared" si="3"/>
        <v>392539</v>
      </c>
      <c r="AW168" s="2">
        <f t="shared" si="3"/>
        <v>395046</v>
      </c>
      <c r="AX168" s="2">
        <f t="shared" si="3"/>
        <v>395615</v>
      </c>
      <c r="AY168" s="2">
        <f t="shared" si="3"/>
        <v>397117</v>
      </c>
      <c r="AZ168" s="2">
        <f t="shared" si="3"/>
        <v>401140</v>
      </c>
      <c r="BA168" s="2">
        <f t="shared" si="3"/>
        <v>404200</v>
      </c>
      <c r="BB168" s="2">
        <f t="shared" si="3"/>
        <v>408250</v>
      </c>
      <c r="BC168" s="2">
        <f t="shared" si="3"/>
        <v>411881</v>
      </c>
      <c r="BD168" s="2">
        <f t="shared" si="3"/>
        <v>417153</v>
      </c>
      <c r="BE168" s="2">
        <f t="shared" si="3"/>
        <v>419455</v>
      </c>
      <c r="BF168" s="2">
        <f t="shared" si="3"/>
        <v>430493</v>
      </c>
      <c r="BG168" s="2">
        <f t="shared" si="3"/>
        <v>436461</v>
      </c>
      <c r="BH168" s="2">
        <f t="shared" si="3"/>
        <v>437786</v>
      </c>
      <c r="BI168" s="2">
        <f t="shared" si="3"/>
        <v>438243</v>
      </c>
      <c r="BJ168" s="2">
        <f t="shared" si="3"/>
        <v>437749</v>
      </c>
      <c r="BK168" s="2">
        <f t="shared" si="3"/>
        <v>441312</v>
      </c>
      <c r="BL168" s="2">
        <f t="shared" si="3"/>
        <v>2.6602337388864278E-2</v>
      </c>
      <c r="BM168" s="2">
        <f t="shared" si="3"/>
        <v>3563</v>
      </c>
      <c r="BN168" s="2">
        <f t="shared" si="3"/>
        <v>467929</v>
      </c>
      <c r="BO168" s="2">
        <f t="shared" si="3"/>
        <v>471687</v>
      </c>
      <c r="BP168" s="2">
        <f t="shared" ref="BP168:BP200" si="4">BP3+BP44+BP86</f>
        <v>263839</v>
      </c>
      <c r="BQ168" s="2">
        <f t="shared" ref="BQ168:BR187" si="5">BQ2+BQ43+BQ85</f>
        <v>512405</v>
      </c>
      <c r="BR168" s="2">
        <f t="shared" si="5"/>
        <v>515091</v>
      </c>
      <c r="BS168" s="2">
        <f t="shared" ref="BS168:BS201" si="6">SUM(BS2,BS43,BS85)</f>
        <v>527593</v>
      </c>
      <c r="BT168" s="2">
        <f>SUM(BT2+BT43+BT85+BT131)</f>
        <v>533220</v>
      </c>
      <c r="BU168" s="2">
        <f>SUM(BU2+BU43+BU85+BU131)</f>
        <v>589361</v>
      </c>
      <c r="BV168" s="2">
        <f>SUM(BV2+BV43+BV85+BV131)</f>
        <v>611206</v>
      </c>
      <c r="BW168" s="2">
        <f>SUM(BW2+BW43+BW85+BW131)</f>
        <v>618394</v>
      </c>
      <c r="BY168" s="554">
        <f>(Tableau13[[#This Row],[juin-24]]-Tableau13[[#This Row],[avr-24]])/Tableau13[[#This Row],[avr-24]]</f>
        <v>1.1760355755669938E-2</v>
      </c>
      <c r="BZ168" s="548">
        <f>Tableau13[[#This Row],[juin-24]]-Tableau13[[#This Row],[avr-24]]</f>
        <v>7188</v>
      </c>
    </row>
    <row r="169" spans="1:79" ht="16.5" x14ac:dyDescent="0.3">
      <c r="A169" s="123"/>
      <c r="B169" s="123" t="s">
        <v>283</v>
      </c>
      <c r="C169" s="150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2">
        <f t="shared" ref="AT169:BK169" si="7">AT3+AT44+AT86</f>
        <v>0</v>
      </c>
      <c r="AU169" s="2">
        <f t="shared" si="7"/>
        <v>0</v>
      </c>
      <c r="AV169" s="2">
        <f t="shared" si="7"/>
        <v>0</v>
      </c>
      <c r="AW169" s="2">
        <f t="shared" si="7"/>
        <v>0</v>
      </c>
      <c r="AX169" s="2">
        <f t="shared" si="7"/>
        <v>0</v>
      </c>
      <c r="AY169" s="2">
        <f t="shared" si="7"/>
        <v>0</v>
      </c>
      <c r="AZ169" s="2">
        <f t="shared" si="7"/>
        <v>0</v>
      </c>
      <c r="BA169" s="2">
        <f t="shared" si="7"/>
        <v>0</v>
      </c>
      <c r="BB169" s="2">
        <f t="shared" si="7"/>
        <v>0</v>
      </c>
      <c r="BC169" s="2">
        <f t="shared" si="7"/>
        <v>0</v>
      </c>
      <c r="BD169" s="2">
        <f t="shared" si="7"/>
        <v>0</v>
      </c>
      <c r="BE169" s="2">
        <f t="shared" si="7"/>
        <v>0</v>
      </c>
      <c r="BF169" s="2">
        <f t="shared" si="7"/>
        <v>0</v>
      </c>
      <c r="BG169" s="2">
        <f t="shared" si="7"/>
        <v>0</v>
      </c>
      <c r="BH169" s="2">
        <f t="shared" si="7"/>
        <v>0</v>
      </c>
      <c r="BI169" s="2">
        <f t="shared" si="7"/>
        <v>0</v>
      </c>
      <c r="BJ169" s="2">
        <f t="shared" si="7"/>
        <v>0</v>
      </c>
      <c r="BK169" s="2">
        <f t="shared" si="7"/>
        <v>0</v>
      </c>
      <c r="BL169" s="2"/>
      <c r="BM169" s="2">
        <f t="shared" ref="BM169:BO187" si="8">BM3+BM44+BM86</f>
        <v>0</v>
      </c>
      <c r="BN169" s="2">
        <f t="shared" si="8"/>
        <v>0</v>
      </c>
      <c r="BO169" s="2">
        <f t="shared" si="8"/>
        <v>154846</v>
      </c>
      <c r="BP169" s="2">
        <f t="shared" si="4"/>
        <v>932561</v>
      </c>
      <c r="BQ169" s="2">
        <f t="shared" si="5"/>
        <v>289496</v>
      </c>
      <c r="BR169" s="2">
        <f t="shared" si="5"/>
        <v>301547</v>
      </c>
      <c r="BS169" s="2">
        <f t="shared" si="6"/>
        <v>352063</v>
      </c>
      <c r="BT169" s="2">
        <f>SUM(BT3+BT44+BT86+BT135)</f>
        <v>361355</v>
      </c>
      <c r="BU169" s="2">
        <f t="shared" ref="BU169:BW170" si="9">SUM(BU3+BU44+BU86+BU132)</f>
        <v>404919</v>
      </c>
      <c r="BV169" s="2">
        <f t="shared" si="9"/>
        <v>440052</v>
      </c>
      <c r="BW169" s="2">
        <f t="shared" si="9"/>
        <v>443136</v>
      </c>
      <c r="BY169" s="554">
        <f>(Tableau13[[#This Row],[juin-24]]-Tableau13[[#This Row],[avr-24]])/Tableau13[[#This Row],[avr-24]]</f>
        <v>7.00826265986747E-3</v>
      </c>
      <c r="BZ169" s="548">
        <f>Tableau13[[#This Row],[juin-24]]-Tableau13[[#This Row],[avr-24]]</f>
        <v>3084</v>
      </c>
    </row>
    <row r="170" spans="1:79" ht="16.5" x14ac:dyDescent="0.3">
      <c r="A170" s="123"/>
      <c r="B170" s="99" t="s">
        <v>385</v>
      </c>
      <c r="C170" s="102" t="s">
        <v>153</v>
      </c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2">
        <f t="shared" ref="AT170:BK170" si="10">AT4+AT45+AT87</f>
        <v>733345</v>
      </c>
      <c r="AU170" s="2">
        <f t="shared" si="10"/>
        <v>737881</v>
      </c>
      <c r="AV170" s="2">
        <f t="shared" si="10"/>
        <v>744300</v>
      </c>
      <c r="AW170" s="2">
        <f t="shared" si="10"/>
        <v>749011</v>
      </c>
      <c r="AX170" s="2">
        <f t="shared" si="10"/>
        <v>749474</v>
      </c>
      <c r="AY170" s="2">
        <f t="shared" si="10"/>
        <v>753322</v>
      </c>
      <c r="AZ170" s="2">
        <f t="shared" si="10"/>
        <v>759938</v>
      </c>
      <c r="BA170" s="2">
        <f t="shared" si="10"/>
        <v>767200</v>
      </c>
      <c r="BB170" s="2">
        <f t="shared" si="10"/>
        <v>775350</v>
      </c>
      <c r="BC170" s="2">
        <f t="shared" si="10"/>
        <v>783129</v>
      </c>
      <c r="BD170" s="2">
        <f t="shared" si="10"/>
        <v>798222</v>
      </c>
      <c r="BE170" s="2">
        <f t="shared" si="10"/>
        <v>804608</v>
      </c>
      <c r="BF170" s="2">
        <f t="shared" si="10"/>
        <v>822390</v>
      </c>
      <c r="BG170" s="2">
        <f t="shared" si="10"/>
        <v>832009</v>
      </c>
      <c r="BH170" s="2">
        <f t="shared" si="10"/>
        <v>837002</v>
      </c>
      <c r="BI170" s="2">
        <f t="shared" si="10"/>
        <v>837592</v>
      </c>
      <c r="BJ170" s="2">
        <f t="shared" si="10"/>
        <v>838143</v>
      </c>
      <c r="BK170" s="2">
        <f t="shared" si="10"/>
        <v>847923</v>
      </c>
      <c r="BL170" s="2">
        <f>BL4+BL45+BL87</f>
        <v>3.6693393177382572E-2</v>
      </c>
      <c r="BM170" s="2">
        <f t="shared" si="8"/>
        <v>9780</v>
      </c>
      <c r="BN170" s="2">
        <f t="shared" si="8"/>
        <v>886207</v>
      </c>
      <c r="BO170" s="2">
        <f t="shared" si="8"/>
        <v>895405</v>
      </c>
      <c r="BP170" s="2">
        <f t="shared" si="4"/>
        <v>71593</v>
      </c>
      <c r="BQ170" s="2">
        <f t="shared" si="5"/>
        <v>944583</v>
      </c>
      <c r="BR170" s="2">
        <f t="shared" si="5"/>
        <v>944264</v>
      </c>
      <c r="BS170" s="2">
        <f t="shared" si="6"/>
        <v>955500</v>
      </c>
      <c r="BT170" s="2">
        <f>SUM(BT4+BT45+BT87+BT134)</f>
        <v>961578</v>
      </c>
      <c r="BU170" s="2">
        <f t="shared" si="9"/>
        <v>1019548</v>
      </c>
      <c r="BV170" s="2">
        <f t="shared" si="9"/>
        <v>1029305</v>
      </c>
      <c r="BW170" s="2">
        <f t="shared" si="9"/>
        <v>1032536</v>
      </c>
      <c r="BY170" s="554">
        <f>(Tableau13[[#This Row],[juin-24]]-Tableau13[[#This Row],[avr-24]])/Tableau13[[#This Row],[avr-24]]</f>
        <v>3.1390112745979084E-3</v>
      </c>
      <c r="BZ170" s="548">
        <f>Tableau13[[#This Row],[juin-24]]-Tableau13[[#This Row],[avr-24]]</f>
        <v>3231</v>
      </c>
    </row>
    <row r="171" spans="1:79" ht="16.5" x14ac:dyDescent="0.3">
      <c r="A171" s="123"/>
      <c r="B171" s="99" t="s">
        <v>378</v>
      </c>
      <c r="C171" s="102" t="s">
        <v>55</v>
      </c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2">
        <f t="shared" ref="AT171:BK171" si="11">AT5+AT46+AT88</f>
        <v>9029</v>
      </c>
      <c r="AU171" s="2">
        <f t="shared" si="11"/>
        <v>9686</v>
      </c>
      <c r="AV171" s="2">
        <f t="shared" si="11"/>
        <v>9857</v>
      </c>
      <c r="AW171" s="2">
        <f t="shared" si="11"/>
        <v>28837</v>
      </c>
      <c r="AX171" s="2">
        <f t="shared" si="11"/>
        <v>29404</v>
      </c>
      <c r="AY171" s="2">
        <f t="shared" si="11"/>
        <v>31574</v>
      </c>
      <c r="AZ171" s="2">
        <f t="shared" si="11"/>
        <v>33532</v>
      </c>
      <c r="BA171" s="2">
        <f t="shared" si="11"/>
        <v>35425</v>
      </c>
      <c r="BB171" s="2">
        <f t="shared" si="11"/>
        <v>37040</v>
      </c>
      <c r="BC171" s="2">
        <f t="shared" si="11"/>
        <v>38304</v>
      </c>
      <c r="BD171" s="2">
        <f t="shared" si="11"/>
        <v>39506</v>
      </c>
      <c r="BE171" s="2">
        <f t="shared" si="11"/>
        <v>40306</v>
      </c>
      <c r="BF171" s="2">
        <f t="shared" si="11"/>
        <v>40930</v>
      </c>
      <c r="BG171" s="2">
        <f t="shared" si="11"/>
        <v>41915</v>
      </c>
      <c r="BH171" s="2">
        <f t="shared" si="11"/>
        <v>42110</v>
      </c>
      <c r="BI171" s="2">
        <f t="shared" si="11"/>
        <v>42814</v>
      </c>
      <c r="BJ171" s="2">
        <f t="shared" si="11"/>
        <v>43455</v>
      </c>
      <c r="BK171" s="2">
        <f t="shared" si="11"/>
        <v>47424</v>
      </c>
      <c r="BL171" s="2">
        <f>BL5+BL46+BL88</f>
        <v>0.27658521113658907</v>
      </c>
      <c r="BM171" s="2">
        <f t="shared" si="8"/>
        <v>3969</v>
      </c>
      <c r="BN171" s="2">
        <f t="shared" si="8"/>
        <v>58385</v>
      </c>
      <c r="BO171" s="2">
        <f t="shared" si="8"/>
        <v>59832</v>
      </c>
      <c r="BP171" s="2">
        <f t="shared" si="4"/>
        <v>304464</v>
      </c>
      <c r="BQ171" s="2">
        <f t="shared" si="5"/>
        <v>73525</v>
      </c>
      <c r="BR171" s="2">
        <f t="shared" si="5"/>
        <v>74256</v>
      </c>
      <c r="BS171" s="2">
        <f t="shared" si="6"/>
        <v>81900</v>
      </c>
      <c r="BT171" s="2">
        <f>SUM(BT19+BT59+BT101+BT140)</f>
        <v>496277</v>
      </c>
      <c r="BU171" s="2"/>
      <c r="BV171" s="2"/>
      <c r="BW171" s="2"/>
      <c r="BY171" s="554" t="e">
        <f>(Tableau13[[#This Row],[juin-24]]-Tableau13[[#This Row],[avr-24]])/Tableau13[[#This Row],[avr-24]]</f>
        <v>#DIV/0!</v>
      </c>
      <c r="BZ171" s="548">
        <f>Tableau13[[#This Row],[juin-24]]-Tableau13[[#This Row],[avr-24]]</f>
        <v>0</v>
      </c>
    </row>
    <row r="172" spans="1:79" ht="16.5" x14ac:dyDescent="0.3">
      <c r="A172" s="123"/>
      <c r="B172" s="99" t="s">
        <v>218</v>
      </c>
      <c r="C172" s="102" t="s">
        <v>153</v>
      </c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2">
        <f t="shared" ref="AT172:BK172" si="12">AT6+AT47+AT89</f>
        <v>157977</v>
      </c>
      <c r="AU172" s="2">
        <f t="shared" si="12"/>
        <v>163185</v>
      </c>
      <c r="AV172" s="2">
        <f t="shared" si="12"/>
        <v>167403</v>
      </c>
      <c r="AW172" s="2">
        <f t="shared" si="12"/>
        <v>170360</v>
      </c>
      <c r="AX172" s="2">
        <f t="shared" si="12"/>
        <v>172365</v>
      </c>
      <c r="AY172" s="2">
        <f t="shared" si="12"/>
        <v>175836</v>
      </c>
      <c r="AZ172" s="2">
        <f t="shared" si="12"/>
        <v>180174</v>
      </c>
      <c r="BA172" s="2">
        <f t="shared" si="12"/>
        <v>184440</v>
      </c>
      <c r="BB172" s="2">
        <f t="shared" si="12"/>
        <v>188350</v>
      </c>
      <c r="BC172" s="2">
        <f t="shared" si="12"/>
        <v>191836</v>
      </c>
      <c r="BD172" s="2">
        <f t="shared" si="12"/>
        <v>204804</v>
      </c>
      <c r="BE172" s="2">
        <f t="shared" si="12"/>
        <v>209381</v>
      </c>
      <c r="BF172" s="2">
        <f t="shared" si="12"/>
        <v>219050</v>
      </c>
      <c r="BG172" s="2">
        <f t="shared" si="12"/>
        <v>225463</v>
      </c>
      <c r="BH172" s="2">
        <f t="shared" si="12"/>
        <v>228298</v>
      </c>
      <c r="BI172" s="2">
        <f t="shared" si="12"/>
        <v>230897</v>
      </c>
      <c r="BJ172" s="2">
        <f t="shared" si="12"/>
        <v>231344</v>
      </c>
      <c r="BK172" s="2">
        <f t="shared" si="12"/>
        <v>249969</v>
      </c>
      <c r="BL172" s="2">
        <f>BL6+BL47+BL89</f>
        <v>0.23556836489124477</v>
      </c>
      <c r="BM172" s="2">
        <f t="shared" si="8"/>
        <v>18625</v>
      </c>
      <c r="BN172" s="2">
        <f t="shared" si="8"/>
        <v>280546</v>
      </c>
      <c r="BO172" s="2">
        <f t="shared" si="8"/>
        <v>286209</v>
      </c>
      <c r="BP172" s="2">
        <f t="shared" si="4"/>
        <v>816433</v>
      </c>
      <c r="BQ172" s="2">
        <f t="shared" si="5"/>
        <v>305027</v>
      </c>
      <c r="BR172" s="2">
        <f t="shared" si="5"/>
        <v>306896</v>
      </c>
      <c r="BS172" s="2">
        <f t="shared" si="6"/>
        <v>320449</v>
      </c>
      <c r="BT172" s="2">
        <f>SUM(BT6+BT47+BT89+BT142)</f>
        <v>322122</v>
      </c>
      <c r="BU172" s="2">
        <f t="shared" ref="BU172:BW175" si="13">SUM(BU6+BU47+BU89+BU135)</f>
        <v>354986</v>
      </c>
      <c r="BV172" s="2">
        <f t="shared" si="13"/>
        <v>357829</v>
      </c>
      <c r="BW172" s="2">
        <f t="shared" si="13"/>
        <v>368288</v>
      </c>
      <c r="BY172" s="554">
        <f>(Tableau13[[#This Row],[juin-24]]-Tableau13[[#This Row],[avr-24]])/Tableau13[[#This Row],[avr-24]]</f>
        <v>2.9229045158441602E-2</v>
      </c>
      <c r="BZ172" s="548">
        <f>Tableau13[[#This Row],[juin-24]]-Tableau13[[#This Row],[avr-24]]</f>
        <v>10459</v>
      </c>
    </row>
    <row r="173" spans="1:79" ht="16.5" x14ac:dyDescent="0.3">
      <c r="A173" s="123"/>
      <c r="B173" s="99" t="s">
        <v>172</v>
      </c>
      <c r="C173" s="102" t="s">
        <v>153</v>
      </c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2">
        <f t="shared" ref="AT173:BK173" si="14">AT7+AT48+AT90</f>
        <v>392056</v>
      </c>
      <c r="AU173" s="2">
        <f t="shared" si="14"/>
        <v>405947</v>
      </c>
      <c r="AV173" s="2">
        <f t="shared" si="14"/>
        <v>416170</v>
      </c>
      <c r="AW173" s="2">
        <f t="shared" si="14"/>
        <v>424599</v>
      </c>
      <c r="AX173" s="2">
        <f t="shared" si="14"/>
        <v>430185</v>
      </c>
      <c r="AY173" s="2">
        <f t="shared" si="14"/>
        <v>439267</v>
      </c>
      <c r="AZ173" s="2">
        <f t="shared" si="14"/>
        <v>452610</v>
      </c>
      <c r="BA173" s="2">
        <f t="shared" si="14"/>
        <v>461280</v>
      </c>
      <c r="BB173" s="2">
        <f t="shared" si="14"/>
        <v>471155</v>
      </c>
      <c r="BC173" s="2">
        <f t="shared" si="14"/>
        <v>482675</v>
      </c>
      <c r="BD173" s="2">
        <f t="shared" si="14"/>
        <v>499414</v>
      </c>
      <c r="BE173" s="2">
        <f t="shared" si="14"/>
        <v>512085</v>
      </c>
      <c r="BF173" s="2">
        <f t="shared" si="14"/>
        <v>546854</v>
      </c>
      <c r="BG173" s="2">
        <f t="shared" si="14"/>
        <v>561760</v>
      </c>
      <c r="BH173" s="2">
        <f t="shared" si="14"/>
        <v>567501</v>
      </c>
      <c r="BI173" s="2">
        <f t="shared" si="14"/>
        <v>569936</v>
      </c>
      <c r="BJ173" s="2">
        <f t="shared" si="14"/>
        <v>570966</v>
      </c>
      <c r="BK173" s="2">
        <f t="shared" si="14"/>
        <v>588065</v>
      </c>
      <c r="BL173" s="2">
        <f>BL7+BL48+BL90</f>
        <v>7.6390417579711184E-2</v>
      </c>
      <c r="BM173" s="2">
        <f t="shared" si="8"/>
        <v>17099</v>
      </c>
      <c r="BN173" s="2">
        <f t="shared" si="8"/>
        <v>683634</v>
      </c>
      <c r="BO173" s="2">
        <f t="shared" si="8"/>
        <v>706360</v>
      </c>
      <c r="BP173" s="2">
        <f t="shared" si="4"/>
        <v>114638</v>
      </c>
      <c r="BQ173" s="2">
        <f t="shared" si="5"/>
        <v>798913</v>
      </c>
      <c r="BR173" s="2">
        <f t="shared" si="5"/>
        <v>802460</v>
      </c>
      <c r="BS173" s="2">
        <f t="shared" si="6"/>
        <v>852493</v>
      </c>
      <c r="BT173" s="2">
        <f>SUM(BT7+BT48+BT90+BT147)</f>
        <v>847812</v>
      </c>
      <c r="BU173" s="2">
        <f t="shared" si="13"/>
        <v>859002</v>
      </c>
      <c r="BV173" s="2">
        <f t="shared" si="13"/>
        <v>886682</v>
      </c>
      <c r="BW173" s="2">
        <f t="shared" si="13"/>
        <v>929739</v>
      </c>
      <c r="BY173" s="554">
        <f>(Tableau13[[#This Row],[juin-24]]-Tableau13[[#This Row],[avr-24]])/Tableau13[[#This Row],[avr-24]]</f>
        <v>4.8559686561811338E-2</v>
      </c>
      <c r="BZ173" s="548">
        <f>Tableau13[[#This Row],[juin-24]]-Tableau13[[#This Row],[avr-24]]</f>
        <v>43057</v>
      </c>
      <c r="CA173" s="578"/>
    </row>
    <row r="174" spans="1:79" ht="16.5" x14ac:dyDescent="0.3">
      <c r="A174" s="123"/>
      <c r="B174" s="123" t="s">
        <v>238</v>
      </c>
      <c r="C174" s="150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2">
        <f t="shared" ref="AT174:BK174" si="15">AT8+AT49+AT91</f>
        <v>47759</v>
      </c>
      <c r="AU174" s="2">
        <f t="shared" si="15"/>
        <v>49313</v>
      </c>
      <c r="AV174" s="2">
        <f t="shared" si="15"/>
        <v>51298</v>
      </c>
      <c r="AW174" s="2">
        <f t="shared" si="15"/>
        <v>52084</v>
      </c>
      <c r="AX174" s="2">
        <f t="shared" si="15"/>
        <v>52418</v>
      </c>
      <c r="AY174" s="2">
        <f t="shared" si="15"/>
        <v>53189</v>
      </c>
      <c r="AZ174" s="2">
        <f t="shared" si="15"/>
        <v>54142</v>
      </c>
      <c r="BA174" s="2">
        <f t="shared" si="15"/>
        <v>54918</v>
      </c>
      <c r="BB174" s="2">
        <f t="shared" si="15"/>
        <v>55510</v>
      </c>
      <c r="BC174" s="2">
        <f t="shared" si="15"/>
        <v>56407</v>
      </c>
      <c r="BD174" s="2">
        <f t="shared" si="15"/>
        <v>57342</v>
      </c>
      <c r="BE174" s="2">
        <f t="shared" si="15"/>
        <v>57835</v>
      </c>
      <c r="BF174" s="2">
        <f t="shared" si="15"/>
        <v>58305</v>
      </c>
      <c r="BG174" s="2">
        <f t="shared" si="15"/>
        <v>60150</v>
      </c>
      <c r="BH174" s="2">
        <f t="shared" si="15"/>
        <v>61545</v>
      </c>
      <c r="BI174" s="2">
        <f t="shared" si="15"/>
        <v>61854</v>
      </c>
      <c r="BJ174" s="2">
        <f t="shared" si="15"/>
        <v>62203</v>
      </c>
      <c r="BK174" s="2">
        <f t="shared" si="15"/>
        <v>64143</v>
      </c>
      <c r="BL174" s="2"/>
      <c r="BM174" s="2">
        <f t="shared" si="8"/>
        <v>1940</v>
      </c>
      <c r="BN174" s="2">
        <f t="shared" si="8"/>
        <v>68700</v>
      </c>
      <c r="BO174" s="2">
        <f t="shared" si="8"/>
        <v>103573</v>
      </c>
      <c r="BP174" s="2">
        <f t="shared" si="4"/>
        <v>296272</v>
      </c>
      <c r="BQ174" s="2">
        <f t="shared" si="5"/>
        <v>118511</v>
      </c>
      <c r="BR174" s="2">
        <f t="shared" si="5"/>
        <v>118123</v>
      </c>
      <c r="BS174" s="2">
        <f t="shared" si="6"/>
        <v>122200</v>
      </c>
      <c r="BT174" s="2">
        <f>SUM(BT8+BT49+BT91+BT148)</f>
        <v>122084</v>
      </c>
      <c r="BU174" s="2">
        <f t="shared" si="13"/>
        <v>152100</v>
      </c>
      <c r="BV174" s="2">
        <f t="shared" si="13"/>
        <v>158021</v>
      </c>
      <c r="BW174" s="2">
        <f t="shared" si="13"/>
        <v>159310</v>
      </c>
      <c r="BY174" s="554">
        <f>(Tableau13[[#This Row],[juin-24]]-Tableau13[[#This Row],[avr-24]])/Tableau13[[#This Row],[avr-24]]</f>
        <v>8.1571436707779353E-3</v>
      </c>
      <c r="BZ174" s="548">
        <f>Tableau13[[#This Row],[juin-24]]-Tableau13[[#This Row],[avr-24]]</f>
        <v>1289</v>
      </c>
    </row>
    <row r="175" spans="1:79" ht="16.5" x14ac:dyDescent="0.3">
      <c r="A175" s="123"/>
      <c r="B175" s="99" t="s">
        <v>379</v>
      </c>
      <c r="C175" s="102" t="s">
        <v>55</v>
      </c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2">
        <f t="shared" ref="AT175:BK175" si="16">AT9+AT50+AT92</f>
        <v>185553</v>
      </c>
      <c r="AU175" s="2">
        <f t="shared" si="16"/>
        <v>189435</v>
      </c>
      <c r="AV175" s="2">
        <f t="shared" si="16"/>
        <v>195087</v>
      </c>
      <c r="AW175" s="2">
        <f t="shared" si="16"/>
        <v>197120</v>
      </c>
      <c r="AX175" s="2">
        <f t="shared" si="16"/>
        <v>199447</v>
      </c>
      <c r="AY175" s="2">
        <f t="shared" si="16"/>
        <v>203363</v>
      </c>
      <c r="AZ175" s="2">
        <f t="shared" si="16"/>
        <v>207220</v>
      </c>
      <c r="BA175" s="2">
        <f t="shared" si="16"/>
        <v>209640</v>
      </c>
      <c r="BB175" s="2">
        <f t="shared" si="16"/>
        <v>212235</v>
      </c>
      <c r="BC175" s="2">
        <f t="shared" si="16"/>
        <v>213202</v>
      </c>
      <c r="BD175" s="2">
        <f t="shared" si="16"/>
        <v>216279</v>
      </c>
      <c r="BE175" s="2">
        <f t="shared" si="16"/>
        <v>221404</v>
      </c>
      <c r="BF175" s="2">
        <f t="shared" si="16"/>
        <v>230334</v>
      </c>
      <c r="BG175" s="2">
        <f t="shared" si="16"/>
        <v>238949</v>
      </c>
      <c r="BH175" s="2">
        <f t="shared" si="16"/>
        <v>242418</v>
      </c>
      <c r="BI175" s="2">
        <f t="shared" si="16"/>
        <v>242690</v>
      </c>
      <c r="BJ175" s="2">
        <f t="shared" si="16"/>
        <v>243211</v>
      </c>
      <c r="BK175" s="2">
        <f t="shared" si="16"/>
        <v>251387</v>
      </c>
      <c r="BL175" s="2">
        <f t="shared" ref="BL175:BL187" si="17">BL9+BL50+BL92</f>
        <v>0.12045055634715297</v>
      </c>
      <c r="BM175" s="2">
        <f t="shared" si="8"/>
        <v>8176</v>
      </c>
      <c r="BN175" s="2">
        <f t="shared" si="8"/>
        <v>274709</v>
      </c>
      <c r="BO175" s="2">
        <f t="shared" si="8"/>
        <v>278842</v>
      </c>
      <c r="BP175" s="2">
        <f t="shared" si="4"/>
        <v>1341499</v>
      </c>
      <c r="BQ175" s="2">
        <f t="shared" si="5"/>
        <v>301064</v>
      </c>
      <c r="BR175" s="2">
        <f t="shared" si="5"/>
        <v>303839</v>
      </c>
      <c r="BS175" s="2">
        <f t="shared" si="6"/>
        <v>316968</v>
      </c>
      <c r="BT175" s="2">
        <f>SUM(BT9+BT50+BT92+BT134)</f>
        <v>324876</v>
      </c>
      <c r="BU175" s="2">
        <f t="shared" si="13"/>
        <v>346464</v>
      </c>
      <c r="BV175" s="2">
        <f t="shared" si="13"/>
        <v>347364</v>
      </c>
      <c r="BW175" s="2">
        <f t="shared" si="13"/>
        <v>356718</v>
      </c>
      <c r="BY175" s="554">
        <f>(Tableau13[[#This Row],[juin-24]]-Tableau13[[#This Row],[avr-24]])/Tableau13[[#This Row],[avr-24]]</f>
        <v>2.6928524544857845E-2</v>
      </c>
      <c r="BZ175" s="548">
        <f>Tableau13[[#This Row],[juin-24]]-Tableau13[[#This Row],[avr-24]]</f>
        <v>9354</v>
      </c>
    </row>
    <row r="176" spans="1:79" ht="16.5" x14ac:dyDescent="0.3">
      <c r="A176" s="123"/>
      <c r="B176" s="99" t="s">
        <v>380</v>
      </c>
      <c r="C176" s="102" t="s">
        <v>153</v>
      </c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2">
        <f t="shared" ref="AT176:BK176" si="18">AT10+AT51+AT93</f>
        <v>956270</v>
      </c>
      <c r="AU176" s="2">
        <f t="shared" si="18"/>
        <v>964242</v>
      </c>
      <c r="AV176" s="2">
        <f t="shared" si="18"/>
        <v>972617</v>
      </c>
      <c r="AW176" s="2">
        <f t="shared" si="18"/>
        <v>978052</v>
      </c>
      <c r="AX176" s="2">
        <f t="shared" si="18"/>
        <v>981390</v>
      </c>
      <c r="AY176" s="2">
        <f t="shared" si="18"/>
        <v>988409</v>
      </c>
      <c r="AZ176" s="2">
        <f t="shared" si="18"/>
        <v>993672</v>
      </c>
      <c r="BA176" s="2">
        <f t="shared" si="18"/>
        <v>997920</v>
      </c>
      <c r="BB176" s="2">
        <f t="shared" si="18"/>
        <v>1008345</v>
      </c>
      <c r="BC176" s="2">
        <f t="shared" si="18"/>
        <v>1019684</v>
      </c>
      <c r="BD176" s="2">
        <f t="shared" si="18"/>
        <v>1025848</v>
      </c>
      <c r="BE176" s="2">
        <f t="shared" si="18"/>
        <v>1031123</v>
      </c>
      <c r="BF176" s="2">
        <f t="shared" si="18"/>
        <v>1065965</v>
      </c>
      <c r="BG176" s="2">
        <f t="shared" si="18"/>
        <v>1082344</v>
      </c>
      <c r="BH176" s="2">
        <f t="shared" si="18"/>
        <v>1087273</v>
      </c>
      <c r="BI176" s="2">
        <f t="shared" si="18"/>
        <v>1088585</v>
      </c>
      <c r="BJ176" s="2">
        <f t="shared" si="18"/>
        <v>1089917</v>
      </c>
      <c r="BK176" s="2">
        <f t="shared" si="18"/>
        <v>1107971</v>
      </c>
      <c r="BL176" s="2">
        <f t="shared" si="17"/>
        <v>4.8325213705834376E-2</v>
      </c>
      <c r="BM176" s="2">
        <f t="shared" si="8"/>
        <v>18054</v>
      </c>
      <c r="BN176" s="2">
        <f t="shared" si="8"/>
        <v>1196799</v>
      </c>
      <c r="BO176" s="2">
        <f t="shared" si="8"/>
        <v>1224129</v>
      </c>
      <c r="BP176" s="2">
        <f t="shared" si="4"/>
        <v>970555</v>
      </c>
      <c r="BQ176" s="2">
        <f t="shared" si="5"/>
        <v>1349770</v>
      </c>
      <c r="BR176" s="2">
        <f t="shared" si="5"/>
        <v>1355481</v>
      </c>
      <c r="BS176" s="2">
        <f t="shared" si="6"/>
        <v>1394879</v>
      </c>
      <c r="BT176" s="2">
        <f>SUM(BT10+BT51+BT93+BT136)</f>
        <v>1396662</v>
      </c>
      <c r="BU176" s="2">
        <f>SUM(BU10+BU51+BU93+BU136)</f>
        <v>1428184</v>
      </c>
      <c r="BV176" s="2">
        <f>SUM(BV10+BV51+BV93+BV136)</f>
        <v>1481397</v>
      </c>
      <c r="BW176" s="2">
        <f>SUM(BW10+BW51+BW93+BW136)</f>
        <v>1491207</v>
      </c>
      <c r="BY176" s="554">
        <f>(Tableau13[[#This Row],[juin-24]]-Tableau13[[#This Row],[avr-24]])/Tableau13[[#This Row],[avr-24]]</f>
        <v>6.6221276268279197E-3</v>
      </c>
      <c r="BZ176" s="548">
        <f>Tableau13[[#This Row],[juin-24]]-Tableau13[[#This Row],[avr-24]]</f>
        <v>9810</v>
      </c>
    </row>
    <row r="177" spans="1:79" ht="16.5" x14ac:dyDescent="0.3">
      <c r="A177" s="123"/>
      <c r="B177" s="99" t="s">
        <v>387</v>
      </c>
      <c r="C177" s="102" t="s">
        <v>153</v>
      </c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2">
        <f t="shared" ref="AT177:BK177" si="19">AT11+AT52+AT94</f>
        <v>638989</v>
      </c>
      <c r="AU177" s="2">
        <f t="shared" si="19"/>
        <v>642654</v>
      </c>
      <c r="AV177" s="2">
        <f t="shared" si="19"/>
        <v>646094</v>
      </c>
      <c r="AW177" s="2">
        <f t="shared" si="19"/>
        <v>648743</v>
      </c>
      <c r="AX177" s="2">
        <f t="shared" si="19"/>
        <v>649769</v>
      </c>
      <c r="AY177" s="2">
        <f t="shared" si="19"/>
        <v>651247</v>
      </c>
      <c r="AZ177" s="2">
        <f t="shared" si="19"/>
        <v>664671</v>
      </c>
      <c r="BA177" s="2">
        <f t="shared" si="19"/>
        <v>674930</v>
      </c>
      <c r="BB177" s="2">
        <f t="shared" si="19"/>
        <v>681595</v>
      </c>
      <c r="BC177" s="2">
        <f t="shared" si="19"/>
        <v>692845</v>
      </c>
      <c r="BD177" s="2">
        <f t="shared" si="19"/>
        <v>705681</v>
      </c>
      <c r="BE177" s="2">
        <f t="shared" si="19"/>
        <v>714651</v>
      </c>
      <c r="BF177" s="2">
        <f t="shared" si="19"/>
        <v>739167</v>
      </c>
      <c r="BG177" s="2">
        <f t="shared" si="19"/>
        <v>752661</v>
      </c>
      <c r="BH177" s="2">
        <f t="shared" si="19"/>
        <v>760357</v>
      </c>
      <c r="BI177" s="2">
        <f t="shared" si="19"/>
        <v>763778</v>
      </c>
      <c r="BJ177" s="2">
        <f t="shared" si="19"/>
        <v>765724</v>
      </c>
      <c r="BK177" s="2">
        <f t="shared" si="19"/>
        <v>786185</v>
      </c>
      <c r="BL177" s="2">
        <f t="shared" si="17"/>
        <v>7.631505349663939E-2</v>
      </c>
      <c r="BM177" s="2">
        <f t="shared" si="8"/>
        <v>20461</v>
      </c>
      <c r="BN177" s="2">
        <f t="shared" si="8"/>
        <v>857265</v>
      </c>
      <c r="BO177" s="2">
        <f t="shared" si="8"/>
        <v>887242</v>
      </c>
      <c r="BP177" s="2">
        <f t="shared" si="4"/>
        <v>350955</v>
      </c>
      <c r="BQ177" s="2">
        <f t="shared" si="5"/>
        <v>991020</v>
      </c>
      <c r="BR177" s="2">
        <f t="shared" si="5"/>
        <v>994945</v>
      </c>
      <c r="BS177" s="2">
        <f t="shared" si="6"/>
        <v>1056027</v>
      </c>
      <c r="BT177" s="2">
        <f>SUM(BT11+BT52+BT94+BT137)</f>
        <v>1058611</v>
      </c>
      <c r="BU177" s="2">
        <f t="shared" ref="BU177:BW179" si="20">SUM(BU11+BU52+BU94+BU140)</f>
        <v>1116606</v>
      </c>
      <c r="BV177" s="2">
        <f t="shared" si="20"/>
        <v>1148802</v>
      </c>
      <c r="BW177" s="2">
        <f t="shared" si="20"/>
        <v>1164945</v>
      </c>
      <c r="BY177" s="554">
        <f>(Tableau13[[#This Row],[juin-24]]-Tableau13[[#This Row],[avr-24]])/Tableau13[[#This Row],[avr-24]]</f>
        <v>1.4052029853708473E-2</v>
      </c>
      <c r="BZ177" s="548">
        <f>Tableau13[[#This Row],[juin-24]]-Tableau13[[#This Row],[avr-24]]</f>
        <v>16143</v>
      </c>
    </row>
    <row r="178" spans="1:79" ht="16.5" x14ac:dyDescent="0.3">
      <c r="A178" s="123"/>
      <c r="B178" s="99" t="s">
        <v>173</v>
      </c>
      <c r="C178" s="102" t="s">
        <v>153</v>
      </c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2">
        <f t="shared" ref="AT178:BK178" si="21">AT12+AT53+AT95</f>
        <v>237106</v>
      </c>
      <c r="AU178" s="2">
        <f t="shared" si="21"/>
        <v>239562</v>
      </c>
      <c r="AV178" s="2">
        <f t="shared" si="21"/>
        <v>241063</v>
      </c>
      <c r="AW178" s="2">
        <f t="shared" si="21"/>
        <v>242973</v>
      </c>
      <c r="AX178" s="2">
        <f t="shared" si="21"/>
        <v>243680</v>
      </c>
      <c r="AY178" s="2">
        <f t="shared" si="21"/>
        <v>244789</v>
      </c>
      <c r="AZ178" s="2">
        <f t="shared" si="21"/>
        <v>246875</v>
      </c>
      <c r="BA178" s="2">
        <f t="shared" si="21"/>
        <v>248615</v>
      </c>
      <c r="BB178" s="2">
        <f t="shared" si="21"/>
        <v>250771</v>
      </c>
      <c r="BC178" s="2">
        <f t="shared" si="21"/>
        <v>252695</v>
      </c>
      <c r="BD178" s="2">
        <f t="shared" si="21"/>
        <v>256536</v>
      </c>
      <c r="BE178" s="2">
        <f t="shared" si="21"/>
        <v>259687</v>
      </c>
      <c r="BF178" s="2">
        <f t="shared" si="21"/>
        <v>279714</v>
      </c>
      <c r="BG178" s="2">
        <f t="shared" si="21"/>
        <v>287180</v>
      </c>
      <c r="BH178" s="2">
        <f t="shared" si="21"/>
        <v>288468</v>
      </c>
      <c r="BI178" s="2">
        <f t="shared" si="21"/>
        <v>289325</v>
      </c>
      <c r="BJ178" s="2">
        <f t="shared" si="21"/>
        <v>289228</v>
      </c>
      <c r="BK178" s="2">
        <f t="shared" si="21"/>
        <v>293307</v>
      </c>
      <c r="BL178" s="2">
        <f t="shared" si="17"/>
        <v>4.4545367897334973E-2</v>
      </c>
      <c r="BM178" s="2">
        <f t="shared" si="8"/>
        <v>4079</v>
      </c>
      <c r="BN178" s="2">
        <f t="shared" si="8"/>
        <v>319124</v>
      </c>
      <c r="BO178" s="2">
        <f t="shared" si="8"/>
        <v>324342</v>
      </c>
      <c r="BP178" s="2">
        <f t="shared" si="4"/>
        <v>2992616</v>
      </c>
      <c r="BQ178" s="2">
        <f t="shared" si="5"/>
        <v>352552</v>
      </c>
      <c r="BR178" s="2">
        <f t="shared" si="5"/>
        <v>355702</v>
      </c>
      <c r="BS178" s="2">
        <f t="shared" si="6"/>
        <v>378992</v>
      </c>
      <c r="BT178" s="2">
        <f>SUM(BT12+BT53+BT95+BT130)</f>
        <v>393265</v>
      </c>
      <c r="BU178" s="2">
        <f t="shared" si="20"/>
        <v>418189</v>
      </c>
      <c r="BV178" s="2">
        <f t="shared" si="20"/>
        <v>437694</v>
      </c>
      <c r="BW178" s="2">
        <f t="shared" si="20"/>
        <v>440009</v>
      </c>
      <c r="BY178" s="554">
        <f>(Tableau13[[#This Row],[juin-24]]-Tableau13[[#This Row],[avr-24]])/Tableau13[[#This Row],[avr-24]]</f>
        <v>5.2890832408029357E-3</v>
      </c>
      <c r="BZ178" s="548">
        <f>Tableau13[[#This Row],[juin-24]]-Tableau13[[#This Row],[avr-24]]</f>
        <v>2315</v>
      </c>
    </row>
    <row r="179" spans="1:79" ht="16.5" x14ac:dyDescent="0.3">
      <c r="A179" s="123"/>
      <c r="B179" s="99" t="s">
        <v>229</v>
      </c>
      <c r="C179" s="102" t="s">
        <v>153</v>
      </c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2">
        <f t="shared" ref="AT179:BK179" si="22">AT13+AT54+AT96</f>
        <v>2428944</v>
      </c>
      <c r="AU179" s="2">
        <f t="shared" si="22"/>
        <v>2461625</v>
      </c>
      <c r="AV179" s="2">
        <f t="shared" si="22"/>
        <v>2474357</v>
      </c>
      <c r="AW179" s="2">
        <f t="shared" si="22"/>
        <v>2484592</v>
      </c>
      <c r="AX179" s="2">
        <f t="shared" si="22"/>
        <v>2488962</v>
      </c>
      <c r="AY179" s="2">
        <f t="shared" si="22"/>
        <v>2497692</v>
      </c>
      <c r="AZ179" s="2">
        <f t="shared" si="22"/>
        <v>2506920</v>
      </c>
      <c r="BA179" s="2">
        <f t="shared" si="22"/>
        <v>2522435</v>
      </c>
      <c r="BB179" s="2">
        <f t="shared" si="22"/>
        <v>2534205</v>
      </c>
      <c r="BC179" s="2">
        <f t="shared" si="22"/>
        <v>2543360</v>
      </c>
      <c r="BD179" s="2">
        <f t="shared" si="22"/>
        <v>2559140</v>
      </c>
      <c r="BE179" s="2">
        <f t="shared" si="22"/>
        <v>2573710</v>
      </c>
      <c r="BF179" s="2">
        <f t="shared" si="22"/>
        <v>2641294</v>
      </c>
      <c r="BG179" s="2">
        <f t="shared" si="22"/>
        <v>2668364</v>
      </c>
      <c r="BH179" s="2">
        <f t="shared" si="22"/>
        <v>2672322</v>
      </c>
      <c r="BI179" s="2">
        <f t="shared" si="22"/>
        <v>2675769</v>
      </c>
      <c r="BJ179" s="2">
        <f t="shared" si="22"/>
        <v>2673174</v>
      </c>
      <c r="BK179" s="2">
        <f t="shared" si="22"/>
        <v>2694121</v>
      </c>
      <c r="BL179" s="2">
        <f t="shared" si="17"/>
        <v>2.4232684109296257E-2</v>
      </c>
      <c r="BM179" s="2">
        <f t="shared" si="8"/>
        <v>20947</v>
      </c>
      <c r="BN179" s="2">
        <f t="shared" si="8"/>
        <v>2781913</v>
      </c>
      <c r="BO179" s="2">
        <f t="shared" si="8"/>
        <v>2825189</v>
      </c>
      <c r="BP179" s="2">
        <f t="shared" si="4"/>
        <v>1069153</v>
      </c>
      <c r="BQ179" s="2">
        <f t="shared" si="5"/>
        <v>2993455</v>
      </c>
      <c r="BR179" s="2">
        <f t="shared" si="5"/>
        <v>3001997</v>
      </c>
      <c r="BS179" s="2">
        <f t="shared" si="6"/>
        <v>3064011</v>
      </c>
      <c r="BT179" s="2">
        <f>SUM(BT13+BT54+BT96+BT127)</f>
        <v>3094783</v>
      </c>
      <c r="BU179" s="2">
        <f t="shared" si="20"/>
        <v>3063613</v>
      </c>
      <c r="BV179" s="2">
        <f t="shared" si="20"/>
        <v>3090196</v>
      </c>
      <c r="BW179" s="2">
        <f t="shared" si="20"/>
        <v>3106994</v>
      </c>
      <c r="BY179" s="554">
        <f>(Tableau13[[#This Row],[juin-24]]-Tableau13[[#This Row],[avr-24]])/Tableau13[[#This Row],[avr-24]]</f>
        <v>5.4359011531954606E-3</v>
      </c>
      <c r="BZ179" s="548">
        <f>Tableau13[[#This Row],[juin-24]]-Tableau13[[#This Row],[avr-24]]</f>
        <v>16798</v>
      </c>
    </row>
    <row r="180" spans="1:79" ht="16.5" x14ac:dyDescent="0.3">
      <c r="A180" s="123"/>
      <c r="B180" s="99" t="s">
        <v>381</v>
      </c>
      <c r="C180" s="102" t="s">
        <v>55</v>
      </c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2">
        <f t="shared" ref="AT180:BK180" si="23">AT14+AT55+AT97</f>
        <v>0</v>
      </c>
      <c r="AU180" s="2">
        <f t="shared" si="23"/>
        <v>0</v>
      </c>
      <c r="AV180" s="2">
        <f t="shared" si="23"/>
        <v>0</v>
      </c>
      <c r="AW180" s="2">
        <f t="shared" si="23"/>
        <v>50302</v>
      </c>
      <c r="AX180" s="2">
        <f t="shared" si="23"/>
        <v>50420</v>
      </c>
      <c r="AY180" s="2">
        <f t="shared" si="23"/>
        <v>50881</v>
      </c>
      <c r="AZ180" s="2">
        <f t="shared" si="23"/>
        <v>52055</v>
      </c>
      <c r="BA180" s="2">
        <f t="shared" si="23"/>
        <v>52655</v>
      </c>
      <c r="BB180" s="2">
        <f t="shared" si="23"/>
        <v>53625</v>
      </c>
      <c r="BC180" s="2">
        <f t="shared" si="23"/>
        <v>54608</v>
      </c>
      <c r="BD180" s="2">
        <f t="shared" si="23"/>
        <v>55045</v>
      </c>
      <c r="BE180" s="2">
        <f t="shared" si="23"/>
        <v>55783</v>
      </c>
      <c r="BF180" s="2">
        <f t="shared" si="23"/>
        <v>60672</v>
      </c>
      <c r="BG180" s="2">
        <f t="shared" si="23"/>
        <v>62824</v>
      </c>
      <c r="BH180" s="2">
        <f t="shared" si="23"/>
        <v>63360</v>
      </c>
      <c r="BI180" s="2">
        <f t="shared" si="23"/>
        <v>63589</v>
      </c>
      <c r="BJ180" s="2">
        <f t="shared" si="23"/>
        <v>63777</v>
      </c>
      <c r="BK180" s="2">
        <f t="shared" si="23"/>
        <v>66977</v>
      </c>
      <c r="BL180" s="2">
        <f t="shared" si="17"/>
        <v>0.17074669042520441</v>
      </c>
      <c r="BM180" s="2">
        <f t="shared" si="8"/>
        <v>3200</v>
      </c>
      <c r="BN180" s="2">
        <f t="shared" si="8"/>
        <v>70881</v>
      </c>
      <c r="BO180" s="2">
        <f t="shared" si="8"/>
        <v>72419</v>
      </c>
      <c r="BP180" s="2">
        <f t="shared" si="4"/>
        <v>839041</v>
      </c>
      <c r="BQ180" s="2">
        <f t="shared" si="5"/>
        <v>1076241</v>
      </c>
      <c r="BR180" s="2">
        <f t="shared" si="5"/>
        <v>1083922</v>
      </c>
      <c r="BS180" s="2">
        <f t="shared" si="6"/>
        <v>1113613</v>
      </c>
      <c r="BT180" s="2">
        <f>SUM(BT14+BT55+BT97+BT149)</f>
        <v>1111608</v>
      </c>
      <c r="BU180" s="2">
        <f>SUM(BU14+BU55+BU97+BU149)</f>
        <v>1130820</v>
      </c>
      <c r="BV180" s="2">
        <f>SUM(BV14+BV55+BV97+BV149)</f>
        <v>1137051</v>
      </c>
      <c r="BW180" s="2">
        <f>SUM(BW14+BW55+BW97+BW149)</f>
        <v>1147995</v>
      </c>
      <c r="BY180" s="554">
        <f>(Tableau13[[#This Row],[juin-24]]-Tableau13[[#This Row],[avr-24]])/Tableau13[[#This Row],[avr-24]]</f>
        <v>9.6248980916423272E-3</v>
      </c>
      <c r="BZ180" s="548">
        <f>Tableau13[[#This Row],[juin-24]]-Tableau13[[#This Row],[avr-24]]</f>
        <v>10944</v>
      </c>
    </row>
    <row r="181" spans="1:79" ht="16.5" x14ac:dyDescent="0.3">
      <c r="A181" s="123"/>
      <c r="B181" s="99" t="s">
        <v>288</v>
      </c>
      <c r="C181" s="102" t="s">
        <v>55</v>
      </c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2">
        <f t="shared" ref="AT181:BK181" si="24">AT15+AT56+AT98</f>
        <v>641210</v>
      </c>
      <c r="AU181" s="2">
        <f t="shared" si="24"/>
        <v>638786</v>
      </c>
      <c r="AV181" s="2">
        <f t="shared" si="24"/>
        <v>636807</v>
      </c>
      <c r="AW181" s="2">
        <f t="shared" si="24"/>
        <v>644411</v>
      </c>
      <c r="AX181" s="2">
        <f t="shared" si="24"/>
        <v>642608</v>
      </c>
      <c r="AY181" s="2">
        <f t="shared" si="24"/>
        <v>641108</v>
      </c>
      <c r="AZ181" s="2">
        <f t="shared" si="24"/>
        <v>644707</v>
      </c>
      <c r="BA181" s="2">
        <f t="shared" si="24"/>
        <v>655730</v>
      </c>
      <c r="BB181" s="2">
        <f t="shared" si="24"/>
        <v>696000</v>
      </c>
      <c r="BC181" s="2">
        <f t="shared" si="24"/>
        <v>697932</v>
      </c>
      <c r="BD181" s="2">
        <f t="shared" si="24"/>
        <v>704000</v>
      </c>
      <c r="BE181" s="2">
        <f t="shared" si="24"/>
        <v>748149</v>
      </c>
      <c r="BF181" s="2">
        <f t="shared" si="24"/>
        <v>746560</v>
      </c>
      <c r="BG181" s="2">
        <f t="shared" si="24"/>
        <v>753194</v>
      </c>
      <c r="BH181" s="2">
        <f t="shared" si="24"/>
        <v>751681</v>
      </c>
      <c r="BI181" s="2">
        <f t="shared" si="24"/>
        <v>750116</v>
      </c>
      <c r="BJ181" s="2">
        <f t="shared" si="24"/>
        <v>751674</v>
      </c>
      <c r="BK181" s="2">
        <f t="shared" si="24"/>
        <v>766596</v>
      </c>
      <c r="BL181" s="2">
        <f t="shared" si="17"/>
        <v>0.40537472970156396</v>
      </c>
      <c r="BM181" s="2">
        <f t="shared" si="8"/>
        <v>14922</v>
      </c>
      <c r="BN181" s="2">
        <f t="shared" si="8"/>
        <v>789184</v>
      </c>
      <c r="BO181" s="2">
        <f t="shared" si="8"/>
        <v>792666</v>
      </c>
      <c r="BP181" s="2">
        <f t="shared" si="4"/>
        <v>575479</v>
      </c>
      <c r="BQ181" s="2">
        <f t="shared" si="5"/>
        <v>827831</v>
      </c>
      <c r="BR181" s="2">
        <f t="shared" si="5"/>
        <v>826798</v>
      </c>
      <c r="BS181" s="2">
        <f t="shared" si="6"/>
        <v>845770</v>
      </c>
      <c r="BT181" s="2">
        <f>SUM(BT15+BT56+BT98+BT150)</f>
        <v>840441</v>
      </c>
      <c r="BU181" s="2">
        <f t="shared" ref="BU181:BW183" si="25">SUM(BU15+BU56+BU98+BU144)</f>
        <v>840920</v>
      </c>
      <c r="BV181" s="2">
        <f t="shared" si="25"/>
        <v>853382</v>
      </c>
      <c r="BW181" s="2">
        <f t="shared" si="25"/>
        <v>853449</v>
      </c>
      <c r="BY181" s="554">
        <f>(Tableau13[[#This Row],[juin-24]]-Tableau13[[#This Row],[avr-24]])/Tableau13[[#This Row],[avr-24]]</f>
        <v>7.8511147411124209E-5</v>
      </c>
      <c r="BZ181" s="548">
        <f>Tableau13[[#This Row],[juin-24]]-Tableau13[[#This Row],[avr-24]]</f>
        <v>67</v>
      </c>
    </row>
    <row r="182" spans="1:79" ht="16.5" x14ac:dyDescent="0.3">
      <c r="A182" s="123"/>
      <c r="B182" s="99" t="s">
        <v>384</v>
      </c>
      <c r="C182" s="102" t="s">
        <v>153</v>
      </c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2">
        <f t="shared" ref="AT182:BK182" si="26">AT16+AT57+AT99</f>
        <v>402150</v>
      </c>
      <c r="AU182" s="2">
        <f t="shared" si="26"/>
        <v>404785</v>
      </c>
      <c r="AV182" s="2">
        <f t="shared" si="26"/>
        <v>408014</v>
      </c>
      <c r="AW182" s="2">
        <f t="shared" si="26"/>
        <v>411573</v>
      </c>
      <c r="AX182" s="2">
        <f t="shared" si="26"/>
        <v>413141</v>
      </c>
      <c r="AY182" s="2">
        <f t="shared" si="26"/>
        <v>419220</v>
      </c>
      <c r="AZ182" s="2">
        <f t="shared" si="26"/>
        <v>425442</v>
      </c>
      <c r="BA182" s="2">
        <f t="shared" si="26"/>
        <v>430120</v>
      </c>
      <c r="BB182" s="2">
        <f t="shared" si="26"/>
        <v>435935</v>
      </c>
      <c r="BC182" s="2">
        <f t="shared" si="26"/>
        <v>443020</v>
      </c>
      <c r="BD182" s="2">
        <f t="shared" si="26"/>
        <v>451344</v>
      </c>
      <c r="BE182" s="2">
        <f t="shared" si="26"/>
        <v>455408</v>
      </c>
      <c r="BF182" s="2">
        <f t="shared" si="26"/>
        <v>473079</v>
      </c>
      <c r="BG182" s="2">
        <f t="shared" si="26"/>
        <v>494706</v>
      </c>
      <c r="BH182" s="2">
        <f t="shared" si="26"/>
        <v>498137</v>
      </c>
      <c r="BI182" s="2">
        <f t="shared" si="26"/>
        <v>499267</v>
      </c>
      <c r="BJ182" s="2">
        <f t="shared" si="26"/>
        <v>499864</v>
      </c>
      <c r="BK182" s="2">
        <f t="shared" si="26"/>
        <v>511379</v>
      </c>
      <c r="BL182" s="2">
        <f t="shared" si="17"/>
        <v>7.0928404989466065E-2</v>
      </c>
      <c r="BM182" s="2">
        <f t="shared" si="8"/>
        <v>11515</v>
      </c>
      <c r="BN182" s="2">
        <f t="shared" si="8"/>
        <v>539276</v>
      </c>
      <c r="BO182" s="2">
        <f t="shared" si="8"/>
        <v>544759</v>
      </c>
      <c r="BP182" s="2">
        <f t="shared" si="4"/>
        <v>2032520</v>
      </c>
      <c r="BQ182" s="2">
        <f t="shared" si="5"/>
        <v>581039</v>
      </c>
      <c r="BR182" s="2">
        <f t="shared" si="5"/>
        <v>583065</v>
      </c>
      <c r="BS182" s="2">
        <f t="shared" si="6"/>
        <v>602556</v>
      </c>
      <c r="BT182" s="2">
        <f>SUM(BT16+BT57+BT99+BT151)</f>
        <v>600395</v>
      </c>
      <c r="BU182" s="2">
        <f t="shared" si="25"/>
        <v>599281</v>
      </c>
      <c r="BV182" s="2">
        <f t="shared" si="25"/>
        <v>258</v>
      </c>
      <c r="BW182" s="2">
        <f t="shared" si="25"/>
        <v>619218</v>
      </c>
      <c r="BY182" s="554">
        <f>(Tableau13[[#This Row],[juin-24]]-BU182)/Tableau13[[#This Row],[oct-23]]</f>
        <v>3.3268199726004997E-2</v>
      </c>
      <c r="BZ182" s="548">
        <f>Tableau13[[#This Row],[juin-24]]-Tableau13[[#This Row],[oct-23]]</f>
        <v>19937</v>
      </c>
      <c r="CA182" s="578"/>
    </row>
    <row r="183" spans="1:79" ht="16.5" x14ac:dyDescent="0.3">
      <c r="A183" s="123"/>
      <c r="B183" s="99" t="s">
        <v>170</v>
      </c>
      <c r="C183" s="102" t="s">
        <v>153</v>
      </c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2">
        <f t="shared" ref="AT183:BK183" si="27">AT17+AT58+AT100</f>
        <v>1602907</v>
      </c>
      <c r="AU183" s="2">
        <f t="shared" si="27"/>
        <v>1619320</v>
      </c>
      <c r="AV183" s="2">
        <f t="shared" si="27"/>
        <v>1637741</v>
      </c>
      <c r="AW183" s="2">
        <f t="shared" si="27"/>
        <v>1649518</v>
      </c>
      <c r="AX183" s="2">
        <f t="shared" si="27"/>
        <v>1657084</v>
      </c>
      <c r="AY183" s="2">
        <f t="shared" si="27"/>
        <v>1665501</v>
      </c>
      <c r="AZ183" s="2">
        <f t="shared" si="27"/>
        <v>1675619</v>
      </c>
      <c r="BA183" s="2">
        <f t="shared" si="27"/>
        <v>1689550</v>
      </c>
      <c r="BB183" s="2">
        <f t="shared" si="27"/>
        <v>1699460</v>
      </c>
      <c r="BC183" s="2">
        <f t="shared" si="27"/>
        <v>1705886</v>
      </c>
      <c r="BD183" s="2">
        <f t="shared" si="27"/>
        <v>1780600</v>
      </c>
      <c r="BE183" s="2">
        <f t="shared" si="27"/>
        <v>1799219</v>
      </c>
      <c r="BF183" s="2">
        <f t="shared" si="27"/>
        <v>1835279</v>
      </c>
      <c r="BG183" s="2">
        <f t="shared" si="27"/>
        <v>1848998</v>
      </c>
      <c r="BH183" s="2">
        <f t="shared" si="27"/>
        <v>1854711</v>
      </c>
      <c r="BI183" s="2">
        <f t="shared" si="27"/>
        <v>1852587</v>
      </c>
      <c r="BJ183" s="2">
        <f t="shared" si="27"/>
        <v>1849458</v>
      </c>
      <c r="BK183" s="2">
        <f t="shared" si="27"/>
        <v>1845679</v>
      </c>
      <c r="BL183" s="2">
        <f t="shared" si="17"/>
        <v>-5.7915786347366178E-3</v>
      </c>
      <c r="BM183" s="2">
        <f t="shared" si="8"/>
        <v>-3779</v>
      </c>
      <c r="BN183" s="2">
        <f t="shared" si="8"/>
        <v>1918468</v>
      </c>
      <c r="BO183" s="2">
        <f t="shared" si="8"/>
        <v>1926810</v>
      </c>
      <c r="BP183" s="2">
        <f t="shared" si="4"/>
        <v>298494</v>
      </c>
      <c r="BQ183" s="2">
        <f t="shared" si="5"/>
        <v>2005470</v>
      </c>
      <c r="BR183" s="2">
        <f t="shared" si="5"/>
        <v>2009408</v>
      </c>
      <c r="BS183" s="2">
        <f t="shared" si="6"/>
        <v>2082883</v>
      </c>
      <c r="BT183" s="2">
        <f>SUM(BT17+BT58+BT100+BT133)</f>
        <v>2088781</v>
      </c>
      <c r="BU183" s="2">
        <f t="shared" si="25"/>
        <v>2039750</v>
      </c>
      <c r="BV183" s="2">
        <f t="shared" si="25"/>
        <v>2111447</v>
      </c>
      <c r="BW183" s="2">
        <f t="shared" si="25"/>
        <v>2114919</v>
      </c>
      <c r="BY183" s="554">
        <f>(Tableau13[[#This Row],[juin-24]]-Tableau13[[#This Row],[avr-24]])/Tableau13[[#This Row],[avr-24]]</f>
        <v>1.6443699510335804E-3</v>
      </c>
      <c r="BZ183" s="548">
        <f>Tableau13[[#This Row],[juin-24]]-Tableau13[[#This Row],[avr-24]]</f>
        <v>3472</v>
      </c>
    </row>
    <row r="184" spans="1:79" ht="16.5" x14ac:dyDescent="0.3">
      <c r="A184" s="123"/>
      <c r="B184" s="99" t="s">
        <v>167</v>
      </c>
      <c r="C184" s="102" t="s">
        <v>153</v>
      </c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2">
        <f t="shared" ref="AT184:BK184" si="28">AT18+AT59+AT101</f>
        <v>82420</v>
      </c>
      <c r="AU184" s="2">
        <f t="shared" si="28"/>
        <v>84496</v>
      </c>
      <c r="AV184" s="2">
        <f t="shared" si="28"/>
        <v>84864</v>
      </c>
      <c r="AW184" s="2">
        <f t="shared" si="28"/>
        <v>85286</v>
      </c>
      <c r="AX184" s="2">
        <f t="shared" si="28"/>
        <v>85424</v>
      </c>
      <c r="AY184" s="2">
        <f t="shared" si="28"/>
        <v>86599</v>
      </c>
      <c r="AZ184" s="2">
        <f t="shared" si="28"/>
        <v>90263</v>
      </c>
      <c r="BA184" s="2">
        <f t="shared" si="28"/>
        <v>91315</v>
      </c>
      <c r="BB184" s="2">
        <f t="shared" si="28"/>
        <v>93160</v>
      </c>
      <c r="BC184" s="2">
        <f t="shared" si="28"/>
        <v>94304</v>
      </c>
      <c r="BD184" s="2">
        <f t="shared" si="28"/>
        <v>95810</v>
      </c>
      <c r="BE184" s="2">
        <f t="shared" si="28"/>
        <v>98629</v>
      </c>
      <c r="BF184" s="2">
        <f t="shared" si="28"/>
        <v>108697</v>
      </c>
      <c r="BG184" s="2">
        <f t="shared" si="28"/>
        <v>139265</v>
      </c>
      <c r="BH184" s="2">
        <f t="shared" si="28"/>
        <v>145085</v>
      </c>
      <c r="BI184" s="2">
        <f t="shared" si="28"/>
        <v>147391</v>
      </c>
      <c r="BJ184" s="2">
        <f t="shared" si="28"/>
        <v>153045</v>
      </c>
      <c r="BK184" s="2">
        <f t="shared" si="28"/>
        <v>192996</v>
      </c>
      <c r="BL184" s="2">
        <f t="shared" si="17"/>
        <v>0.78127394125023431</v>
      </c>
      <c r="BM184" s="2">
        <f t="shared" si="8"/>
        <v>39951</v>
      </c>
      <c r="BN184" s="2">
        <f t="shared" si="8"/>
        <v>259000</v>
      </c>
      <c r="BO184" s="2">
        <f t="shared" si="8"/>
        <v>261559</v>
      </c>
      <c r="BP184" s="2">
        <f t="shared" si="4"/>
        <v>803000</v>
      </c>
      <c r="BQ184" s="2">
        <f t="shared" si="5"/>
        <v>301826</v>
      </c>
      <c r="BR184" s="2">
        <f t="shared" si="5"/>
        <v>305599</v>
      </c>
      <c r="BS184" s="2">
        <f t="shared" si="6"/>
        <v>333700</v>
      </c>
      <c r="BT184" s="2">
        <f>SUM(BT18+BT59+BT101+BT140)</f>
        <v>333707</v>
      </c>
      <c r="BU184" s="2">
        <f>SUM(BU18+BU59+BU101+BU140)</f>
        <v>331840</v>
      </c>
      <c r="BV184" s="2">
        <f>SUM(BV18+BV59+BV101+BV140)</f>
        <v>342438</v>
      </c>
      <c r="BW184" s="2">
        <f>SUM(BW18+BW59+BW101+BW140)</f>
        <v>345419</v>
      </c>
      <c r="BY184" s="554">
        <f>(Tableau13[[#This Row],[juin-24]]-Tableau13[[#This Row],[avr-24]])/Tableau13[[#This Row],[avr-24]]</f>
        <v>8.705225471472209E-3</v>
      </c>
      <c r="BZ184" s="548">
        <f>Tableau13[[#This Row],[juin-24]]-Tableau13[[#This Row],[avr-24]]</f>
        <v>2981</v>
      </c>
    </row>
    <row r="185" spans="1:79" ht="16.5" x14ac:dyDescent="0.3">
      <c r="A185" s="123"/>
      <c r="B185" s="99" t="s">
        <v>395</v>
      </c>
      <c r="C185" s="102" t="s">
        <v>153</v>
      </c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2">
        <f t="shared" ref="AT185:BK185" si="29">AT19+AT60+AT102</f>
        <v>605241</v>
      </c>
      <c r="AU185" s="2">
        <f t="shared" si="29"/>
        <v>610093</v>
      </c>
      <c r="AV185" s="2">
        <f t="shared" si="29"/>
        <v>618632</v>
      </c>
      <c r="AW185" s="2">
        <f t="shared" si="29"/>
        <v>623574</v>
      </c>
      <c r="AX185" s="2">
        <f t="shared" si="29"/>
        <v>626645</v>
      </c>
      <c r="AY185" s="2">
        <f t="shared" si="29"/>
        <v>632293</v>
      </c>
      <c r="AZ185" s="2">
        <f t="shared" si="29"/>
        <v>640663</v>
      </c>
      <c r="BA185" s="2">
        <f t="shared" si="29"/>
        <v>646880</v>
      </c>
      <c r="BB185" s="2">
        <f t="shared" si="29"/>
        <v>652925</v>
      </c>
      <c r="BC185" s="2">
        <f t="shared" si="29"/>
        <v>659403</v>
      </c>
      <c r="BD185" s="2">
        <f t="shared" si="29"/>
        <v>673185</v>
      </c>
      <c r="BE185" s="2">
        <f t="shared" si="29"/>
        <v>678607</v>
      </c>
      <c r="BF185" s="2">
        <f t="shared" si="29"/>
        <v>699163</v>
      </c>
      <c r="BG185" s="2">
        <f t="shared" si="29"/>
        <v>708508</v>
      </c>
      <c r="BH185" s="2">
        <f t="shared" si="29"/>
        <v>713079</v>
      </c>
      <c r="BI185" s="2">
        <f t="shared" si="29"/>
        <v>715355</v>
      </c>
      <c r="BJ185" s="2">
        <f t="shared" si="29"/>
        <v>716750</v>
      </c>
      <c r="BK185" s="2">
        <f t="shared" si="29"/>
        <v>727390</v>
      </c>
      <c r="BL185" s="2">
        <f t="shared" si="17"/>
        <v>3.989939196014225E-2</v>
      </c>
      <c r="BM185" s="2">
        <f t="shared" si="8"/>
        <v>10640</v>
      </c>
      <c r="BN185" s="2">
        <f t="shared" si="8"/>
        <v>770677</v>
      </c>
      <c r="BO185" s="2">
        <f t="shared" si="8"/>
        <v>778449</v>
      </c>
      <c r="BP185" s="2">
        <f t="shared" si="4"/>
        <v>608476</v>
      </c>
      <c r="BQ185" s="2">
        <f t="shared" si="5"/>
        <v>797345</v>
      </c>
      <c r="BR185" s="2">
        <f t="shared" si="5"/>
        <v>797058</v>
      </c>
      <c r="BS185" s="2">
        <f t="shared" si="6"/>
        <v>809684</v>
      </c>
      <c r="BT185" s="2">
        <f>SUM(BT19+BT60+BT102+BT138)</f>
        <v>810669</v>
      </c>
      <c r="BU185" s="2">
        <f>SUM(BU19+BU60+BU102+BU138)</f>
        <v>810046</v>
      </c>
      <c r="BV185" s="2">
        <f>SUM(BV19+BV60+BV102+BV138)</f>
        <v>817244</v>
      </c>
      <c r="BW185" s="2">
        <f>SUM(BW19+BW60+BW102+BW138)</f>
        <v>816150</v>
      </c>
      <c r="BY185" s="554">
        <f>(Tableau13[[#This Row],[juin-24]]-Tableau13[[#This Row],[avr-24]])/Tableau13[[#This Row],[avr-24]]</f>
        <v>-1.3386454963266784E-3</v>
      </c>
      <c r="BZ185" s="548">
        <f>Tableau13[[#This Row],[juin-24]]-Tableau13[[#This Row],[avr-24]]</f>
        <v>-1094</v>
      </c>
    </row>
    <row r="186" spans="1:79" ht="16.5" x14ac:dyDescent="0.3">
      <c r="A186" s="123"/>
      <c r="B186" s="99" t="s">
        <v>383</v>
      </c>
      <c r="C186" s="102" t="s">
        <v>153</v>
      </c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2">
        <f t="shared" ref="AT186:BK186" si="30">AT20+AT61+AT103</f>
        <v>483669</v>
      </c>
      <c r="AU186" s="2">
        <f t="shared" si="30"/>
        <v>489458</v>
      </c>
      <c r="AV186" s="2">
        <f t="shared" si="30"/>
        <v>493950</v>
      </c>
      <c r="AW186" s="2">
        <f t="shared" si="30"/>
        <v>498051</v>
      </c>
      <c r="AX186" s="2">
        <f t="shared" si="30"/>
        <v>499116</v>
      </c>
      <c r="AY186" s="2">
        <f t="shared" si="30"/>
        <v>502927</v>
      </c>
      <c r="AZ186" s="2">
        <f t="shared" si="30"/>
        <v>507964</v>
      </c>
      <c r="BA186" s="2">
        <f t="shared" si="30"/>
        <v>510350</v>
      </c>
      <c r="BB186" s="2">
        <f t="shared" si="30"/>
        <v>514880</v>
      </c>
      <c r="BC186" s="2">
        <f t="shared" si="30"/>
        <v>519649</v>
      </c>
      <c r="BD186" s="2">
        <f t="shared" si="30"/>
        <v>528831</v>
      </c>
      <c r="BE186" s="2">
        <f t="shared" si="30"/>
        <v>532858</v>
      </c>
      <c r="BF186" s="2">
        <f t="shared" si="30"/>
        <v>542498</v>
      </c>
      <c r="BG186" s="2">
        <f t="shared" si="30"/>
        <v>546215</v>
      </c>
      <c r="BH186" s="2">
        <f t="shared" si="30"/>
        <v>547521</v>
      </c>
      <c r="BI186" s="2">
        <f t="shared" si="30"/>
        <v>547809</v>
      </c>
      <c r="BJ186" s="2">
        <f t="shared" si="30"/>
        <v>547100</v>
      </c>
      <c r="BK186" s="2">
        <f t="shared" si="30"/>
        <v>549347</v>
      </c>
      <c r="BL186" s="2">
        <f t="shared" si="17"/>
        <v>8.5390153772081732E-3</v>
      </c>
      <c r="BM186" s="2">
        <f t="shared" si="8"/>
        <v>2247</v>
      </c>
      <c r="BN186" s="2">
        <f t="shared" si="8"/>
        <v>583304</v>
      </c>
      <c r="BO186" s="2">
        <f t="shared" si="8"/>
        <v>594724</v>
      </c>
      <c r="BP186" s="2">
        <f t="shared" si="4"/>
        <v>890667</v>
      </c>
      <c r="BQ186" s="2">
        <f t="shared" si="5"/>
        <v>607920</v>
      </c>
      <c r="BR186" s="2">
        <f t="shared" si="5"/>
        <v>608191</v>
      </c>
      <c r="BS186" s="2">
        <f t="shared" si="6"/>
        <v>622074</v>
      </c>
      <c r="BT186" s="2">
        <f>SUM(BT20+BT61+BT103+BT139)</f>
        <v>623354</v>
      </c>
      <c r="BU186" s="2">
        <f>SUM(BU20+BU61+BU103+BU139)</f>
        <v>634454</v>
      </c>
      <c r="BV186" s="2">
        <f>SUM(BV20+BV61+BV103+BV149)</f>
        <v>625671</v>
      </c>
      <c r="BW186" s="2">
        <f>SUM(BW20+BW61+BW103+BW149)</f>
        <v>633218</v>
      </c>
      <c r="BY186" s="554">
        <f>(Tableau13[[#This Row],[juin-24]]-Tableau13[[#This Row],[avr-24]])/Tableau13[[#This Row],[avr-24]]</f>
        <v>1.2062249968433889E-2</v>
      </c>
      <c r="BZ186" s="548">
        <f>Tableau13[[#This Row],[juin-24]]-Tableau13[[#This Row],[avr-24]]</f>
        <v>7547</v>
      </c>
    </row>
    <row r="187" spans="1:79" ht="16.5" x14ac:dyDescent="0.3">
      <c r="A187" s="123"/>
      <c r="B187" s="99" t="s">
        <v>382</v>
      </c>
      <c r="C187" s="102" t="s">
        <v>153</v>
      </c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2">
        <f t="shared" ref="AT187:BK187" si="31">AT21+AT62+AT104</f>
        <v>391755</v>
      </c>
      <c r="AU187" s="2">
        <f t="shared" si="31"/>
        <v>397718</v>
      </c>
      <c r="AV187" s="2">
        <f t="shared" si="31"/>
        <v>402257</v>
      </c>
      <c r="AW187" s="2">
        <f t="shared" si="31"/>
        <v>405221</v>
      </c>
      <c r="AX187" s="2">
        <f t="shared" si="31"/>
        <v>407716</v>
      </c>
      <c r="AY187" s="2">
        <f t="shared" si="31"/>
        <v>412597</v>
      </c>
      <c r="AZ187" s="2">
        <f t="shared" si="31"/>
        <v>416226</v>
      </c>
      <c r="BA187" s="2">
        <f t="shared" si="31"/>
        <v>420035</v>
      </c>
      <c r="BB187" s="2">
        <f t="shared" si="31"/>
        <v>427380</v>
      </c>
      <c r="BC187" s="2">
        <f t="shared" si="31"/>
        <v>433357</v>
      </c>
      <c r="BD187" s="2">
        <f t="shared" si="31"/>
        <v>445700</v>
      </c>
      <c r="BE187" s="2">
        <f t="shared" si="31"/>
        <v>452890</v>
      </c>
      <c r="BF187" s="2">
        <f t="shared" si="31"/>
        <v>497259</v>
      </c>
      <c r="BG187" s="2">
        <f t="shared" si="31"/>
        <v>514629</v>
      </c>
      <c r="BH187" s="2">
        <f t="shared" si="31"/>
        <v>527083</v>
      </c>
      <c r="BI187" s="2">
        <f t="shared" si="31"/>
        <v>531980</v>
      </c>
      <c r="BJ187" s="2">
        <f t="shared" si="31"/>
        <v>535267</v>
      </c>
      <c r="BK187" s="2">
        <f t="shared" si="31"/>
        <v>564157</v>
      </c>
      <c r="BL187" s="2">
        <f t="shared" si="17"/>
        <v>0.17370813779533475</v>
      </c>
      <c r="BM187" s="2">
        <f t="shared" si="8"/>
        <v>28890</v>
      </c>
      <c r="BN187" s="2">
        <f t="shared" si="8"/>
        <v>699171</v>
      </c>
      <c r="BO187" s="2">
        <f t="shared" si="8"/>
        <v>734528</v>
      </c>
      <c r="BP187" s="2">
        <f t="shared" si="4"/>
        <v>8397591</v>
      </c>
      <c r="BQ187" s="2">
        <f t="shared" si="5"/>
        <v>926678</v>
      </c>
      <c r="BR187" s="2">
        <f t="shared" si="5"/>
        <v>939029</v>
      </c>
      <c r="BS187" s="2">
        <f t="shared" si="6"/>
        <v>1119501</v>
      </c>
      <c r="BT187" s="2">
        <f>SUM(BT21+BT62+BT104+BT128)</f>
        <v>1155291</v>
      </c>
      <c r="BU187" s="2">
        <f>SUM(BU21+BU62+BU104+BU128)</f>
        <v>1456843</v>
      </c>
      <c r="BV187" s="2">
        <f>SUM(BV21+BV62+BV104+BV128)</f>
        <v>1570207</v>
      </c>
      <c r="BW187" s="2">
        <f>SUM(BW21+BW62+BW104+BW128)</f>
        <v>1600774</v>
      </c>
      <c r="BY187" s="554">
        <f>(Tableau13[[#This Row],[juin-24]]-Tableau13[[#This Row],[avr-24]])/Tableau13[[#This Row],[avr-24]]</f>
        <v>1.9466860101884656E-2</v>
      </c>
      <c r="BZ187" s="548">
        <f>Tableau13[[#This Row],[juin-24]]-Tableau13[[#This Row],[avr-24]]</f>
        <v>30567</v>
      </c>
    </row>
    <row r="188" spans="1:79" ht="16.5" x14ac:dyDescent="0.3">
      <c r="A188" s="123"/>
      <c r="B188" s="99" t="s">
        <v>168</v>
      </c>
      <c r="C188" s="102" t="s">
        <v>55</v>
      </c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2">
        <f t="shared" ref="AT188:BO188" si="32">AT18+AT59+AT101</f>
        <v>82420</v>
      </c>
      <c r="AU188" s="2">
        <f t="shared" si="32"/>
        <v>84496</v>
      </c>
      <c r="AV188" s="2">
        <f t="shared" si="32"/>
        <v>84864</v>
      </c>
      <c r="AW188" s="2">
        <f t="shared" si="32"/>
        <v>85286</v>
      </c>
      <c r="AX188" s="2">
        <f t="shared" si="32"/>
        <v>85424</v>
      </c>
      <c r="AY188" s="2">
        <f t="shared" si="32"/>
        <v>86599</v>
      </c>
      <c r="AZ188" s="2">
        <f t="shared" si="32"/>
        <v>90263</v>
      </c>
      <c r="BA188" s="2">
        <f t="shared" si="32"/>
        <v>91315</v>
      </c>
      <c r="BB188" s="2">
        <f t="shared" si="32"/>
        <v>93160</v>
      </c>
      <c r="BC188" s="2">
        <f t="shared" si="32"/>
        <v>94304</v>
      </c>
      <c r="BD188" s="2">
        <f t="shared" si="32"/>
        <v>95810</v>
      </c>
      <c r="BE188" s="2">
        <f t="shared" si="32"/>
        <v>98629</v>
      </c>
      <c r="BF188" s="2">
        <f t="shared" si="32"/>
        <v>108697</v>
      </c>
      <c r="BG188" s="2">
        <f t="shared" si="32"/>
        <v>139265</v>
      </c>
      <c r="BH188" s="2">
        <f t="shared" si="32"/>
        <v>145085</v>
      </c>
      <c r="BI188" s="2">
        <f t="shared" si="32"/>
        <v>147391</v>
      </c>
      <c r="BJ188" s="2">
        <f t="shared" si="32"/>
        <v>153045</v>
      </c>
      <c r="BK188" s="2">
        <f t="shared" si="32"/>
        <v>192996</v>
      </c>
      <c r="BL188" s="2">
        <f t="shared" si="32"/>
        <v>0.78127394125023431</v>
      </c>
      <c r="BM188" s="2">
        <f t="shared" si="32"/>
        <v>39951</v>
      </c>
      <c r="BN188" s="2">
        <f t="shared" si="32"/>
        <v>259000</v>
      </c>
      <c r="BO188" s="2">
        <f t="shared" si="32"/>
        <v>261559</v>
      </c>
      <c r="BP188" s="2">
        <f t="shared" si="4"/>
        <v>316218</v>
      </c>
      <c r="BQ188" s="2">
        <f t="shared" ref="BQ188:BR200" si="33">BQ22+BQ63+BQ105</f>
        <v>8364960</v>
      </c>
      <c r="BR188" s="2">
        <f t="shared" si="33"/>
        <v>8352337</v>
      </c>
      <c r="BS188" s="2">
        <f t="shared" si="6"/>
        <v>8313315</v>
      </c>
      <c r="BT188" s="2">
        <f>SUM(BT22+BT63+BT105+BT144)</f>
        <v>8220161</v>
      </c>
      <c r="BU188" s="2">
        <f>SUM(BU22+BU63+BU105+BU151)</f>
        <v>8158265</v>
      </c>
      <c r="BV188" s="2">
        <f>SUM(BV22+BV63+BV105+BV151)</f>
        <v>8154992</v>
      </c>
      <c r="BW188" s="2">
        <f>SUM(BW22+BW63+BW105+BW151)</f>
        <v>8060898</v>
      </c>
      <c r="BY188" s="554">
        <f>(Tableau13[[#This Row],[juin-24]]-Tableau13[[#This Row],[avr-24]])/Tableau13[[#This Row],[avr-24]]</f>
        <v>-1.1538208743797664E-2</v>
      </c>
      <c r="BZ188" s="548">
        <f>Tableau13[[#This Row],[juin-24]]-Tableau13[[#This Row],[avr-24]]</f>
        <v>-94094</v>
      </c>
      <c r="CA188" s="6"/>
    </row>
    <row r="189" spans="1:79" ht="16.5" hidden="1" x14ac:dyDescent="0.3">
      <c r="A189" s="123"/>
      <c r="B189" s="99" t="s">
        <v>223</v>
      </c>
      <c r="C189" s="102" t="s">
        <v>55</v>
      </c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2">
        <f t="shared" ref="AT189:BO189" si="34">AT19+AT60+AT102</f>
        <v>605241</v>
      </c>
      <c r="AU189" s="2">
        <f t="shared" si="34"/>
        <v>610093</v>
      </c>
      <c r="AV189" s="2">
        <f t="shared" si="34"/>
        <v>618632</v>
      </c>
      <c r="AW189" s="2">
        <f t="shared" si="34"/>
        <v>623574</v>
      </c>
      <c r="AX189" s="2">
        <f t="shared" si="34"/>
        <v>626645</v>
      </c>
      <c r="AY189" s="2">
        <f t="shared" si="34"/>
        <v>632293</v>
      </c>
      <c r="AZ189" s="2">
        <f t="shared" si="34"/>
        <v>640663</v>
      </c>
      <c r="BA189" s="2">
        <f t="shared" si="34"/>
        <v>646880</v>
      </c>
      <c r="BB189" s="2">
        <f t="shared" si="34"/>
        <v>652925</v>
      </c>
      <c r="BC189" s="2">
        <f t="shared" si="34"/>
        <v>659403</v>
      </c>
      <c r="BD189" s="2">
        <f t="shared" si="34"/>
        <v>673185</v>
      </c>
      <c r="BE189" s="2">
        <f t="shared" si="34"/>
        <v>678607</v>
      </c>
      <c r="BF189" s="2">
        <f t="shared" si="34"/>
        <v>699163</v>
      </c>
      <c r="BG189" s="2">
        <f t="shared" si="34"/>
        <v>708508</v>
      </c>
      <c r="BH189" s="2">
        <f t="shared" si="34"/>
        <v>713079</v>
      </c>
      <c r="BI189" s="2">
        <f t="shared" si="34"/>
        <v>715355</v>
      </c>
      <c r="BJ189" s="2">
        <f t="shared" si="34"/>
        <v>716750</v>
      </c>
      <c r="BK189" s="2">
        <f t="shared" si="34"/>
        <v>727390</v>
      </c>
      <c r="BL189" s="2">
        <f t="shared" si="34"/>
        <v>3.989939196014225E-2</v>
      </c>
      <c r="BM189" s="2">
        <f t="shared" si="34"/>
        <v>10640</v>
      </c>
      <c r="BN189" s="2">
        <f t="shared" si="34"/>
        <v>770677</v>
      </c>
      <c r="BO189" s="2">
        <f t="shared" si="34"/>
        <v>778449</v>
      </c>
      <c r="BP189" s="2">
        <f t="shared" si="4"/>
        <v>1398867</v>
      </c>
      <c r="BQ189" s="2">
        <f t="shared" si="33"/>
        <v>354536</v>
      </c>
      <c r="BR189" s="2">
        <f t="shared" si="33"/>
        <v>357865</v>
      </c>
      <c r="BS189" s="2">
        <f t="shared" si="6"/>
        <v>392004</v>
      </c>
      <c r="BT189" s="2">
        <f>SUM(BT23+BT64+BT106+BT148)</f>
        <v>391322</v>
      </c>
      <c r="BU189" s="2">
        <f>SUM(BU23+BU64+BU106+BU152)</f>
        <v>387905</v>
      </c>
      <c r="BV189" s="2">
        <f>SUM(BV23+BV64+BV106+BV152)</f>
        <v>429743</v>
      </c>
      <c r="BW189" s="2"/>
      <c r="BY189" s="554">
        <f>(Tableau13[[#This Row],[juin-24]]-Tableau13[[#This Row],[avr-24]])/Tableau13[[#This Row],[avr-24]]</f>
        <v>-1</v>
      </c>
      <c r="BZ189" s="548">
        <f>Tableau13[[#This Row],[juin-24]]-Tableau13[[#This Row],[avr-24]]</f>
        <v>-429743</v>
      </c>
    </row>
    <row r="190" spans="1:79" ht="16.5" x14ac:dyDescent="0.3">
      <c r="A190" s="123"/>
      <c r="B190" s="99" t="s">
        <v>388</v>
      </c>
      <c r="C190" s="102" t="s">
        <v>153</v>
      </c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2">
        <f t="shared" ref="AT190:BO190" si="35">AT20+AT62+AT103</f>
        <v>469062</v>
      </c>
      <c r="AU190" s="2">
        <f t="shared" si="35"/>
        <v>475116</v>
      </c>
      <c r="AV190" s="2">
        <f t="shared" si="35"/>
        <v>479681</v>
      </c>
      <c r="AW190" s="2">
        <f t="shared" si="35"/>
        <v>483832</v>
      </c>
      <c r="AX190" s="2">
        <f t="shared" si="35"/>
        <v>485058</v>
      </c>
      <c r="AY190" s="2">
        <f t="shared" si="35"/>
        <v>488983</v>
      </c>
      <c r="AZ190" s="2">
        <f t="shared" si="35"/>
        <v>493947</v>
      </c>
      <c r="BA190" s="2">
        <f t="shared" si="35"/>
        <v>496525</v>
      </c>
      <c r="BB190" s="2">
        <f t="shared" si="35"/>
        <v>501610</v>
      </c>
      <c r="BC190" s="2">
        <f t="shared" si="35"/>
        <v>506655</v>
      </c>
      <c r="BD190" s="2">
        <f t="shared" si="35"/>
        <v>516367</v>
      </c>
      <c r="BE190" s="2">
        <f t="shared" si="35"/>
        <v>520614</v>
      </c>
      <c r="BF190" s="2">
        <f t="shared" si="35"/>
        <v>537548</v>
      </c>
      <c r="BG190" s="2">
        <f t="shared" si="35"/>
        <v>544017</v>
      </c>
      <c r="BH190" s="2">
        <f t="shared" si="35"/>
        <v>547256</v>
      </c>
      <c r="BI190" s="2">
        <f t="shared" si="35"/>
        <v>548379</v>
      </c>
      <c r="BJ190" s="2">
        <f t="shared" si="35"/>
        <v>548051</v>
      </c>
      <c r="BK190" s="2">
        <f t="shared" si="35"/>
        <v>553265</v>
      </c>
      <c r="BL190" s="2">
        <f t="shared" si="35"/>
        <v>2.7143518842122259E-2</v>
      </c>
      <c r="BM190" s="2">
        <f t="shared" si="35"/>
        <v>5214</v>
      </c>
      <c r="BN190" s="2">
        <f t="shared" si="35"/>
        <v>604305</v>
      </c>
      <c r="BO190" s="2">
        <f t="shared" si="35"/>
        <v>619482</v>
      </c>
      <c r="BP190" s="2">
        <f t="shared" si="4"/>
        <v>385952</v>
      </c>
      <c r="BQ190" s="2">
        <f t="shared" si="33"/>
        <v>1415113</v>
      </c>
      <c r="BR190" s="2">
        <f t="shared" si="33"/>
        <v>1419277</v>
      </c>
      <c r="BS190" s="2">
        <f t="shared" si="6"/>
        <v>1441159</v>
      </c>
      <c r="BT190" s="2">
        <f>SUM(BT24+BT65+BT107+BT149)</f>
        <v>1437035</v>
      </c>
      <c r="BU190" s="2">
        <f>SUM(BU24+BU65+BU107+BU153)</f>
        <v>1459225</v>
      </c>
      <c r="BV190" s="2">
        <f>SUM(BV24+BV65+BV107+BV153)</f>
        <v>1480200</v>
      </c>
      <c r="BW190" s="2">
        <f>SUM(BW24+BW65+BW107+BW153)</f>
        <v>1493990</v>
      </c>
      <c r="BY190" s="554">
        <f>(Tableau13[[#This Row],[juin-24]]-Tableau13[[#This Row],[avr-24]])/Tableau13[[#This Row],[avr-24]]</f>
        <v>9.316308606945007E-3</v>
      </c>
      <c r="BZ190" s="548">
        <f>Tableau13[[#This Row],[juin-24]]-Tableau13[[#This Row],[avr-24]]</f>
        <v>13790</v>
      </c>
      <c r="CA190" s="232"/>
    </row>
    <row r="191" spans="1:79" s="34" customFormat="1" ht="16.5" x14ac:dyDescent="0.3">
      <c r="A191" s="123"/>
      <c r="B191" s="123" t="s">
        <v>83</v>
      </c>
      <c r="C191" s="150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2">
        <f t="shared" ref="AT191:BO191" si="36">AT21+AT104</f>
        <v>258609</v>
      </c>
      <c r="AU191" s="2">
        <f t="shared" si="36"/>
        <v>263703</v>
      </c>
      <c r="AV191" s="2">
        <f t="shared" si="36"/>
        <v>267662</v>
      </c>
      <c r="AW191" s="2">
        <f t="shared" si="36"/>
        <v>270047</v>
      </c>
      <c r="AX191" s="2">
        <f t="shared" si="36"/>
        <v>272596</v>
      </c>
      <c r="AY191" s="2">
        <f t="shared" si="36"/>
        <v>276755</v>
      </c>
      <c r="AZ191" s="2">
        <f t="shared" si="36"/>
        <v>280228</v>
      </c>
      <c r="BA191" s="2">
        <f t="shared" si="36"/>
        <v>283575</v>
      </c>
      <c r="BB191" s="2">
        <f t="shared" si="36"/>
        <v>289920</v>
      </c>
      <c r="BC191" s="2">
        <f t="shared" si="36"/>
        <v>294849</v>
      </c>
      <c r="BD191" s="2">
        <f t="shared" si="36"/>
        <v>304777</v>
      </c>
      <c r="BE191" s="2">
        <f t="shared" si="36"/>
        <v>310873</v>
      </c>
      <c r="BF191" s="2">
        <f t="shared" si="36"/>
        <v>345354</v>
      </c>
      <c r="BG191" s="2">
        <f t="shared" si="36"/>
        <v>358924</v>
      </c>
      <c r="BH191" s="2">
        <f t="shared" si="36"/>
        <v>369004</v>
      </c>
      <c r="BI191" s="2">
        <f t="shared" si="36"/>
        <v>372961</v>
      </c>
      <c r="BJ191" s="2">
        <f t="shared" si="36"/>
        <v>376000</v>
      </c>
      <c r="BK191" s="2">
        <f t="shared" si="36"/>
        <v>401271</v>
      </c>
      <c r="BL191" s="2">
        <f t="shared" si="36"/>
        <v>0.15098528874311426</v>
      </c>
      <c r="BM191" s="2">
        <f t="shared" si="36"/>
        <v>25271</v>
      </c>
      <c r="BN191" s="2">
        <f t="shared" si="36"/>
        <v>512989</v>
      </c>
      <c r="BO191" s="2">
        <f t="shared" si="36"/>
        <v>542071</v>
      </c>
      <c r="BP191" s="2">
        <f t="shared" si="4"/>
        <v>0</v>
      </c>
      <c r="BQ191" s="2">
        <f t="shared" si="33"/>
        <v>410951</v>
      </c>
      <c r="BR191" s="2">
        <f t="shared" si="33"/>
        <v>419437</v>
      </c>
      <c r="BS191" s="2">
        <f t="shared" si="6"/>
        <v>500373</v>
      </c>
      <c r="BT191" s="2">
        <f>SUM(BT25+BT66+BT108+BT143)</f>
        <v>510496</v>
      </c>
      <c r="BU191" s="2">
        <f>SUM(BU25+BU66+BU108+BU143)</f>
        <v>646315</v>
      </c>
      <c r="BV191" s="2">
        <f>SUM(BV25+BV66+BV108+BV143)</f>
        <v>694754</v>
      </c>
      <c r="BW191" s="2">
        <f>SUM(BW25+BW66+BW108+BW143)</f>
        <v>839785</v>
      </c>
      <c r="BX191"/>
      <c r="BY191" s="554">
        <f>(Tableau13[[#This Row],[juin-24]]-Tableau13[[#This Row],[avr-24]])/Tableau13[[#This Row],[avr-24]]</f>
        <v>0.20875158689262674</v>
      </c>
      <c r="BZ191" s="548">
        <f>Tableau13[[#This Row],[juin-24]]-Tableau13[[#This Row],[avr-24]]</f>
        <v>145031</v>
      </c>
      <c r="CA191" s="577"/>
    </row>
    <row r="192" spans="1:79" ht="16.5" x14ac:dyDescent="0.3">
      <c r="A192" s="123"/>
      <c r="B192" s="99" t="s">
        <v>246</v>
      </c>
      <c r="C192" s="102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>
        <f t="shared" si="4"/>
        <v>0</v>
      </c>
      <c r="BQ192" s="2">
        <f t="shared" si="33"/>
        <v>70716</v>
      </c>
      <c r="BR192" s="2">
        <f t="shared" si="33"/>
        <v>71111</v>
      </c>
      <c r="BS192" s="2">
        <f t="shared" si="6"/>
        <v>73200</v>
      </c>
      <c r="BT192" s="2">
        <f>SUM(BT26+BT67+BT109+BT145)</f>
        <v>74581</v>
      </c>
      <c r="BU192" s="2">
        <f t="shared" ref="BU192:BW196" si="37">SUM(BU26+BU67+BU109+BU155)</f>
        <v>86900</v>
      </c>
      <c r="BV192" s="2">
        <f t="shared" si="37"/>
        <v>89858</v>
      </c>
      <c r="BW192" s="2">
        <f t="shared" si="37"/>
        <v>90702</v>
      </c>
      <c r="BY192" s="554">
        <f>(Tableau13[[#This Row],[juin-24]]-Tableau13[[#This Row],[avr-24]])/Tableau13[[#This Row],[avr-24]]</f>
        <v>9.3925972089296452E-3</v>
      </c>
      <c r="BZ192" s="548">
        <f>Tableau13[[#This Row],[juin-24]]-Tableau13[[#This Row],[avr-24]]</f>
        <v>844</v>
      </c>
    </row>
    <row r="193" spans="1:79" ht="16.5" x14ac:dyDescent="0.3">
      <c r="A193" s="123"/>
      <c r="B193" s="99" t="s">
        <v>247</v>
      </c>
      <c r="C193" s="102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>
        <f t="shared" si="4"/>
        <v>0</v>
      </c>
      <c r="BQ193" s="2">
        <f t="shared" si="33"/>
        <v>29641</v>
      </c>
      <c r="BR193" s="2">
        <f t="shared" si="33"/>
        <v>30896</v>
      </c>
      <c r="BS193" s="2">
        <f t="shared" si="6"/>
        <v>40000</v>
      </c>
      <c r="BT193" s="2">
        <f t="shared" ref="BT193:BT199" si="38">SUM(BT27+BT68+BT110+BT152)</f>
        <v>40749</v>
      </c>
      <c r="BU193" s="2">
        <f t="shared" si="37"/>
        <v>44300</v>
      </c>
      <c r="BV193" s="2">
        <f t="shared" si="37"/>
        <v>49583</v>
      </c>
      <c r="BW193" s="2">
        <f t="shared" si="37"/>
        <v>50961</v>
      </c>
      <c r="BY193" s="554">
        <f>(Tableau13[[#This Row],[juin-24]]-Tableau13[[#This Row],[avr-24]])/Tableau13[[#This Row],[avr-24]]</f>
        <v>2.7791783474174617E-2</v>
      </c>
      <c r="BZ193" s="548">
        <f>Tableau13[[#This Row],[juin-24]]-Tableau13[[#This Row],[avr-24]]</f>
        <v>1378</v>
      </c>
    </row>
    <row r="194" spans="1:79" ht="16.5" x14ac:dyDescent="0.3">
      <c r="A194" s="123"/>
      <c r="B194" s="99" t="s">
        <v>243</v>
      </c>
      <c r="C194" s="102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>
        <f t="shared" si="4"/>
        <v>0</v>
      </c>
      <c r="BQ194" s="2">
        <f t="shared" si="33"/>
        <v>66787</v>
      </c>
      <c r="BR194" s="2">
        <f t="shared" si="33"/>
        <v>66780</v>
      </c>
      <c r="BS194" s="2">
        <f t="shared" si="6"/>
        <v>67659</v>
      </c>
      <c r="BT194" s="2">
        <f t="shared" si="38"/>
        <v>67555</v>
      </c>
      <c r="BU194" s="2">
        <f t="shared" si="37"/>
        <v>67491</v>
      </c>
      <c r="BV194" s="2">
        <f t="shared" si="37"/>
        <v>68141</v>
      </c>
      <c r="BW194" s="2">
        <f t="shared" si="37"/>
        <v>68031</v>
      </c>
      <c r="BY194" s="554">
        <f>(Tableau13[[#This Row],[juin-24]]-Tableau13[[#This Row],[avr-24]])/Tableau13[[#This Row],[avr-24]]</f>
        <v>-1.6142997607901265E-3</v>
      </c>
      <c r="BZ194" s="548">
        <f>Tableau13[[#This Row],[juin-24]]-Tableau13[[#This Row],[avr-24]]</f>
        <v>-110</v>
      </c>
    </row>
    <row r="195" spans="1:79" ht="16.5" x14ac:dyDescent="0.3">
      <c r="A195" s="123"/>
      <c r="B195" s="123" t="s">
        <v>386</v>
      </c>
      <c r="C195" s="150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>
        <f t="shared" si="4"/>
        <v>0</v>
      </c>
      <c r="BQ195" s="2">
        <f t="shared" si="33"/>
        <v>32572</v>
      </c>
      <c r="BR195" s="2">
        <f t="shared" si="33"/>
        <v>34140</v>
      </c>
      <c r="BS195" s="2">
        <f t="shared" si="6"/>
        <v>38046</v>
      </c>
      <c r="BT195" s="2">
        <f t="shared" si="38"/>
        <v>38933</v>
      </c>
      <c r="BU195" s="2">
        <f t="shared" si="37"/>
        <v>70932</v>
      </c>
      <c r="BV195" s="2">
        <f t="shared" si="37"/>
        <v>31228</v>
      </c>
      <c r="BW195" s="2">
        <f t="shared" si="37"/>
        <v>80426</v>
      </c>
      <c r="BY195" s="554">
        <f>(Tableau13[[#This Row],[juin-24]]-Tableau13[[#This Row],[oct-23]])/Tableau13[[#This Row],[oct-23]]</f>
        <v>0.13384650087407657</v>
      </c>
      <c r="BZ195" s="548">
        <f>Tableau13[[#This Row],[juin-24]]-Tableau13[[#This Row],[oct-23]]</f>
        <v>9494</v>
      </c>
      <c r="CA195" s="578"/>
    </row>
    <row r="196" spans="1:79" ht="16.5" x14ac:dyDescent="0.3">
      <c r="A196" s="362"/>
      <c r="B196" s="362" t="s">
        <v>289</v>
      </c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149"/>
      <c r="AH196" s="149"/>
      <c r="AI196" s="149"/>
      <c r="AJ196" s="149"/>
      <c r="AK196" s="149"/>
      <c r="AL196" s="149"/>
      <c r="AM196" s="149"/>
      <c r="AN196" s="149"/>
      <c r="AO196" s="149"/>
      <c r="AP196" s="149"/>
      <c r="AQ196" s="149"/>
      <c r="AR196" s="149"/>
      <c r="AS196" s="149"/>
      <c r="AT196" s="149">
        <f t="shared" ref="AT196:AV200" si="39">AT30+AT71+AT113</f>
        <v>0</v>
      </c>
      <c r="AU196" s="149">
        <f t="shared" si="39"/>
        <v>0</v>
      </c>
      <c r="AV196" s="149">
        <f t="shared" si="39"/>
        <v>0</v>
      </c>
      <c r="AW196" s="149" t="e">
        <f t="shared" ref="AW196:AW205" si="40">VLOOKUP($B196,$B$2:$WO$59,48,0)+VLOOKUP($B196,$B$73:$WO$157,48,0)+VLOOKUP($B196,$B$163:$WO$189,48,0)</f>
        <v>#N/A</v>
      </c>
      <c r="AX196" s="149"/>
      <c r="AY196" s="149" t="e">
        <f t="shared" ref="AY196:AY205" si="41">VLOOKUP($B196,$B$2:$WO$59,50,0)+VLOOKUP($B196,$B$73:$WO$157,50,0)+VLOOKUP($B196,$B$163:$WO$189,50,0)</f>
        <v>#N/A</v>
      </c>
      <c r="AZ196" s="149"/>
      <c r="BA196" s="149"/>
      <c r="BB196" s="149"/>
      <c r="BC196" s="149" t="e">
        <f t="shared" ref="BC196:BC205" si="42">VLOOKUP($B196,$B$2:$WO$59,54,0)+VLOOKUP($B196,$B$73:$WO$157,54,0)+VLOOKUP($B196,$B$163:$WO$189,53,0)</f>
        <v>#N/A</v>
      </c>
      <c r="BD196" s="149" t="e">
        <f t="shared" ref="BD196:BD205" si="43">VLOOKUP($B196,$B$2:$WO$59,55,0)+VLOOKUP($B196,$B$73:$WO$157,55,0)+VLOOKUP($B196,$B$163:$WO$189,55,0)</f>
        <v>#N/A</v>
      </c>
      <c r="BE196" s="149" t="e">
        <f t="shared" ref="BE196:BE205" si="44">VLOOKUP($B196,$B$2:$WO$59,56,0)+VLOOKUP($B196,$B$73:$WO$157,56,0)+VLOOKUP($B196,$B$163:$WO$188,56,0)</f>
        <v>#N/A</v>
      </c>
      <c r="BF196" s="149" t="e">
        <f t="shared" ref="BF196:BF205" si="45">VLOOKUP($B196,$B$2:$WO$59,57,0)+VLOOKUP($B196,$B$73:$WO$157,57,0)+VLOOKUP($B196,$B$163:$WO$188,57,0)</f>
        <v>#N/A</v>
      </c>
      <c r="BG196" s="149" t="e">
        <f t="shared" ref="BG196:BG205" si="46">VLOOKUP($B196,$B$2:$WO$59,58,0)+VLOOKUP($B196,$B$73:$WO$157,58,0)+VLOOKUP($B196,$B$163:$WO$188,58,0)</f>
        <v>#N/A</v>
      </c>
      <c r="BH196" s="149" t="e">
        <f t="shared" ref="BH196:BH205" si="47">VLOOKUP($B196,$B$2:$WO$59,59,0)+VLOOKUP($B196,$B$73:$WO$157,59,0)+VLOOKUP($B196,$B$163:$WO$188,59,0)</f>
        <v>#N/A</v>
      </c>
      <c r="BI196" s="149" t="e">
        <f t="shared" ref="BI196:BI205" si="48">VLOOKUP($B196,$B$2:$WO$59,60,0)+VLOOKUP($B196,$B$73:$WO$157,60,0)+VLOOKUP($B196,$B$163:$WO$188,60,0)</f>
        <v>#N/A</v>
      </c>
      <c r="BJ196" s="149" t="e">
        <f t="shared" ref="BJ196:BJ205" si="49">VLOOKUP($B196,$B$2:$WO$59,61,0)+VLOOKUP($B196,$B$73:$WO$157,61,0)+VLOOKUP($B196,$B$163:$WO$188,61,0)</f>
        <v>#N/A</v>
      </c>
      <c r="BK196" s="222" t="e">
        <f t="shared" ref="BK196:BK205" si="50">VLOOKUP($B196,$B$2:$WO$59,62,0)+VLOOKUP($B196,$B$73:$WO$157,62,0)+VLOOKUP($B196,$B$163:$WO$188,62,0)</f>
        <v>#N/A</v>
      </c>
      <c r="BL196" s="209" t="e">
        <f>(Tableau13[[#This Row],[mars-20]]-Tableau13[[#This Row],[dec-19]])/Tableau13[[#This Row],[dec-19]]</f>
        <v>#N/A</v>
      </c>
      <c r="BM196" s="149" t="e">
        <f>Tableau13[[#This Row],[mars-20]]-Tableau13[[#This Row],[dec-19]]</f>
        <v>#N/A</v>
      </c>
      <c r="BN196" s="1"/>
      <c r="BO196" s="2" t="e">
        <f>VLOOKUP($B196,$B$2:$WO$59,66,0)+VLOOKUP($B196,$B$73:$WO$157,66,0)+VLOOKUP($B196,$B$163:$WO$188,66,0)</f>
        <v>#N/A</v>
      </c>
      <c r="BP196" s="2">
        <f t="shared" si="4"/>
        <v>0</v>
      </c>
      <c r="BQ196" s="2">
        <f t="shared" si="33"/>
        <v>0</v>
      </c>
      <c r="BR196" s="2">
        <f t="shared" si="33"/>
        <v>0</v>
      </c>
      <c r="BS196" s="2">
        <f t="shared" si="6"/>
        <v>66100</v>
      </c>
      <c r="BT196" s="2">
        <f t="shared" si="38"/>
        <v>66019</v>
      </c>
      <c r="BU196" s="2">
        <f t="shared" si="37"/>
        <v>31400</v>
      </c>
      <c r="BV196" s="2">
        <f t="shared" si="37"/>
        <v>30589</v>
      </c>
      <c r="BW196" s="2">
        <f t="shared" si="37"/>
        <v>30398</v>
      </c>
      <c r="BY196" s="554">
        <f>(Tableau13[[#This Row],[juin-24]]-Tableau13[[#This Row],[avr-24]])/Tableau13[[#This Row],[avr-24]]</f>
        <v>-6.2440746673640855E-3</v>
      </c>
      <c r="BZ196" s="548">
        <f>Tableau13[[#This Row],[juin-24]]-Tableau13[[#This Row],[avr-24]]</f>
        <v>-191</v>
      </c>
    </row>
    <row r="197" spans="1:79" ht="16.5" x14ac:dyDescent="0.3">
      <c r="A197" s="362"/>
      <c r="B197" s="365" t="s">
        <v>290</v>
      </c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  <c r="AE197" s="149"/>
      <c r="AF197" s="149"/>
      <c r="AG197" s="149"/>
      <c r="AH197" s="149"/>
      <c r="AI197" s="149"/>
      <c r="AJ197" s="149"/>
      <c r="AK197" s="149"/>
      <c r="AL197" s="149"/>
      <c r="AM197" s="149"/>
      <c r="AN197" s="149"/>
      <c r="AO197" s="149"/>
      <c r="AP197" s="149"/>
      <c r="AQ197" s="149"/>
      <c r="AR197" s="149"/>
      <c r="AS197" s="149"/>
      <c r="AT197" s="149">
        <f t="shared" si="39"/>
        <v>0</v>
      </c>
      <c r="AU197" s="149">
        <f t="shared" si="39"/>
        <v>0</v>
      </c>
      <c r="AV197" s="149">
        <f t="shared" si="39"/>
        <v>0</v>
      </c>
      <c r="AW197" s="149" t="e">
        <f t="shared" si="40"/>
        <v>#N/A</v>
      </c>
      <c r="AX197" s="149"/>
      <c r="AY197" s="149" t="e">
        <f t="shared" si="41"/>
        <v>#N/A</v>
      </c>
      <c r="AZ197" s="149"/>
      <c r="BA197" s="149"/>
      <c r="BB197" s="149"/>
      <c r="BC197" s="149" t="e">
        <f t="shared" si="42"/>
        <v>#N/A</v>
      </c>
      <c r="BD197" s="149" t="e">
        <f t="shared" si="43"/>
        <v>#N/A</v>
      </c>
      <c r="BE197" s="149" t="e">
        <f t="shared" si="44"/>
        <v>#N/A</v>
      </c>
      <c r="BF197" s="149" t="e">
        <f t="shared" si="45"/>
        <v>#N/A</v>
      </c>
      <c r="BG197" s="149" t="e">
        <f t="shared" si="46"/>
        <v>#N/A</v>
      </c>
      <c r="BH197" s="149" t="e">
        <f t="shared" si="47"/>
        <v>#N/A</v>
      </c>
      <c r="BI197" s="149" t="e">
        <f t="shared" si="48"/>
        <v>#N/A</v>
      </c>
      <c r="BJ197" s="149" t="e">
        <f t="shared" si="49"/>
        <v>#N/A</v>
      </c>
      <c r="BK197" s="222" t="e">
        <f t="shared" si="50"/>
        <v>#N/A</v>
      </c>
      <c r="BL197" s="209" t="e">
        <f>(Tableau13[[#This Row],[mars-20]]-Tableau13[[#This Row],[dec-19]])/Tableau13[[#This Row],[dec-19]]</f>
        <v>#N/A</v>
      </c>
      <c r="BM197" s="149" t="e">
        <f>Tableau13[[#This Row],[mars-20]]-Tableau13[[#This Row],[dec-19]]</f>
        <v>#N/A</v>
      </c>
      <c r="BN197" s="1"/>
      <c r="BO197" s="2" t="e">
        <f>VLOOKUP($B197,$B$2:$WO$59,66,0)+VLOOKUP($B197,$B$73:$WO$157,66,0)+VLOOKUP($B197,$B$163:$WO$188,66,0)</f>
        <v>#N/A</v>
      </c>
      <c r="BP197" s="2">
        <f t="shared" si="4"/>
        <v>0</v>
      </c>
      <c r="BQ197" s="2">
        <f t="shared" si="33"/>
        <v>0</v>
      </c>
      <c r="BR197" s="2">
        <f t="shared" si="33"/>
        <v>0</v>
      </c>
      <c r="BS197" s="2">
        <f t="shared" si="6"/>
        <v>33383</v>
      </c>
      <c r="BT197" s="2">
        <f t="shared" si="38"/>
        <v>33391</v>
      </c>
      <c r="BU197" s="2">
        <f>SUM(BU31+BU72+BU114+BU157)</f>
        <v>34174</v>
      </c>
      <c r="BV197" s="2">
        <f>SUM(BV31+BV72+BV114+BV157)</f>
        <v>20616</v>
      </c>
      <c r="BW197" s="2">
        <f>SUM(BW31+BW72+BW114+BW157)</f>
        <v>35778</v>
      </c>
      <c r="BY197" s="554">
        <f>(Tableau13[[#This Row],[juin-24]]-Tableau13[[#This Row],[oct-23]])/Tableau13[[#This Row],[oct-23]]</f>
        <v>4.6936267337742144E-2</v>
      </c>
      <c r="BZ197" s="548">
        <f>Tableau13[[#This Row],[juin-24]]-Tableau13[[#This Row],[avr-24]]</f>
        <v>15162</v>
      </c>
      <c r="CA197" s="578"/>
    </row>
    <row r="198" spans="1:79" ht="16.5" x14ac:dyDescent="0.3">
      <c r="A198" s="362"/>
      <c r="B198" s="366" t="s">
        <v>291</v>
      </c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  <c r="AE198" s="149"/>
      <c r="AF198" s="149"/>
      <c r="AG198" s="149"/>
      <c r="AH198" s="149"/>
      <c r="AI198" s="149"/>
      <c r="AJ198" s="149"/>
      <c r="AK198" s="149"/>
      <c r="AL198" s="149"/>
      <c r="AM198" s="149"/>
      <c r="AN198" s="149"/>
      <c r="AO198" s="149"/>
      <c r="AP198" s="149"/>
      <c r="AQ198" s="149"/>
      <c r="AR198" s="149"/>
      <c r="AS198" s="149"/>
      <c r="AT198" s="149">
        <f t="shared" si="39"/>
        <v>0</v>
      </c>
      <c r="AU198" s="149">
        <f t="shared" si="39"/>
        <v>0</v>
      </c>
      <c r="AV198" s="149">
        <f t="shared" si="39"/>
        <v>0</v>
      </c>
      <c r="AW198" s="149" t="e">
        <f t="shared" si="40"/>
        <v>#N/A</v>
      </c>
      <c r="AX198" s="149"/>
      <c r="AY198" s="149" t="e">
        <f t="shared" si="41"/>
        <v>#N/A</v>
      </c>
      <c r="AZ198" s="149"/>
      <c r="BA198" s="149"/>
      <c r="BB198" s="149"/>
      <c r="BC198" s="149" t="e">
        <f t="shared" si="42"/>
        <v>#N/A</v>
      </c>
      <c r="BD198" s="149" t="e">
        <f t="shared" si="43"/>
        <v>#N/A</v>
      </c>
      <c r="BE198" s="149" t="e">
        <f t="shared" si="44"/>
        <v>#N/A</v>
      </c>
      <c r="BF198" s="149" t="e">
        <f t="shared" si="45"/>
        <v>#N/A</v>
      </c>
      <c r="BG198" s="149" t="e">
        <f t="shared" si="46"/>
        <v>#N/A</v>
      </c>
      <c r="BH198" s="149" t="e">
        <f t="shared" si="47"/>
        <v>#N/A</v>
      </c>
      <c r="BI198" s="149" t="e">
        <f t="shared" si="48"/>
        <v>#N/A</v>
      </c>
      <c r="BJ198" s="149" t="e">
        <f t="shared" si="49"/>
        <v>#N/A</v>
      </c>
      <c r="BK198" s="222" t="e">
        <f t="shared" si="50"/>
        <v>#N/A</v>
      </c>
      <c r="BL198" s="209" t="e">
        <f>(Tableau13[[#This Row],[mars-20]]-Tableau13[[#This Row],[dec-19]])/Tableau13[[#This Row],[dec-19]]</f>
        <v>#N/A</v>
      </c>
      <c r="BM198" s="149" t="e">
        <f>Tableau13[[#This Row],[mars-20]]-Tableau13[[#This Row],[dec-19]]</f>
        <v>#N/A</v>
      </c>
      <c r="BN198" s="1"/>
      <c r="BO198" s="2" t="e">
        <f>VLOOKUP($B198,$B$2:$WO$59,66,0)+VLOOKUP($B198,$B$73:$WO$157,66,0)+VLOOKUP($B198,$B$163:$WO$188,66,0)</f>
        <v>#N/A</v>
      </c>
      <c r="BP198" s="2">
        <f t="shared" si="4"/>
        <v>0</v>
      </c>
      <c r="BQ198" s="2">
        <f t="shared" si="33"/>
        <v>0</v>
      </c>
      <c r="BR198" s="2">
        <f t="shared" si="33"/>
        <v>0</v>
      </c>
      <c r="BS198" s="2">
        <f t="shared" si="6"/>
        <v>75411</v>
      </c>
      <c r="BT198" s="2">
        <f t="shared" si="38"/>
        <v>75299</v>
      </c>
      <c r="BU198" s="2">
        <f t="shared" ref="BU198:BV198" si="51">BU32+BU73+BU115+BU158</f>
        <v>79428</v>
      </c>
      <c r="BV198" s="2">
        <f t="shared" si="51"/>
        <v>13643</v>
      </c>
      <c r="BW198" s="2">
        <f>BW32+BW73+BW115+BW158</f>
        <v>92006</v>
      </c>
      <c r="BY198" s="554">
        <f>(Tableau13[[#This Row],[juin-24]]-Tableau13[[#This Row],[oct-23]])/Tableau13[[#This Row],[oct-23]]</f>
        <v>0.15835725436873646</v>
      </c>
      <c r="BZ198" s="548">
        <f>Tableau13[[#This Row],[juin-24]]-Tableau13[[#This Row],[oct-23]]</f>
        <v>12578</v>
      </c>
      <c r="CA198" s="578"/>
    </row>
    <row r="199" spans="1:79" ht="16.5" x14ac:dyDescent="0.3">
      <c r="A199" s="362"/>
      <c r="B199" s="369" t="s">
        <v>292</v>
      </c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>
        <f t="shared" si="39"/>
        <v>0</v>
      </c>
      <c r="AU199" s="149">
        <f t="shared" si="39"/>
        <v>0</v>
      </c>
      <c r="AV199" s="149">
        <f t="shared" si="39"/>
        <v>0</v>
      </c>
      <c r="AW199" s="149" t="e">
        <f t="shared" si="40"/>
        <v>#N/A</v>
      </c>
      <c r="AX199" s="149"/>
      <c r="AY199" s="149" t="e">
        <f t="shared" si="41"/>
        <v>#N/A</v>
      </c>
      <c r="AZ199" s="149"/>
      <c r="BA199" s="149"/>
      <c r="BB199" s="149"/>
      <c r="BC199" s="149" t="e">
        <f t="shared" si="42"/>
        <v>#N/A</v>
      </c>
      <c r="BD199" s="149" t="e">
        <f t="shared" si="43"/>
        <v>#N/A</v>
      </c>
      <c r="BE199" s="149" t="e">
        <f t="shared" si="44"/>
        <v>#N/A</v>
      </c>
      <c r="BF199" s="149" t="e">
        <f t="shared" si="45"/>
        <v>#N/A</v>
      </c>
      <c r="BG199" s="149" t="e">
        <f t="shared" si="46"/>
        <v>#N/A</v>
      </c>
      <c r="BH199" s="149" t="e">
        <f t="shared" si="47"/>
        <v>#N/A</v>
      </c>
      <c r="BI199" s="149" t="e">
        <f t="shared" si="48"/>
        <v>#N/A</v>
      </c>
      <c r="BJ199" s="149" t="e">
        <f t="shared" si="49"/>
        <v>#N/A</v>
      </c>
      <c r="BK199" s="222" t="e">
        <f t="shared" si="50"/>
        <v>#N/A</v>
      </c>
      <c r="BL199" s="209" t="e">
        <f>(Tableau13[[#This Row],[mars-20]]-Tableau13[[#This Row],[dec-19]])/Tableau13[[#This Row],[dec-19]]</f>
        <v>#N/A</v>
      </c>
      <c r="BM199" s="149" t="e">
        <f>Tableau13[[#This Row],[mars-20]]-Tableau13[[#This Row],[dec-19]]</f>
        <v>#N/A</v>
      </c>
      <c r="BN199" s="1"/>
      <c r="BO199" s="2" t="e">
        <f>VLOOKUP($B199,$B$2:$WO$59,66,0)+VLOOKUP($B199,$B$73:$WO$157,66,0)+VLOOKUP($B199,$B$163:$WO$188,66,0)</f>
        <v>#N/A</v>
      </c>
      <c r="BP199" s="2">
        <f t="shared" si="4"/>
        <v>0</v>
      </c>
      <c r="BQ199" s="2">
        <f t="shared" si="33"/>
        <v>0</v>
      </c>
      <c r="BR199" s="2">
        <f t="shared" si="33"/>
        <v>0</v>
      </c>
      <c r="BS199" s="2">
        <f t="shared" si="6"/>
        <v>27632</v>
      </c>
      <c r="BT199" s="2">
        <f t="shared" si="38"/>
        <v>27706</v>
      </c>
      <c r="BU199" s="2">
        <f t="shared" ref="BU199:BW201" si="52">SUM(BU33+BU74+BU116+BU161)</f>
        <v>32366</v>
      </c>
      <c r="BV199" s="2">
        <f t="shared" si="52"/>
        <v>33207</v>
      </c>
      <c r="BW199" s="2">
        <f t="shared" si="52"/>
        <v>33501</v>
      </c>
      <c r="BY199" s="554">
        <f>(Tableau13[[#This Row],[juin-24]]-Tableau13[[#This Row],[avr-24]])/Tableau13[[#This Row],[avr-24]]</f>
        <v>8.853554973348993E-3</v>
      </c>
      <c r="BZ199" s="548">
        <f>Tableau13[[#This Row],[juin-24]]-Tableau13[[#This Row],[avr-24]]</f>
        <v>294</v>
      </c>
    </row>
    <row r="200" spans="1:79" ht="16.5" x14ac:dyDescent="0.3">
      <c r="A200" s="362"/>
      <c r="B200" s="371" t="s">
        <v>293</v>
      </c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  <c r="AE200" s="149"/>
      <c r="AF200" s="149"/>
      <c r="AG200" s="149"/>
      <c r="AH200" s="149"/>
      <c r="AI200" s="149"/>
      <c r="AJ200" s="149"/>
      <c r="AK200" s="149"/>
      <c r="AL200" s="149"/>
      <c r="AM200" s="149"/>
      <c r="AN200" s="149"/>
      <c r="AO200" s="149"/>
      <c r="AP200" s="149"/>
      <c r="AQ200" s="149"/>
      <c r="AR200" s="149"/>
      <c r="AS200" s="149"/>
      <c r="AT200" s="149">
        <f t="shared" si="39"/>
        <v>0</v>
      </c>
      <c r="AU200" s="149">
        <f t="shared" si="39"/>
        <v>0</v>
      </c>
      <c r="AV200" s="149">
        <f t="shared" si="39"/>
        <v>0</v>
      </c>
      <c r="AW200" s="149" t="e">
        <f t="shared" si="40"/>
        <v>#N/A</v>
      </c>
      <c r="AX200" s="149"/>
      <c r="AY200" s="149" t="e">
        <f t="shared" si="41"/>
        <v>#N/A</v>
      </c>
      <c r="AZ200" s="149"/>
      <c r="BA200" s="149"/>
      <c r="BB200" s="149"/>
      <c r="BC200" s="149" t="e">
        <f t="shared" si="42"/>
        <v>#N/A</v>
      </c>
      <c r="BD200" s="149" t="e">
        <f t="shared" si="43"/>
        <v>#N/A</v>
      </c>
      <c r="BE200" s="149" t="e">
        <f t="shared" si="44"/>
        <v>#N/A</v>
      </c>
      <c r="BF200" s="149" t="e">
        <f t="shared" si="45"/>
        <v>#N/A</v>
      </c>
      <c r="BG200" s="149" t="e">
        <f t="shared" si="46"/>
        <v>#N/A</v>
      </c>
      <c r="BH200" s="149" t="e">
        <f t="shared" si="47"/>
        <v>#N/A</v>
      </c>
      <c r="BI200" s="149" t="e">
        <f t="shared" si="48"/>
        <v>#N/A</v>
      </c>
      <c r="BJ200" s="149" t="e">
        <f t="shared" si="49"/>
        <v>#N/A</v>
      </c>
      <c r="BK200" s="222" t="e">
        <f t="shared" si="50"/>
        <v>#N/A</v>
      </c>
      <c r="BL200" s="209" t="e">
        <f>(Tableau13[[#This Row],[mars-20]]-Tableau13[[#This Row],[dec-19]])/Tableau13[[#This Row],[dec-19]]</f>
        <v>#N/A</v>
      </c>
      <c r="BM200" s="149" t="e">
        <f>Tableau13[[#This Row],[mars-20]]-Tableau13[[#This Row],[dec-19]]</f>
        <v>#N/A</v>
      </c>
      <c r="BN200" s="1"/>
      <c r="BO200" s="2" t="e">
        <f>VLOOKUP($B200,$B$2:$WO$59,66,0)+VLOOKUP($B200,$B$73:$WO$157,66,0)+VLOOKUP($B200,$B$163:$WO$188,66,0)</f>
        <v>#N/A</v>
      </c>
      <c r="BP200" s="2">
        <f t="shared" si="4"/>
        <v>0</v>
      </c>
      <c r="BQ200" s="2">
        <f t="shared" si="33"/>
        <v>0</v>
      </c>
      <c r="BR200" s="2">
        <f t="shared" si="33"/>
        <v>0</v>
      </c>
      <c r="BS200" s="2">
        <f t="shared" si="6"/>
        <v>73144</v>
      </c>
      <c r="BT200" s="2">
        <f>SUM(BT34+BT75+BT117+BT146)</f>
        <v>72347</v>
      </c>
      <c r="BU200" s="2">
        <f t="shared" si="52"/>
        <v>105800</v>
      </c>
      <c r="BV200" s="2">
        <f t="shared" si="52"/>
        <v>5879</v>
      </c>
      <c r="BW200" s="2">
        <f t="shared" si="52"/>
        <v>57506</v>
      </c>
      <c r="BY200" s="554"/>
      <c r="BZ200" s="548">
        <f>Tableau13[[#This Row],[juin-24]]-Tableau13[[#This Row],[avr-24]]</f>
        <v>51627</v>
      </c>
    </row>
    <row r="201" spans="1:79" ht="33" x14ac:dyDescent="0.3">
      <c r="A201" s="362"/>
      <c r="B201" s="369" t="s">
        <v>294</v>
      </c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  <c r="AE201" s="149"/>
      <c r="AF201" s="149"/>
      <c r="AG201" s="149"/>
      <c r="AH201" s="149"/>
      <c r="AI201" s="149"/>
      <c r="AJ201" s="149"/>
      <c r="AK201" s="149"/>
      <c r="AL201" s="149"/>
      <c r="AM201" s="149"/>
      <c r="AN201" s="149"/>
      <c r="AO201" s="149"/>
      <c r="AP201" s="149"/>
      <c r="AQ201" s="149"/>
      <c r="AR201" s="149"/>
      <c r="AS201" s="149"/>
      <c r="AT201" s="149">
        <f>AT39+AT81+AT123</f>
        <v>19994928</v>
      </c>
      <c r="AU201" s="149">
        <f>AU39+AU81+AU123</f>
        <v>20233097</v>
      </c>
      <c r="AV201" s="149">
        <f>AV39+AV81+AV123</f>
        <v>20441203</v>
      </c>
      <c r="AW201" s="149" t="e">
        <f t="shared" si="40"/>
        <v>#N/A</v>
      </c>
      <c r="AX201" s="149"/>
      <c r="AY201" s="149" t="e">
        <f t="shared" si="41"/>
        <v>#N/A</v>
      </c>
      <c r="AZ201" s="149"/>
      <c r="BA201" s="149"/>
      <c r="BB201" s="149"/>
      <c r="BC201" s="149" t="e">
        <f t="shared" si="42"/>
        <v>#N/A</v>
      </c>
      <c r="BD201" s="149" t="e">
        <f t="shared" si="43"/>
        <v>#N/A</v>
      </c>
      <c r="BE201" s="149" t="e">
        <f t="shared" si="44"/>
        <v>#N/A</v>
      </c>
      <c r="BF201" s="149" t="e">
        <f t="shared" si="45"/>
        <v>#N/A</v>
      </c>
      <c r="BG201" s="149" t="e">
        <f t="shared" si="46"/>
        <v>#N/A</v>
      </c>
      <c r="BH201" s="149" t="e">
        <f t="shared" si="47"/>
        <v>#N/A</v>
      </c>
      <c r="BI201" s="149" t="e">
        <f t="shared" si="48"/>
        <v>#N/A</v>
      </c>
      <c r="BJ201" s="149" t="e">
        <f t="shared" si="49"/>
        <v>#N/A</v>
      </c>
      <c r="BK201" s="222" t="e">
        <f t="shared" si="50"/>
        <v>#N/A</v>
      </c>
      <c r="BL201" s="209" t="e">
        <f>(Tableau13[[#This Row],[mars-20]]-Tableau13[[#This Row],[dec-19]])/Tableau13[[#This Row],[dec-19]]</f>
        <v>#N/A</v>
      </c>
      <c r="BM201" s="149" t="e">
        <f>Tableau13[[#This Row],[mars-20]]-Tableau13[[#This Row],[dec-19]]</f>
        <v>#N/A</v>
      </c>
      <c r="BN201" s="1"/>
      <c r="BO201" s="2"/>
      <c r="BP201" s="2"/>
      <c r="BQ201" s="2"/>
      <c r="BR201" s="2"/>
      <c r="BS201" s="2">
        <f t="shared" si="6"/>
        <v>67534</v>
      </c>
      <c r="BT201" s="2">
        <f>SUM(BT35+BT76+BT118+BT160)</f>
        <v>70576</v>
      </c>
      <c r="BU201" s="2">
        <f t="shared" si="52"/>
        <v>85004</v>
      </c>
      <c r="BV201" s="2">
        <f t="shared" si="52"/>
        <v>6326</v>
      </c>
      <c r="BW201" s="2">
        <f t="shared" si="52"/>
        <v>58344</v>
      </c>
      <c r="BY201" s="554"/>
      <c r="BZ201" s="548">
        <f>Tableau13[[#This Row],[juin-24]]-Tableau13[[#This Row],[avr-24]]</f>
        <v>52018</v>
      </c>
    </row>
    <row r="202" spans="1:79" ht="16.5" x14ac:dyDescent="0.3">
      <c r="A202" s="123"/>
      <c r="B202" s="528" t="s">
        <v>367</v>
      </c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 t="e">
        <f>#REF!+#REF!+#REF!</f>
        <v>#REF!</v>
      </c>
      <c r="AU202" s="88" t="e">
        <f>#REF!+#REF!+#REF!</f>
        <v>#REF!</v>
      </c>
      <c r="AV202" s="88" t="e">
        <f>#REF!+#REF!+#REF!</f>
        <v>#REF!</v>
      </c>
      <c r="AW202" s="88" t="e">
        <f t="shared" si="40"/>
        <v>#N/A</v>
      </c>
      <c r="AX202" s="88"/>
      <c r="AY202" s="88" t="e">
        <f t="shared" si="41"/>
        <v>#N/A</v>
      </c>
      <c r="AZ202" s="88"/>
      <c r="BA202" s="88"/>
      <c r="BB202" s="88"/>
      <c r="BC202" s="88" t="e">
        <f t="shared" si="42"/>
        <v>#N/A</v>
      </c>
      <c r="BD202" s="88" t="e">
        <f t="shared" si="43"/>
        <v>#N/A</v>
      </c>
      <c r="BE202" s="88" t="e">
        <f t="shared" si="44"/>
        <v>#N/A</v>
      </c>
      <c r="BF202" s="88" t="e">
        <f t="shared" si="45"/>
        <v>#N/A</v>
      </c>
      <c r="BG202" s="88" t="e">
        <f t="shared" si="46"/>
        <v>#N/A</v>
      </c>
      <c r="BH202" s="88" t="e">
        <f t="shared" si="47"/>
        <v>#N/A</v>
      </c>
      <c r="BI202" s="88" t="e">
        <f t="shared" si="48"/>
        <v>#N/A</v>
      </c>
      <c r="BJ202" s="88" t="e">
        <f t="shared" si="49"/>
        <v>#N/A</v>
      </c>
      <c r="BK202" s="148" t="e">
        <f t="shared" si="50"/>
        <v>#N/A</v>
      </c>
      <c r="BL202" s="179" t="e">
        <f>(Tableau13[[#This Row],[mars-20]]-Tableau13[[#This Row],[dec-19]])/Tableau13[[#This Row],[dec-19]]</f>
        <v>#N/A</v>
      </c>
      <c r="BM202" s="88" t="e">
        <f>Tableau13[[#This Row],[mars-20]]-Tableau13[[#This Row],[dec-19]]</f>
        <v>#N/A</v>
      </c>
      <c r="BN202" s="1"/>
      <c r="BO202" s="2" t="e">
        <f>VLOOKUP($B202,$B$2:$WO$59,66,0)+VLOOKUP($B202,$B$73:$WO$157,66,0)+VLOOKUP($B202,$B$163:$WO$188,66,0)</f>
        <v>#N/A</v>
      </c>
      <c r="BP202" s="2">
        <f>BP36+BP78+BP120</f>
        <v>0</v>
      </c>
      <c r="BQ202" s="2" t="e">
        <f>#REF!+#REF!+#REF!</f>
        <v>#REF!</v>
      </c>
      <c r="BR202" s="2" t="e">
        <f>#REF!+#REF!+#REF!</f>
        <v>#REF!</v>
      </c>
      <c r="BS202" s="2" t="e">
        <f>SUM(#REF!,#REF!,#REF!)</f>
        <v>#REF!</v>
      </c>
      <c r="BT202" s="2" t="e">
        <f>SUM(#REF!+#REF!+#REF!+#REF!)</f>
        <v>#REF!</v>
      </c>
      <c r="BU202" s="2">
        <f t="shared" ref="BU202:BV202" si="53">BU23+BU64+BU106+BU129</f>
        <v>427605</v>
      </c>
      <c r="BV202" s="2">
        <f t="shared" si="53"/>
        <v>454543</v>
      </c>
      <c r="BW202" s="2">
        <f>BW23+BW64+BW106+BW129</f>
        <v>456476</v>
      </c>
      <c r="BY202" s="554">
        <f>(Tableau13[[#This Row],[juin-24]]-Tableau13[[#This Row],[avr-24]])/Tableau13[[#This Row],[avr-24]]</f>
        <v>4.2526229641640066E-3</v>
      </c>
      <c r="BZ202" s="548">
        <f>Tableau13[[#This Row],[juin-24]]-Tableau13[[#This Row],[avr-24]]</f>
        <v>1933</v>
      </c>
    </row>
    <row r="203" spans="1:79" ht="16.5" x14ac:dyDescent="0.3">
      <c r="A203" s="123"/>
      <c r="B203" s="528" t="s">
        <v>369</v>
      </c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>
        <f t="shared" ref="AT203:AV205" si="54">AT36+AT77+AT119</f>
        <v>0</v>
      </c>
      <c r="AU203" s="88">
        <f t="shared" si="54"/>
        <v>0</v>
      </c>
      <c r="AV203" s="88">
        <f t="shared" si="54"/>
        <v>0</v>
      </c>
      <c r="AW203" s="88" t="e">
        <f t="shared" si="40"/>
        <v>#N/A</v>
      </c>
      <c r="AX203" s="88"/>
      <c r="AY203" s="88" t="e">
        <f t="shared" si="41"/>
        <v>#N/A</v>
      </c>
      <c r="AZ203" s="88"/>
      <c r="BA203" s="88"/>
      <c r="BB203" s="88"/>
      <c r="BC203" s="88" t="e">
        <f t="shared" si="42"/>
        <v>#N/A</v>
      </c>
      <c r="BD203" s="88" t="e">
        <f t="shared" si="43"/>
        <v>#N/A</v>
      </c>
      <c r="BE203" s="88" t="e">
        <f t="shared" si="44"/>
        <v>#N/A</v>
      </c>
      <c r="BF203" s="88" t="e">
        <f t="shared" si="45"/>
        <v>#N/A</v>
      </c>
      <c r="BG203" s="88" t="e">
        <f t="shared" si="46"/>
        <v>#N/A</v>
      </c>
      <c r="BH203" s="88" t="e">
        <f t="shared" si="47"/>
        <v>#N/A</v>
      </c>
      <c r="BI203" s="88" t="e">
        <f t="shared" si="48"/>
        <v>#N/A</v>
      </c>
      <c r="BJ203" s="88" t="e">
        <f t="shared" si="49"/>
        <v>#N/A</v>
      </c>
      <c r="BK203" s="148" t="e">
        <f t="shared" si="50"/>
        <v>#N/A</v>
      </c>
      <c r="BL203" s="179" t="e">
        <f>(Tableau13[[#This Row],[mars-20]]-Tableau13[[#This Row],[dec-19]])/Tableau13[[#This Row],[dec-19]]</f>
        <v>#N/A</v>
      </c>
      <c r="BM203" s="88" t="e">
        <f>Tableau13[[#This Row],[mars-20]]-Tableau13[[#This Row],[dec-19]]</f>
        <v>#N/A</v>
      </c>
      <c r="BN203" s="1"/>
      <c r="BO203" s="2" t="e">
        <f>VLOOKUP($B203,$B$2:$WO$59,66,0)+VLOOKUP($B203,$B$73:$WO$157,66,0)+VLOOKUP($B203,$B$163:$WO$188,66,0)</f>
        <v>#N/A</v>
      </c>
      <c r="BP203" s="2">
        <f>BP38+BP78+BP120</f>
        <v>0</v>
      </c>
      <c r="BQ203" s="2">
        <f t="shared" ref="BQ203:BR205" si="55">BQ36+BQ77+BQ119</f>
        <v>0</v>
      </c>
      <c r="BR203" s="2">
        <f t="shared" si="55"/>
        <v>0</v>
      </c>
      <c r="BS203" s="2">
        <f>SUM(BS36,BS77,BS119)</f>
        <v>0</v>
      </c>
      <c r="BT203" s="2">
        <f>SUM(BT36+BT77+BT119+BT161)</f>
        <v>0</v>
      </c>
      <c r="BU203" s="2">
        <f>BU36+BU77+BU119+BU161</f>
        <v>38369</v>
      </c>
      <c r="BV203" s="2">
        <f>SUM(BV36+BV77+BV119+BV166)</f>
        <v>43958</v>
      </c>
      <c r="BW203" s="2">
        <f>SUM(BW36+BW77+BW119+BW166)</f>
        <v>47992</v>
      </c>
      <c r="BY203" s="554">
        <f>(Tableau13[[#This Row],[juin-24]]-Tableau13[[#This Row],[avr-24]])/Tableau13[[#This Row],[avr-24]]</f>
        <v>9.1769416260976386E-2</v>
      </c>
      <c r="BZ203" s="548">
        <f>Tableau13[[#This Row],[juin-24]]-Tableau13[[#This Row],[avr-24]]</f>
        <v>4034</v>
      </c>
      <c r="CA203" s="578"/>
    </row>
    <row r="204" spans="1:79" ht="16.5" x14ac:dyDescent="0.3">
      <c r="A204" s="123"/>
      <c r="B204" s="528" t="s">
        <v>372</v>
      </c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>
        <f t="shared" si="54"/>
        <v>0</v>
      </c>
      <c r="AU204" s="88">
        <f t="shared" si="54"/>
        <v>0</v>
      </c>
      <c r="AV204" s="88">
        <f t="shared" si="54"/>
        <v>0</v>
      </c>
      <c r="AW204" s="88" t="e">
        <f t="shared" si="40"/>
        <v>#N/A</v>
      </c>
      <c r="AX204" s="88"/>
      <c r="AY204" s="88" t="e">
        <f t="shared" si="41"/>
        <v>#N/A</v>
      </c>
      <c r="AZ204" s="88"/>
      <c r="BA204" s="88"/>
      <c r="BB204" s="88"/>
      <c r="BC204" s="88" t="e">
        <f t="shared" si="42"/>
        <v>#N/A</v>
      </c>
      <c r="BD204" s="88" t="e">
        <f t="shared" si="43"/>
        <v>#N/A</v>
      </c>
      <c r="BE204" s="88" t="e">
        <f t="shared" si="44"/>
        <v>#N/A</v>
      </c>
      <c r="BF204" s="88" t="e">
        <f t="shared" si="45"/>
        <v>#N/A</v>
      </c>
      <c r="BG204" s="88" t="e">
        <f t="shared" si="46"/>
        <v>#N/A</v>
      </c>
      <c r="BH204" s="88" t="e">
        <f t="shared" si="47"/>
        <v>#N/A</v>
      </c>
      <c r="BI204" s="88" t="e">
        <f t="shared" si="48"/>
        <v>#N/A</v>
      </c>
      <c r="BJ204" s="88" t="e">
        <f t="shared" si="49"/>
        <v>#N/A</v>
      </c>
      <c r="BK204" s="148" t="e">
        <f t="shared" si="50"/>
        <v>#N/A</v>
      </c>
      <c r="BL204" s="179" t="e">
        <f>(Tableau13[[#This Row],[mars-20]]-Tableau13[[#This Row],[dec-19]])/Tableau13[[#This Row],[dec-19]]</f>
        <v>#N/A</v>
      </c>
      <c r="BM204" s="88" t="e">
        <f>Tableau13[[#This Row],[mars-20]]-Tableau13[[#This Row],[dec-19]]</f>
        <v>#N/A</v>
      </c>
      <c r="BN204" s="1"/>
      <c r="BO204" s="2" t="e">
        <f>VLOOKUP($B204,$B$2:$WO$59,66,0)+VLOOKUP($B204,$B$73:$WO$157,66,0)+VLOOKUP($B204,$B$163:$WO$188,66,0)</f>
        <v>#N/A</v>
      </c>
      <c r="BP204" s="2">
        <f>BP38+BP80+BP122</f>
        <v>0</v>
      </c>
      <c r="BQ204" s="2">
        <f t="shared" si="55"/>
        <v>0</v>
      </c>
      <c r="BR204" s="2">
        <f t="shared" si="55"/>
        <v>0</v>
      </c>
      <c r="BS204" s="2">
        <f>SUM(BS37,BS78,BS120)</f>
        <v>0</v>
      </c>
      <c r="BT204" s="2">
        <f>SUM(BT37+BT78+BT120+BT162)</f>
        <v>0</v>
      </c>
      <c r="BU204" s="2">
        <f>BU37+BU78+BU120+BU162</f>
        <v>109300</v>
      </c>
      <c r="BV204" s="2">
        <f t="shared" ref="BV204" si="56">BV37+BV78+BV120+BV162</f>
        <v>89188</v>
      </c>
      <c r="BW204" s="2">
        <f>BW37+BW78+BW120+BW162</f>
        <v>97055</v>
      </c>
      <c r="BY204" s="554">
        <f>(Tableau13[[#This Row],[juin-24]]-Tableau13[[#This Row],[avr-24]])/Tableau13[[#This Row],[avr-24]]</f>
        <v>8.8206933668206491E-2</v>
      </c>
      <c r="BZ204" s="548">
        <f>Tableau13[[#This Row],[juin-24]]-Tableau13[[#This Row],[avr-24]]</f>
        <v>7867</v>
      </c>
      <c r="CA204" s="578"/>
    </row>
    <row r="205" spans="1:79" ht="16.5" x14ac:dyDescent="0.3">
      <c r="A205" s="123"/>
      <c r="B205" s="528" t="s">
        <v>374</v>
      </c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>
        <f t="shared" si="54"/>
        <v>0</v>
      </c>
      <c r="AU205" s="88">
        <f t="shared" si="54"/>
        <v>0</v>
      </c>
      <c r="AV205" s="88">
        <f t="shared" si="54"/>
        <v>0</v>
      </c>
      <c r="AW205" s="88" t="e">
        <f t="shared" si="40"/>
        <v>#N/A</v>
      </c>
      <c r="AX205" s="88"/>
      <c r="AY205" s="88" t="e">
        <f t="shared" si="41"/>
        <v>#N/A</v>
      </c>
      <c r="AZ205" s="88"/>
      <c r="BA205" s="88"/>
      <c r="BB205" s="88"/>
      <c r="BC205" s="88" t="e">
        <f t="shared" si="42"/>
        <v>#N/A</v>
      </c>
      <c r="BD205" s="88" t="e">
        <f t="shared" si="43"/>
        <v>#N/A</v>
      </c>
      <c r="BE205" s="88" t="e">
        <f t="shared" si="44"/>
        <v>#N/A</v>
      </c>
      <c r="BF205" s="88" t="e">
        <f t="shared" si="45"/>
        <v>#N/A</v>
      </c>
      <c r="BG205" s="88" t="e">
        <f t="shared" si="46"/>
        <v>#N/A</v>
      </c>
      <c r="BH205" s="88" t="e">
        <f t="shared" si="47"/>
        <v>#N/A</v>
      </c>
      <c r="BI205" s="88" t="e">
        <f t="shared" si="48"/>
        <v>#N/A</v>
      </c>
      <c r="BJ205" s="88" t="e">
        <f t="shared" si="49"/>
        <v>#N/A</v>
      </c>
      <c r="BK205" s="148" t="e">
        <f t="shared" si="50"/>
        <v>#N/A</v>
      </c>
      <c r="BL205" s="179" t="e">
        <f>(Tableau13[[#This Row],[mars-20]]-Tableau13[[#This Row],[dec-19]])/Tableau13[[#This Row],[dec-19]]</f>
        <v>#N/A</v>
      </c>
      <c r="BM205" s="88" t="e">
        <f>Tableau13[[#This Row],[mars-20]]-Tableau13[[#This Row],[dec-19]]</f>
        <v>#N/A</v>
      </c>
      <c r="BN205" s="1"/>
      <c r="BO205" s="2" t="e">
        <f>VLOOKUP($B205,$B$2:$WO$59,66,0)+VLOOKUP($B205,$B$73:$WO$157,66,0)+VLOOKUP($B205,$B$163:$WO$188,66,0)</f>
        <v>#N/A</v>
      </c>
      <c r="BP205" s="2" t="e">
        <f>#REF!+BP80+BP122</f>
        <v>#REF!</v>
      </c>
      <c r="BQ205" s="2">
        <f t="shared" si="55"/>
        <v>0</v>
      </c>
      <c r="BR205" s="2">
        <f t="shared" si="55"/>
        <v>0</v>
      </c>
      <c r="BS205" s="2">
        <f>SUM(BS38,BS79,BS121)</f>
        <v>0</v>
      </c>
      <c r="BT205" s="2">
        <f>SUM(BT38+BT79+BT121+BT163)</f>
        <v>0</v>
      </c>
      <c r="BU205" s="2">
        <f>BU38+BU79+BU121+BU163</f>
        <v>524140</v>
      </c>
      <c r="BV205" s="2">
        <f t="shared" ref="BV205:BW205" si="57">BV38+BV79+BV121+BV163</f>
        <v>523825</v>
      </c>
      <c r="BW205" s="2">
        <f t="shared" si="57"/>
        <v>526343</v>
      </c>
      <c r="BY205" s="554">
        <f>(Tableau13[[#This Row],[juin-24]]-Tableau13[[#This Row],[avr-24]])/Tableau13[[#This Row],[avr-24]]</f>
        <v>4.8069488856011073E-3</v>
      </c>
      <c r="BZ205" s="548">
        <f>Tableau13[[#This Row],[juin-24]]-Tableau13[[#This Row],[avr-24]]</f>
        <v>2518</v>
      </c>
    </row>
    <row r="206" spans="1:79" ht="14.1" customHeight="1" x14ac:dyDescent="0.3">
      <c r="A206" s="362"/>
      <c r="B206" s="366" t="s">
        <v>332</v>
      </c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  <c r="AE206" s="149"/>
      <c r="AF206" s="149"/>
      <c r="AG206" s="149"/>
      <c r="AH206" s="149"/>
      <c r="AI206" s="149"/>
      <c r="AJ206" s="149"/>
      <c r="AK206" s="149"/>
      <c r="AL206" s="149"/>
      <c r="AM206" s="149"/>
      <c r="AN206" s="149"/>
      <c r="AO206" s="149"/>
      <c r="AP206" s="149"/>
      <c r="AQ206" s="149"/>
      <c r="AR206" s="149"/>
      <c r="AS206" s="149"/>
      <c r="AT206" s="149"/>
      <c r="AU206" s="149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222"/>
      <c r="BL206" s="209"/>
      <c r="BM206" s="149"/>
      <c r="BN206" s="1"/>
      <c r="BO206" s="2"/>
      <c r="BP206" s="2"/>
      <c r="BQ206" s="2"/>
      <c r="BR206" s="2"/>
      <c r="BS206" s="2"/>
      <c r="BT206" s="2" t="e">
        <f>SUM(#REF!+BT80+BT122+#REF!)</f>
        <v>#REF!</v>
      </c>
      <c r="BU206" s="2">
        <f t="shared" ref="BU206:BV206" si="58">BU80+BU122</f>
        <v>749</v>
      </c>
      <c r="BV206" s="2">
        <f t="shared" si="58"/>
        <v>762</v>
      </c>
      <c r="BW206" s="2">
        <f>BW80+BW122</f>
        <v>763</v>
      </c>
      <c r="BY206" s="554">
        <f>(Tableau13[[#This Row],[juin-24]]-Tableau13[[#This Row],[avr-24]])/Tableau13[[#This Row],[avr-24]]</f>
        <v>1.3123359580052493E-3</v>
      </c>
      <c r="BZ206" s="548">
        <f>Tableau13[[#This Row],[juin-24]]-Tableau13[[#This Row],[avr-24]]</f>
        <v>1</v>
      </c>
    </row>
    <row r="207" spans="1:79" ht="16.5" x14ac:dyDescent="0.3">
      <c r="A207" s="366" t="s">
        <v>329</v>
      </c>
      <c r="B207" s="369"/>
      <c r="C207" s="574"/>
      <c r="D207" s="574"/>
      <c r="E207" s="574"/>
      <c r="F207" s="574"/>
      <c r="G207" s="574"/>
      <c r="H207" s="574"/>
      <c r="I207" s="574"/>
      <c r="J207" s="574"/>
      <c r="K207" s="574"/>
      <c r="L207" s="574"/>
      <c r="M207" s="574"/>
      <c r="N207" s="574"/>
      <c r="O207" s="574"/>
      <c r="P207" s="574"/>
      <c r="Q207" s="574"/>
      <c r="R207" s="574"/>
      <c r="S207" s="574"/>
      <c r="T207" s="574"/>
      <c r="U207" s="574"/>
      <c r="V207" s="574"/>
      <c r="W207" s="574"/>
      <c r="X207" s="574"/>
      <c r="Y207" s="574"/>
      <c r="Z207" s="574"/>
      <c r="AA207" s="574"/>
      <c r="AB207" s="574"/>
      <c r="AC207" s="574"/>
      <c r="AD207" s="574"/>
      <c r="AE207" s="574"/>
      <c r="AF207" s="574"/>
      <c r="AG207" s="574"/>
      <c r="AH207" s="574"/>
      <c r="AI207" s="574"/>
      <c r="AJ207" s="574"/>
      <c r="AK207" s="574"/>
      <c r="AL207" s="574"/>
      <c r="AM207" s="574"/>
      <c r="AN207" s="574"/>
      <c r="AO207" s="574"/>
      <c r="AP207" s="574"/>
      <c r="AQ207" s="574"/>
      <c r="AR207" s="574"/>
      <c r="AS207" s="574"/>
      <c r="AT207" s="574">
        <f>AT39+AT81+AT123</f>
        <v>19994928</v>
      </c>
      <c r="AU207" s="574">
        <f>AU39+AU81+AU123</f>
        <v>20233097</v>
      </c>
      <c r="AV207" s="574">
        <f>AV39+AV81+AV123</f>
        <v>20441203</v>
      </c>
      <c r="AW207" s="574" t="e">
        <f>VLOOKUP($B207,$B$2:$WO$59,48,0)+VLOOKUP($B207,$B$73:$WO$157,48,0)+VLOOKUP($B207,$B$163:$WO$189,48,0)</f>
        <v>#N/A</v>
      </c>
      <c r="AX207" s="574"/>
      <c r="AY207" s="574" t="e">
        <f>VLOOKUP($B207,$B$2:$WO$59,50,0)+VLOOKUP($B207,$B$73:$WO$157,50,0)+VLOOKUP($B207,$B$163:$WO$189,50,0)</f>
        <v>#N/A</v>
      </c>
      <c r="AZ207" s="574"/>
      <c r="BA207" s="574"/>
      <c r="BB207" s="574">
        <f t="shared" ref="BB207:BS207" si="59">SUM(BB168:BB201)</f>
        <v>12733786</v>
      </c>
      <c r="BC207" s="574" t="e">
        <f t="shared" si="59"/>
        <v>#N/A</v>
      </c>
      <c r="BD207" s="574" t="e">
        <f t="shared" si="59"/>
        <v>#N/A</v>
      </c>
      <c r="BE207" s="574" t="e">
        <f t="shared" si="59"/>
        <v>#N/A</v>
      </c>
      <c r="BF207" s="574" t="e">
        <f t="shared" si="59"/>
        <v>#N/A</v>
      </c>
      <c r="BG207" s="574" t="e">
        <f t="shared" si="59"/>
        <v>#N/A</v>
      </c>
      <c r="BH207" s="574" t="e">
        <f t="shared" si="59"/>
        <v>#N/A</v>
      </c>
      <c r="BI207" s="574" t="e">
        <f t="shared" si="59"/>
        <v>#N/A</v>
      </c>
      <c r="BJ207" s="574" t="e">
        <f t="shared" si="59"/>
        <v>#N/A</v>
      </c>
      <c r="BK207" s="575" t="e">
        <f t="shared" si="59"/>
        <v>#N/A</v>
      </c>
      <c r="BL207" s="576" t="e">
        <f t="shared" si="59"/>
        <v>#N/A</v>
      </c>
      <c r="BM207" s="574" t="e">
        <f t="shared" si="59"/>
        <v>#N/A</v>
      </c>
      <c r="BN207" s="574">
        <f t="shared" si="59"/>
        <v>15652143</v>
      </c>
      <c r="BO207" s="574" t="e">
        <f t="shared" si="59"/>
        <v>#N/A</v>
      </c>
      <c r="BP207" s="574">
        <f t="shared" si="59"/>
        <v>26070883</v>
      </c>
      <c r="BQ207" s="574">
        <f t="shared" si="59"/>
        <v>26899947</v>
      </c>
      <c r="BR207" s="574">
        <f t="shared" si="59"/>
        <v>26979514</v>
      </c>
      <c r="BS207" s="574">
        <f t="shared" si="59"/>
        <v>28161816</v>
      </c>
      <c r="BT207" s="514" t="e">
        <f>SUM(BT168:BT206)</f>
        <v>#REF!</v>
      </c>
      <c r="BU207" s="514">
        <f>SUM(BU168:BU206)</f>
        <v>29986594</v>
      </c>
      <c r="BV207" s="514">
        <f t="shared" ref="BV207:BW207" si="60">SUM(BV168:BV206)</f>
        <v>29667281</v>
      </c>
      <c r="BW207" s="514">
        <f t="shared" si="60"/>
        <v>30363373</v>
      </c>
      <c r="BX207" s="340"/>
      <c r="BY207" s="555">
        <f>(Tableau13[[#This Row],[juin-24]]-Tableau13[[#This Row],[avr-24]])/Tableau13[[#This Row],[avr-24]]</f>
        <v>2.346328940626544E-2</v>
      </c>
      <c r="BZ207" s="556">
        <f>Tableau13[[#This Row],[juin-24]]-Tableau13[[#This Row],[avr-24]]</f>
        <v>696092</v>
      </c>
    </row>
    <row r="208" spans="1:79" ht="17.25" thickBot="1" x14ac:dyDescent="0.35">
      <c r="A208" s="261"/>
      <c r="B208" s="45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363"/>
      <c r="BU208" s="363"/>
      <c r="BV208" s="363"/>
      <c r="BW208" s="363"/>
      <c r="BY208" s="364"/>
    </row>
    <row r="209" spans="1:77" ht="314.25" thickBot="1" x14ac:dyDescent="0.35">
      <c r="A209" s="27" t="s">
        <v>133</v>
      </c>
      <c r="B209" s="9"/>
      <c r="BT209" s="208"/>
      <c r="BU209" s="208"/>
      <c r="BV209" s="208"/>
      <c r="BW209" s="208"/>
      <c r="BX209" s="208"/>
      <c r="BY209" s="211"/>
    </row>
    <row r="210" spans="1:77" ht="17.25" thickBot="1" x14ac:dyDescent="0.35">
      <c r="A210" s="9"/>
      <c r="B210" s="9"/>
      <c r="BT210" s="208"/>
      <c r="BU210" s="208"/>
      <c r="BV210" s="208"/>
      <c r="BW210" s="208"/>
      <c r="BX210" s="208"/>
      <c r="BY210" s="211"/>
    </row>
    <row r="211" spans="1:77" ht="149.25" thickBot="1" x14ac:dyDescent="0.35">
      <c r="A211" s="28" t="s">
        <v>134</v>
      </c>
      <c r="B211" s="25"/>
      <c r="BT211" s="208"/>
      <c r="BU211" s="208"/>
      <c r="BV211" s="208"/>
      <c r="BW211" s="208"/>
      <c r="BX211" s="208"/>
      <c r="BY211" s="211"/>
    </row>
    <row r="212" spans="1:77" ht="17.25" thickBot="1" x14ac:dyDescent="0.35">
      <c r="BT212" s="208"/>
      <c r="BU212" s="208"/>
      <c r="BV212" s="208"/>
      <c r="BW212" s="208"/>
      <c r="BX212" s="208"/>
      <c r="BY212" s="211"/>
    </row>
    <row r="213" spans="1:77" ht="347.25" thickBot="1" x14ac:dyDescent="0.35">
      <c r="A213" s="26" t="s">
        <v>135</v>
      </c>
      <c r="BT213" s="208"/>
      <c r="BU213" s="208"/>
      <c r="BV213" s="208"/>
      <c r="BW213" s="208"/>
      <c r="BX213" s="208"/>
      <c r="BY213" s="211"/>
    </row>
    <row r="214" spans="1:77" ht="16.5" x14ac:dyDescent="0.3">
      <c r="BT214" s="208"/>
      <c r="BU214" s="208"/>
      <c r="BV214" s="208"/>
      <c r="BW214" s="208"/>
      <c r="BX214" s="208"/>
      <c r="BY214" s="211"/>
    </row>
    <row r="215" spans="1:77" ht="16.5" x14ac:dyDescent="0.3">
      <c r="BT215" s="208"/>
      <c r="BU215" s="208"/>
      <c r="BV215" s="208"/>
      <c r="BW215" s="208"/>
      <c r="BX215" s="208"/>
      <c r="BY215" s="211"/>
    </row>
    <row r="216" spans="1:77" ht="16.5" x14ac:dyDescent="0.3">
      <c r="BT216" s="208"/>
      <c r="BU216" s="208"/>
      <c r="BV216" s="208"/>
      <c r="BW216" s="208"/>
      <c r="BX216" s="208"/>
      <c r="BY216" s="211"/>
    </row>
    <row r="217" spans="1:77" ht="16.5" x14ac:dyDescent="0.3">
      <c r="BT217" s="208"/>
      <c r="BU217" s="208"/>
      <c r="BV217" s="208"/>
      <c r="BW217" s="208"/>
      <c r="BX217" s="208"/>
      <c r="BY217" s="211"/>
    </row>
    <row r="218" spans="1:77" ht="16.5" x14ac:dyDescent="0.3">
      <c r="BT218" s="208"/>
      <c r="BU218" s="208"/>
      <c r="BV218" s="208"/>
      <c r="BW218" s="208"/>
      <c r="BX218" s="208"/>
      <c r="BY218" s="211"/>
    </row>
    <row r="219" spans="1:77" ht="16.5" x14ac:dyDescent="0.3">
      <c r="BT219" s="208"/>
      <c r="BU219" s="208"/>
      <c r="BV219" s="208"/>
      <c r="BW219" s="208"/>
      <c r="BX219" s="208"/>
      <c r="BY219" s="211"/>
    </row>
    <row r="220" spans="1:77" ht="16.5" x14ac:dyDescent="0.3">
      <c r="BT220" s="208"/>
      <c r="BU220" s="208"/>
      <c r="BV220" s="208"/>
      <c r="BW220" s="208"/>
      <c r="BX220" s="208"/>
      <c r="BY220" s="211"/>
    </row>
    <row r="221" spans="1:77" ht="16.5" x14ac:dyDescent="0.3">
      <c r="BT221" s="208"/>
      <c r="BU221" s="208"/>
      <c r="BV221" s="208"/>
      <c r="BW221" s="208"/>
      <c r="BX221" s="208"/>
      <c r="BY221" s="211"/>
    </row>
    <row r="222" spans="1:77" ht="16.5" x14ac:dyDescent="0.3">
      <c r="BT222" s="208"/>
      <c r="BU222" s="208"/>
      <c r="BV222" s="208"/>
      <c r="BW222" s="208"/>
      <c r="BX222" s="208"/>
      <c r="BY222" s="211"/>
    </row>
    <row r="223" spans="1:77" ht="16.5" x14ac:dyDescent="0.3">
      <c r="BT223" s="208"/>
      <c r="BU223" s="208"/>
      <c r="BV223" s="208"/>
      <c r="BW223" s="208"/>
      <c r="BX223" s="208"/>
      <c r="BY223" s="211"/>
    </row>
    <row r="224" spans="1:77" ht="16.5" x14ac:dyDescent="0.3">
      <c r="BT224" s="208"/>
      <c r="BU224" s="208"/>
      <c r="BV224" s="208"/>
      <c r="BW224" s="208"/>
      <c r="BX224" s="208"/>
      <c r="BY224" s="211"/>
    </row>
    <row r="225" spans="72:77" ht="16.5" x14ac:dyDescent="0.3">
      <c r="BT225" s="208"/>
      <c r="BU225" s="208"/>
      <c r="BV225" s="208"/>
      <c r="BW225" s="208"/>
      <c r="BX225" s="208"/>
      <c r="BY225" s="211"/>
    </row>
    <row r="226" spans="72:77" ht="16.5" x14ac:dyDescent="0.3">
      <c r="BT226" s="208"/>
      <c r="BU226" s="264"/>
      <c r="BV226" s="264"/>
      <c r="BW226" s="264"/>
      <c r="BX226" s="264"/>
    </row>
    <row r="227" spans="72:77" ht="16.5" x14ac:dyDescent="0.3">
      <c r="BT227" s="208"/>
      <c r="BU227" s="264"/>
      <c r="BV227" s="264"/>
      <c r="BW227" s="264"/>
      <c r="BX227" s="264"/>
    </row>
    <row r="228" spans="72:77" ht="16.5" x14ac:dyDescent="0.3">
      <c r="BT228" s="208"/>
      <c r="BU228" s="264"/>
      <c r="BV228" s="264"/>
      <c r="BW228" s="264"/>
      <c r="BX228" s="264"/>
    </row>
  </sheetData>
  <phoneticPr fontId="32" type="noConversion"/>
  <conditionalFormatting sqref="BL2:BL39">
    <cfRule type="colorScale" priority="189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L43:BL80">
    <cfRule type="colorScale" priority="4297">
      <colorScale>
        <cfvo type="min"/>
        <cfvo type="num" val="#REF!"/>
        <cfvo type="max"/>
        <color rgb="FFF8696B"/>
        <color rgb="FFFCFCFF"/>
        <color rgb="FF63BE7B"/>
      </colorScale>
    </cfRule>
  </conditionalFormatting>
  <conditionalFormatting sqref="BL85:BL121">
    <cfRule type="colorScale" priority="430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L127:BL163">
    <cfRule type="colorScale" priority="430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2:BM39">
    <cfRule type="colorScale" priority="189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43:BM80">
    <cfRule type="colorScale" priority="4299">
      <colorScale>
        <cfvo type="min"/>
        <cfvo type="num" val="#REF!"/>
        <cfvo type="max"/>
        <color rgb="FFF8696B"/>
        <color rgb="FFFCFCFF"/>
        <color rgb="FF63BE7B"/>
      </colorScale>
    </cfRule>
  </conditionalFormatting>
  <conditionalFormatting sqref="BM85:BM121">
    <cfRule type="colorScale" priority="430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M127:BM163">
    <cfRule type="colorScale" priority="430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T208:BW208 BY167">
    <cfRule type="colorScale" priority="15">
      <colorScale>
        <cfvo type="min"/>
        <cfvo type="num" val="0"/>
        <cfvo type="max"/>
        <color rgb="FFFF0000"/>
        <color theme="0"/>
        <color rgb="FF00B050"/>
      </colorScale>
    </cfRule>
  </conditionalFormatting>
  <conditionalFormatting sqref="BT209:BX228 BT71:BT79 BT124:BX125 BP40:BX40 BY124 BY167 BX71:BX79 BT208:BW208">
    <cfRule type="colorScale" priority="19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X126:BX165">
    <cfRule type="colorScale" priority="43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X167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2:BY39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43:BY81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85:BY123">
    <cfRule type="colorScale" priority="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127:BY164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168:BY207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Y208:BY225 BY125 BY40 BZ167">
    <cfRule type="colorScale" priority="188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2:BZ39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43:BZ81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85:BZ123">
    <cfRule type="colorScale" priority="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127:BZ164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Z168:BZ207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hyperlinks>
    <hyperlink ref="B22" r:id="rId1" display="TEAM NOVO NORDISK (TNN)" xr:uid="{65321EC1-6ABC-4FEB-BC6F-F2BCB44D24B5}"/>
    <hyperlink ref="B13" r:id="rId2" xr:uid="{9A43E385-4678-44D7-AC3A-6E1E32EF4B9E}"/>
    <hyperlink ref="B24" r:id="rId3" display="TREK-SEGAFREDO (TFR)" xr:uid="{3DA4F68F-7369-4834-A886-B3DD036A9882}"/>
    <hyperlink ref="B17" r:id="rId4" display="MOVISTAR TEAM (MOV)" xr:uid="{53C193A4-F702-480C-8E6B-87240704D117}"/>
    <hyperlink ref="B10" r:id="rId5" xr:uid="{866AC4BC-B527-435E-B9C6-B348B2F64841}"/>
    <hyperlink ref="B4" r:id="rId6" display="ASTANA PREMIER TECH" xr:uid="{F949F3B3-99B7-43DB-90C9-140154F06C85}"/>
    <hyperlink ref="B11" r:id="rId7" display="EF EDUCATION Nippo" xr:uid="{D2EC9A33-289A-4069-A34B-E5FE1B7C54C2}"/>
    <hyperlink ref="B19" r:id="rId8" display="MITCHELTON - SCOTT " xr:uid="{02BC1A8B-AF95-4C3E-8DC1-D9C91215F7CE}"/>
    <hyperlink ref="B21" r:id="rId9" xr:uid="{E1F49F7A-919B-4617-A96E-A26CB2BAC98F}"/>
    <hyperlink ref="B2" r:id="rId10" xr:uid="{71AF4973-7F8D-49C0-85CA-E64EFA09A067}"/>
    <hyperlink ref="B16" r:id="rId11" display="LOTTO SOUDAL (LTS)" xr:uid="{58788E68-EC98-4F3D-9616-181777850434}"/>
    <hyperlink ref="B23" r:id="rId12" xr:uid="{6614224E-6E80-4EB4-87B6-CF6310E3F0D9}"/>
    <hyperlink ref="B7" r:id="rId13" display="BORA - HANSGROHE (BOH)" xr:uid="{C571FC40-E394-45AF-AA5A-567908E8DE34}"/>
    <hyperlink ref="B20" r:id="rId14" xr:uid="{4A2A3286-43F2-4318-BE09-1BED032C1DD5}"/>
    <hyperlink ref="B12" r:id="rId15" display="GROUPAMA- FDJ (FDJ)" xr:uid="{5FE2901F-3C27-470E-9A04-39DA88C9BC62}"/>
    <hyperlink ref="B9" r:id="rId16" display="COFIDIS, SOLUTIONS CREDITS (COF)" xr:uid="{F32C396C-529C-4024-933F-0A02D5E15A09}"/>
    <hyperlink ref="B6" r:id="rId17" xr:uid="{897513CA-C766-411A-BF27-10614232D890}"/>
    <hyperlink ref="B18" r:id="rId18" display="ARKEA-SAMSIC" xr:uid="{F952A038-3B10-47E4-BFCA-84BD9F0E343D}"/>
    <hyperlink ref="B14" r:id="rId19" xr:uid="{DDE76603-CD8A-447D-81D9-116E252E12E7}"/>
    <hyperlink ref="B5" r:id="rId20" display="B&amp;B Hotels p/b KTM " xr:uid="{2F3DB8B7-FD1B-40E5-8725-DA4918AEBC1E}"/>
    <hyperlink ref="B54" r:id="rId21" xr:uid="{35FAC86D-3FB7-433C-B926-07EF43CF7BAC}"/>
    <hyperlink ref="B58" r:id="rId22" display="MOVISTAR TEAM (MOV)" xr:uid="{F7836AC8-0449-459C-89AB-59EEC70D92D0}"/>
    <hyperlink ref="B63" r:id="rId23" display="TEAM NOVO NORDISK (TNN)" xr:uid="{23B23147-155E-47A9-BA0F-2E25FC8432A4}"/>
    <hyperlink ref="B52" r:id="rId24" display="EF EDUCATION Nippo" xr:uid="{2AC4BF0A-5A7D-428E-9027-FE5B3842D1EE}"/>
    <hyperlink ref="B65" r:id="rId25" xr:uid="{A6820B88-BC05-4DBA-A7BE-ED0536CA2431}"/>
    <hyperlink ref="B60" r:id="rId26" xr:uid="{E833A100-DD3C-4F2F-B317-58C924168DE9}"/>
    <hyperlink ref="B45" r:id="rId27" xr:uid="{8A51CCA0-A85D-4F66-97BF-9E2283BB2C51}"/>
    <hyperlink ref="B61" r:id="rId28" xr:uid="{4A893408-B332-4A21-B70C-77FB5B874BF6}"/>
    <hyperlink ref="B57" r:id="rId29" display="LOTTO SOUDAL (LTS)" xr:uid="{95B906C7-4F11-48A5-B8B0-7B57CB6E16C3}"/>
    <hyperlink ref="B62" r:id="rId30" xr:uid="{86269AAA-6BC1-4669-800C-8DC0E3E88415}"/>
    <hyperlink ref="B43" r:id="rId31" display="AG2R LA MONDIALE" xr:uid="{001603BF-C73C-4F59-BC39-7A82A1E6855E}"/>
    <hyperlink ref="B53" r:id="rId32" display="FDJ (FDJ)" xr:uid="{C2D2C07B-5DBD-4DF7-AC1A-612E2AD18E16}"/>
    <hyperlink ref="B64" r:id="rId33" display="TEAM TOTAL DIRECT ENERGIE" xr:uid="{455A2BCF-9B8D-4B16-99E1-1BEC8CA06A45}"/>
    <hyperlink ref="B48" r:id="rId34" display="BORA - HANSGROHE (BOH)" xr:uid="{09EFB6F8-9386-4427-A8F6-281FB96C2531}"/>
    <hyperlink ref="B50" r:id="rId35" xr:uid="{EE9ED110-EB62-40FA-8037-4694B60262DF}"/>
    <hyperlink ref="B59" r:id="rId36" xr:uid="{FFE88E9C-5F3B-4A23-A404-0AA4E3BEDE49}"/>
    <hyperlink ref="B49" r:id="rId37" xr:uid="{735C9A30-9B5B-493D-B450-B55BB4E5877B}"/>
    <hyperlink ref="B47" r:id="rId38" xr:uid="{23E1ACC5-EB68-4545-BA74-971E853BE769}"/>
    <hyperlink ref="B51" r:id="rId39" xr:uid="{8F426491-1FAE-4ACF-9310-00EFA365F116}"/>
    <hyperlink ref="B55" r:id="rId40" xr:uid="{4584AB81-B5EB-47E4-BB27-62D87F9B90AF}"/>
    <hyperlink ref="B46" r:id="rId41" xr:uid="{C8E07F7D-9685-4098-9E8A-17AE79F359D8}"/>
    <hyperlink ref="B96" r:id="rId42" xr:uid="{2145965E-6F25-4F7B-95AF-FED58A7C9B61}"/>
    <hyperlink ref="B100" r:id="rId43" display="MOVISTAR TEAM (MOV)" xr:uid="{A8813D0B-1431-45C9-8BE2-B88093FEA175}"/>
    <hyperlink ref="B107" r:id="rId44" display="TREK-SEGAFREDO (TFR)" xr:uid="{983FBF9D-5F5D-45FB-956B-99996EF50B77}"/>
    <hyperlink ref="B103" r:id="rId45" xr:uid="{FEEF6151-F942-4A6B-8D0C-3BD615E6811A}"/>
    <hyperlink ref="B87" r:id="rId46" xr:uid="{B7A5E59A-FB65-4FCB-9F09-341F85D9C78D}"/>
    <hyperlink ref="B94" r:id="rId47" display="EF EDUCATION FIRST" xr:uid="{BB71D23F-1BA1-4278-9724-5DE7270B99D4}"/>
    <hyperlink ref="B102" r:id="rId48" xr:uid="{7844E22C-FA5D-4933-AEAE-E118FB174DD9}"/>
    <hyperlink ref="B90" r:id="rId49" display="BORA - HANSGROHE (BOH)" xr:uid="{287A75AE-EC00-4D85-AFBF-BCB7C5C185B1}"/>
    <hyperlink ref="B85" r:id="rId50" xr:uid="{314F0511-D82C-4C5D-819E-AE4D6E814B91}"/>
    <hyperlink ref="B105" r:id="rId51" display="TEAM NOVO NORDISK (TNN)" xr:uid="{069DA891-6F24-4FA5-A1FA-883394B5C828}"/>
    <hyperlink ref="B99" r:id="rId52" display="LOTTO SOUDAL (LTS)" xr:uid="{A634DDB8-39D0-4E56-A3CC-C3A69FF54CE7}"/>
    <hyperlink ref="B89" r:id="rId53" display="BAHRAIN - MCLAREN" xr:uid="{9FF69FE2-977A-45EB-8782-DB7C52889A19}"/>
    <hyperlink ref="B95" r:id="rId54" display="FDJ (FDJ)" xr:uid="{8A1A0881-A910-4F2B-9C5B-B57E630B68EE}"/>
    <hyperlink ref="B92" r:id="rId55" display="COFIDIS, SOLUTIONS CREDITS (COF)" xr:uid="{3B0DD900-5DC2-461B-9246-F88DA90354E3}"/>
    <hyperlink ref="B106" r:id="rId56" xr:uid="{BF4E8A35-4F79-4E32-8613-9A565200789C}"/>
    <hyperlink ref="B108" r:id="rId57" display="UAE TEAM EMIRATES " xr:uid="{075AD92C-3204-4B85-8455-3B45656BD68D}"/>
    <hyperlink ref="B88" r:id="rId58" xr:uid="{CAB30D89-C22C-425B-8DF1-225BD8C25562}"/>
    <hyperlink ref="B91" r:id="rId59" display="CAJA RURAL-SEGUROS RGA (CJR)" xr:uid="{8B59E702-AD0E-4AF8-A360-2A6F9A376DA9}"/>
    <hyperlink ref="B101" r:id="rId60" xr:uid="{14F4FF53-496A-4D42-BC56-3D46C2E3283C}"/>
    <hyperlink ref="B104" r:id="rId61" xr:uid="{C98ABB12-1F2B-4C77-A9C7-2E2A5D6FA178}"/>
    <hyperlink ref="B93" r:id="rId62" xr:uid="{88BDE0E2-F571-493A-977E-140CB7BB91E5}"/>
    <hyperlink ref="B97" r:id="rId63" display="Intermarché-Wanty-Gobert" xr:uid="{0AC1ADCC-10EF-4D40-83E5-0C14FDD65F74}"/>
    <hyperlink ref="B3" r:id="rId64" display="Alpecin-Fenix" xr:uid="{92A7080F-0CA7-4009-A8E6-C255D92215EF}"/>
    <hyperlink ref="B25" r:id="rId65" display="UAE TEAM EMIRATES (UAE)" xr:uid="{7BCBD8C4-8090-4602-8C46-89E9FAE1F01C}"/>
    <hyperlink ref="B86" r:id="rId66" xr:uid="{8636BEA3-CFCC-4D6F-B691-291ABCAE087D}"/>
    <hyperlink ref="B8" r:id="rId67" xr:uid="{13575E94-08D8-4997-A212-30681201E2F5}"/>
    <hyperlink ref="B66" r:id="rId68" xr:uid="{37167F7B-4B89-4331-B91D-6D553C54A94B}"/>
    <hyperlink ref="B26" r:id="rId69" xr:uid="{83A0F8C9-7C47-49D8-9F7A-3A98F364A7A9}"/>
    <hyperlink ref="B27" r:id="rId70" display="Equipe Kern-Pharma" xr:uid="{DD542BBA-D642-4277-896A-8B8578B70320}"/>
    <hyperlink ref="B28" r:id="rId71" xr:uid="{0E66A3D8-8309-4D14-8518-DA87340EAD4C}"/>
    <hyperlink ref="B29" r:id="rId72" xr:uid="{B442B9D1-7F9A-4198-AC4C-3C4B3C37CF42}"/>
    <hyperlink ref="B67" r:id="rId73" xr:uid="{6C4AB24B-26D0-4716-8DC5-CA63495CEC38}"/>
    <hyperlink ref="B68" r:id="rId74" xr:uid="{86E4EBDB-74B1-4EDF-9178-FE617DA5102F}"/>
    <hyperlink ref="B69" r:id="rId75" xr:uid="{875E14BD-4275-45FB-A70A-39F91B01A944}"/>
    <hyperlink ref="B70" r:id="rId76" xr:uid="{C5CFDA97-162A-494B-89F0-35EF696DE088}"/>
    <hyperlink ref="B109" r:id="rId77" xr:uid="{FB01A6D2-63A8-439E-A6FA-0BEDD8A12C90}"/>
    <hyperlink ref="B110" r:id="rId78" xr:uid="{601C211E-3479-42B4-ADEE-215E16722880}"/>
    <hyperlink ref="B111" r:id="rId79" xr:uid="{517C553B-A884-4DF9-803B-DD1F7649EFFB}"/>
    <hyperlink ref="B112" r:id="rId80" xr:uid="{73B064B8-2E9B-4EBC-9A18-5A733A15748F}"/>
    <hyperlink ref="B131" r:id="rId81" xr:uid="{D94EA1F0-5B50-4564-AB4F-49ED4DB91103}"/>
    <hyperlink ref="B135" r:id="rId82" xr:uid="{E01C279B-DDE2-4996-92E7-C2E88AE10CBB}"/>
    <hyperlink ref="B134" r:id="rId83" display="ASTANA PREMIER TECH" xr:uid="{2D808039-F910-4E69-BA3A-9059370A99CA}"/>
    <hyperlink ref="B132" r:id="rId84" display="B&amp;B Hotels p/b KTM " xr:uid="{58896D84-F0E9-4D33-B83A-CD7447A3969E}"/>
    <hyperlink ref="B142" r:id="rId85" xr:uid="{880D06BE-1E04-41DA-9C1E-03C72D6C14AD}"/>
    <hyperlink ref="B136" r:id="rId86" xr:uid="{1C994905-A989-45AB-BCF9-D88E8583AC39}"/>
    <hyperlink ref="B127" r:id="rId87" xr:uid="{3C68B191-746B-4E35-A0FF-0E5FFDD8B297}"/>
    <hyperlink ref="B133" r:id="rId88" xr:uid="{D40BCB75-46A7-4CB3-9357-738FC2D64068}"/>
    <hyperlink ref="B140" r:id="rId89" xr:uid="{4C418073-AF06-4053-9659-34D6060C80FD}"/>
    <hyperlink ref="B138" r:id="rId90" xr:uid="{52869E13-CC44-4911-BC6C-5CFEF8F10B7D}"/>
    <hyperlink ref="B139" r:id="rId91" xr:uid="{AEF1C6E2-B9DF-4CC1-8B04-DF00E499494E}"/>
    <hyperlink ref="B128" r:id="rId92" xr:uid="{DE0C450E-633F-4926-9584-8B10A8B2DBFC}"/>
    <hyperlink ref="B144" r:id="rId93" xr:uid="{C8425E6A-3B08-40C2-A6AB-C29401606947}"/>
    <hyperlink ref="B129" r:id="rId94" xr:uid="{BC0F0940-5023-4133-9C21-CFAF7ACA1EAC}"/>
    <hyperlink ref="B143" r:id="rId95" xr:uid="{9EFBA527-C37B-45B9-B22A-008678DD5BF0}"/>
    <hyperlink ref="B145" r:id="rId96" xr:uid="{9A2A4354-E88C-43FB-B7A7-0AC060B2C1F5}"/>
    <hyperlink ref="B30" r:id="rId97" xr:uid="{60F646BA-4045-4D86-8551-9579A679B8E2}"/>
    <hyperlink ref="B31" r:id="rId98" xr:uid="{91C7ABF6-3DB7-4576-9E4E-20D3C04617BF}"/>
    <hyperlink ref="B72" r:id="rId99" xr:uid="{2B2275C5-1A75-4B8A-BDD9-E041FF1C1A4F}"/>
    <hyperlink ref="B114" r:id="rId100" xr:uid="{A93FEEF5-42E7-4617-8B9F-2395583CB9C4}"/>
    <hyperlink ref="B157" r:id="rId101" xr:uid="{BA940754-EAA5-4E73-AB0A-3641C2F5BCFA}"/>
    <hyperlink ref="B197" r:id="rId102" xr:uid="{E76D0BF0-3568-4A2F-90A9-F551E27C92F7}"/>
    <hyperlink ref="B33" r:id="rId103" xr:uid="{3C5EE253-B5EC-42A4-8150-9CD3526F2ADF}"/>
    <hyperlink ref="B32" r:id="rId104" xr:uid="{6AD18619-9881-4C33-A936-DCF88331359C}"/>
    <hyperlink ref="B34" r:id="rId105" xr:uid="{E7EB58E7-E796-4484-891E-8E3584E88508}"/>
    <hyperlink ref="B35" r:id="rId106" xr:uid="{CE2952BB-2D5E-4FE4-BF83-C2C3C120EC45}"/>
    <hyperlink ref="B56" r:id="rId107" xr:uid="{4DE0C88F-623A-4625-B8F7-FF899EEEDF20}"/>
    <hyperlink ref="B44" r:id="rId108" xr:uid="{F335D512-753A-4696-AA5C-5A657ADF1CB4}"/>
    <hyperlink ref="B71" r:id="rId109" xr:uid="{8C55CFDB-C5EB-45AE-92CE-9213305F21FA}"/>
    <hyperlink ref="B73" r:id="rId110" xr:uid="{4704BBAD-C393-4CCF-83BE-12F20FA26857}"/>
    <hyperlink ref="B74" r:id="rId111" xr:uid="{4ACA796C-DA59-48B2-9172-D5F2560116E2}"/>
    <hyperlink ref="B75" r:id="rId112" xr:uid="{D01E5A44-42CC-4476-BEA5-3AF10AFB9468}"/>
    <hyperlink ref="B76" r:id="rId113" xr:uid="{C4522C6E-8F9E-4BE7-B144-A9F4B4A78256}"/>
    <hyperlink ref="B98" r:id="rId114" xr:uid="{F6A00438-8DCF-4F4B-914C-5AD83EA812B7}"/>
    <hyperlink ref="B113" r:id="rId115" xr:uid="{E0A98304-EFC0-4F97-B57D-B6CF7CDD2BDD}"/>
    <hyperlink ref="B115" r:id="rId116" xr:uid="{266C8148-6251-40F9-8BBE-C291A83DC32F}"/>
    <hyperlink ref="B116" r:id="rId117" xr:uid="{4FEFF2F0-FBF7-47E7-A903-638F37178AB3}"/>
    <hyperlink ref="B117" r:id="rId118" xr:uid="{92D6F369-A2F4-4300-87DE-A1F4E3AD7B78}"/>
    <hyperlink ref="B118" r:id="rId119" xr:uid="{E11DBAA4-DD91-47FB-A820-4330F2AE02F7}"/>
    <hyperlink ref="B141" r:id="rId120" xr:uid="{AB3179DC-B66B-4BFA-852C-B8DAAF8A942F}"/>
    <hyperlink ref="B137" r:id="rId121" xr:uid="{5A28DDFC-F433-4F32-80FA-7DDB93338FFD}"/>
    <hyperlink ref="B130" r:id="rId122" xr:uid="{13583E9F-566C-44A4-979E-53FE2BE341FE}"/>
    <hyperlink ref="B146" r:id="rId123" xr:uid="{2B3D8C4D-AE83-4989-B464-88D181562BC9}"/>
    <hyperlink ref="B15" r:id="rId124" xr:uid="{28F58787-4EE1-4B1D-9D1C-5E75E3BF7300}"/>
    <hyperlink ref="B122" r:id="rId125" xr:uid="{F00D1B5F-CAEB-4DAE-8F9D-C641E70BF448}"/>
    <hyperlink ref="B80" r:id="rId126" xr:uid="{200D3654-9E54-436F-9B70-F58C3A622836}"/>
    <hyperlink ref="CA139" r:id="rId127" display="https://www.tiktok.com/@tdsm_firmenich" xr:uid="{AC5893B7-6373-465E-9AAB-9BAAAD3866E7}"/>
    <hyperlink ref="CA146" r:id="rId128" display="https://www.tiktok.com/@hphcycling" xr:uid="{546E0238-55F5-4407-8B7A-05B6BAACFCF7}"/>
    <hyperlink ref="CA147" r:id="rId129" xr:uid="{428A9478-C019-4516-9D08-AC48D02BE9AF}"/>
    <hyperlink ref="CA148" r:id="rId130" display="https://www.tiktok.com/@cajarural_rga" xr:uid="{86299958-1AFC-4095-BAEB-08AB5ACACDA1}"/>
    <hyperlink ref="CA149" r:id="rId131" xr:uid="{0D713FE6-CD91-4336-8379-82E038D8982A}"/>
    <hyperlink ref="CA150" r:id="rId132" display="https://www.tiktok.com/@israelpremiertech" xr:uid="{2B3E65A7-35C8-4180-BBC8-206163E94751}"/>
    <hyperlink ref="CA151" r:id="rId133" display="https://www.tiktok.com/@lotto_dstny" xr:uid="{7D549AF0-796F-4C89-9ACF-B6E79928DF72}"/>
    <hyperlink ref="CA153" r:id="rId134" xr:uid="{4B3A730F-2718-4087-B90F-36AD2C31479A}"/>
    <hyperlink ref="CA157" r:id="rId135" display="https://www.tiktok.com/@cycling.vlaanderen" xr:uid="{BD734934-7F49-4625-B0C8-53A115F18397}"/>
    <hyperlink ref="CA160" r:id="rId136" display="https://www.tiktok.com/@terengganupolygoncycling" xr:uid="{27D57724-62A1-4A85-A92C-36D04B91C375}"/>
    <hyperlink ref="CA136" r:id="rId137" display="https://www.tiktok.com/@soudal_quickstepteam" xr:uid="{5A3498B3-2203-4BB8-A47F-934ED18899CA}"/>
    <hyperlink ref="B36" r:id="rId138" xr:uid="{438CFCF7-5CF5-4DBA-8E3A-DA190FBF98F8}"/>
    <hyperlink ref="B77" r:id="rId139" xr:uid="{CAC974C6-CD04-43D9-ABEF-C15217D2BB70}"/>
    <hyperlink ref="B119" r:id="rId140" xr:uid="{292D7E71-A132-46F2-845E-09D8D7E59F88}"/>
    <hyperlink ref="B161" r:id="rId141" xr:uid="{A0B3AA0F-4F08-459D-9594-F29A62424962}"/>
    <hyperlink ref="B37" r:id="rId142" xr:uid="{EA29C98B-B26C-4361-B322-6354C9C37CBD}"/>
    <hyperlink ref="B78" r:id="rId143" xr:uid="{1CADB301-B3D1-4CDC-BEEC-E00151A85E66}"/>
    <hyperlink ref="B120" r:id="rId144" xr:uid="{A2DCDDDA-0AE1-4FB5-BA40-8A835DB9D542}"/>
    <hyperlink ref="B162" r:id="rId145" xr:uid="{9ACD795E-E7A5-4729-B808-0F9E7AAD8DC6}"/>
    <hyperlink ref="B38" r:id="rId146" xr:uid="{9A702EB0-897C-4DFA-B8E3-B31510ACE8E9}"/>
    <hyperlink ref="B79" r:id="rId147" xr:uid="{A5636112-FCFD-4053-B6A4-79404BDC644A}"/>
    <hyperlink ref="B121" r:id="rId148" xr:uid="{BEBDD14B-9D2A-47DD-9336-920EBBB0281A}"/>
    <hyperlink ref="B163" r:id="rId149" xr:uid="{AF78AE48-817D-4054-81C5-24FE86EB0541}"/>
  </hyperlinks>
  <pageMargins left="0.7" right="0.7" top="0.75" bottom="0.75" header="0.3" footer="0.3"/>
  <pageSetup paperSize="9" orientation="portrait" r:id="rId150"/>
  <legacyDrawing r:id="rId151"/>
  <tableParts count="5">
    <tablePart r:id="rId152"/>
    <tablePart r:id="rId153"/>
    <tablePart r:id="rId154"/>
    <tablePart r:id="rId155"/>
    <tablePart r:id="rId15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9A5E-B632-4EE3-B4CE-36B12EF69B32}">
  <sheetPr>
    <tabColor theme="0" tint="-0.249977111117893"/>
  </sheetPr>
  <dimension ref="A1:BD493"/>
  <sheetViews>
    <sheetView tabSelected="1" topLeftCell="A379" zoomScale="85" zoomScaleNormal="85" zoomScaleSheetLayoutView="90" workbookViewId="0">
      <selection activeCell="AZ383" sqref="AZ383"/>
    </sheetView>
  </sheetViews>
  <sheetFormatPr baseColWidth="10" defaultColWidth="11.42578125" defaultRowHeight="16.5" x14ac:dyDescent="0.3"/>
  <cols>
    <col min="1" max="1" width="11.5703125" style="18" customWidth="1"/>
    <col min="2" max="2" width="21.85546875" style="18" customWidth="1"/>
    <col min="3" max="7" width="10.85546875" style="18" hidden="1" customWidth="1"/>
    <col min="8" max="9" width="9.85546875" style="18" hidden="1" customWidth="1"/>
    <col min="10" max="11" width="10.85546875" style="18" hidden="1" customWidth="1"/>
    <col min="12" max="12" width="11.42578125" style="18" hidden="1" customWidth="1"/>
    <col min="13" max="16" width="12" style="18" hidden="1" customWidth="1"/>
    <col min="17" max="17" width="14.140625" style="18" hidden="1" customWidth="1"/>
    <col min="18" max="18" width="14.42578125" style="18" hidden="1" customWidth="1"/>
    <col min="19" max="20" width="13.85546875" style="18" hidden="1" customWidth="1"/>
    <col min="21" max="21" width="13.7109375" style="18" hidden="1" customWidth="1"/>
    <col min="22" max="22" width="13.85546875" style="18" hidden="1" customWidth="1"/>
    <col min="23" max="23" width="13.7109375" style="18" hidden="1" customWidth="1"/>
    <col min="24" max="24" width="14.7109375" style="18" hidden="1" customWidth="1"/>
    <col min="25" max="25" width="13.42578125" style="18" hidden="1" customWidth="1"/>
    <col min="26" max="27" width="13.7109375" style="18" hidden="1" customWidth="1"/>
    <col min="28" max="28" width="14.7109375" style="18" hidden="1" customWidth="1"/>
    <col min="29" max="29" width="15.28515625" style="18" hidden="1" customWidth="1"/>
    <col min="30" max="30" width="14.7109375" style="18" hidden="1" customWidth="1"/>
    <col min="31" max="33" width="12" style="18" hidden="1" customWidth="1"/>
    <col min="34" max="34" width="10.85546875" style="18" hidden="1" customWidth="1"/>
    <col min="35" max="35" width="11.42578125" style="18" hidden="1" customWidth="1"/>
    <col min="36" max="36" width="12" style="18" hidden="1" customWidth="1"/>
    <col min="37" max="38" width="11.42578125" style="1" hidden="1" customWidth="1"/>
    <col min="39" max="40" width="13" style="18" hidden="1" customWidth="1"/>
    <col min="41" max="41" width="18" style="18" hidden="1" customWidth="1"/>
    <col min="42" max="44" width="13" style="18" hidden="1" customWidth="1"/>
    <col min="45" max="47" width="13" style="18" customWidth="1"/>
    <col min="48" max="48" width="18.140625" style="18" bestFit="1" customWidth="1"/>
    <col min="49" max="49" width="26.5703125" style="18" bestFit="1" customWidth="1"/>
    <col min="50" max="53" width="11.42578125" style="18"/>
    <col min="54" max="54" width="17.85546875" style="18" customWidth="1"/>
    <col min="55" max="16384" width="11.42578125" style="18"/>
  </cols>
  <sheetData>
    <row r="1" spans="1:49" x14ac:dyDescent="0.3">
      <c r="A1" s="161" t="s">
        <v>185</v>
      </c>
      <c r="B1" s="162" t="s">
        <v>14</v>
      </c>
      <c r="C1" s="103" t="s">
        <v>86</v>
      </c>
      <c r="D1" s="39" t="s">
        <v>99</v>
      </c>
      <c r="E1" s="39" t="s">
        <v>101</v>
      </c>
      <c r="F1" s="39" t="s">
        <v>102</v>
      </c>
      <c r="G1" s="39" t="s">
        <v>105</v>
      </c>
      <c r="H1" s="39" t="s">
        <v>106</v>
      </c>
      <c r="I1" s="39" t="s">
        <v>108</v>
      </c>
      <c r="J1" s="39" t="s">
        <v>109</v>
      </c>
      <c r="K1" s="39" t="s">
        <v>110</v>
      </c>
      <c r="L1" s="39" t="s">
        <v>117</v>
      </c>
      <c r="M1" s="39" t="s">
        <v>127</v>
      </c>
      <c r="N1" s="39" t="s">
        <v>129</v>
      </c>
      <c r="O1" s="39" t="s">
        <v>131</v>
      </c>
      <c r="P1" s="39" t="s">
        <v>142</v>
      </c>
      <c r="Q1" s="39" t="s">
        <v>143</v>
      </c>
      <c r="R1" s="39" t="s">
        <v>151</v>
      </c>
      <c r="S1" s="39" t="s">
        <v>156</v>
      </c>
      <c r="T1" s="39" t="s">
        <v>157</v>
      </c>
      <c r="U1" s="39" t="s">
        <v>163</v>
      </c>
      <c r="V1" s="39" t="s">
        <v>164</v>
      </c>
      <c r="W1" s="39" t="s">
        <v>177</v>
      </c>
      <c r="X1" s="39" t="s">
        <v>179</v>
      </c>
      <c r="Y1" s="39" t="s">
        <v>183</v>
      </c>
      <c r="Z1" s="39" t="s">
        <v>184</v>
      </c>
      <c r="AA1" s="39" t="s">
        <v>186</v>
      </c>
      <c r="AB1" s="39" t="s">
        <v>188</v>
      </c>
      <c r="AC1" s="39" t="s">
        <v>200</v>
      </c>
      <c r="AD1" s="39" t="s">
        <v>201</v>
      </c>
      <c r="AE1" s="39" t="s">
        <v>203</v>
      </c>
      <c r="AF1" s="39" t="s">
        <v>207</v>
      </c>
      <c r="AG1" s="39" t="s">
        <v>208</v>
      </c>
      <c r="AH1" s="225" t="s">
        <v>209</v>
      </c>
      <c r="AI1" s="218" t="s">
        <v>103</v>
      </c>
      <c r="AJ1" s="218" t="s">
        <v>104</v>
      </c>
      <c r="AK1" s="247" t="s">
        <v>210</v>
      </c>
      <c r="AL1" s="247" t="s">
        <v>211</v>
      </c>
      <c r="AM1" s="247" t="s">
        <v>214</v>
      </c>
      <c r="AN1" s="247" t="s">
        <v>213</v>
      </c>
      <c r="AO1" s="247" t="s">
        <v>272</v>
      </c>
      <c r="AP1" s="247" t="s">
        <v>330</v>
      </c>
      <c r="AQ1" s="247" t="s">
        <v>331</v>
      </c>
      <c r="AR1" s="247" t="s">
        <v>333</v>
      </c>
      <c r="AS1" s="247" t="s">
        <v>389</v>
      </c>
      <c r="AT1" s="247" t="s">
        <v>405</v>
      </c>
      <c r="AU1" s="38"/>
      <c r="AV1" s="587" t="s">
        <v>103</v>
      </c>
      <c r="AW1" s="587" t="s">
        <v>104</v>
      </c>
    </row>
    <row r="2" spans="1:49" x14ac:dyDescent="0.3">
      <c r="A2" s="126"/>
      <c r="B2" s="54" t="s">
        <v>239</v>
      </c>
      <c r="C2" s="118"/>
      <c r="D2" s="118"/>
      <c r="E2" s="330"/>
      <c r="F2" s="33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18"/>
      <c r="V2" s="118"/>
      <c r="W2" s="118"/>
      <c r="X2" s="118"/>
      <c r="Y2" s="57"/>
      <c r="Z2" s="57"/>
      <c r="AA2" s="57"/>
      <c r="AB2" s="57"/>
      <c r="AC2" s="57"/>
      <c r="AD2" s="57"/>
      <c r="AE2" s="57"/>
      <c r="AF2" s="88"/>
      <c r="AG2" s="88"/>
      <c r="AH2" s="272"/>
      <c r="AI2" s="208"/>
      <c r="AJ2" s="219"/>
      <c r="AM2" s="1"/>
      <c r="AN2" s="2"/>
      <c r="AO2" s="2"/>
      <c r="AP2" s="2">
        <v>0</v>
      </c>
      <c r="AQ2" s="2">
        <v>0</v>
      </c>
      <c r="AR2" s="2">
        <v>2300</v>
      </c>
      <c r="AS2" s="2">
        <v>2800</v>
      </c>
      <c r="AT2" s="2">
        <v>2800</v>
      </c>
      <c r="AU2" s="2"/>
      <c r="AV2" s="554">
        <f>(Tableau913[[#This Row],[juin-24]]-Tableau913[[#This Row],[avr-24]])/Tableau913[[#This Row],[avr-24]]</f>
        <v>0</v>
      </c>
      <c r="AW2" s="548">
        <f>Tableau913[[#This Row],[juin-24]]-Tableau913[[#This Row],[avr-24]]</f>
        <v>0</v>
      </c>
    </row>
    <row r="3" spans="1:49" x14ac:dyDescent="0.3">
      <c r="A3" s="164"/>
      <c r="B3" s="164" t="s">
        <v>301</v>
      </c>
      <c r="C3" s="104"/>
      <c r="D3" s="104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118"/>
      <c r="V3" s="118"/>
      <c r="W3" s="118"/>
      <c r="X3" s="118"/>
      <c r="Y3" s="57"/>
      <c r="Z3" s="57"/>
      <c r="AA3" s="57"/>
      <c r="AB3" s="57"/>
      <c r="AC3" s="57"/>
      <c r="AD3" s="57"/>
      <c r="AE3" s="57"/>
      <c r="AF3" s="88"/>
      <c r="AG3" s="88"/>
      <c r="AH3" s="272"/>
      <c r="AI3" s="208"/>
      <c r="AJ3" s="219"/>
      <c r="AK3" s="2"/>
      <c r="AL3" s="2"/>
      <c r="AM3" s="2"/>
      <c r="AN3" s="2"/>
      <c r="AO3" s="2"/>
      <c r="AP3" s="2">
        <v>26164</v>
      </c>
      <c r="AQ3" s="2">
        <v>26521</v>
      </c>
      <c r="AR3" s="2">
        <v>27000</v>
      </c>
      <c r="AS3" s="2">
        <v>27000</v>
      </c>
      <c r="AT3" s="2">
        <v>27000</v>
      </c>
      <c r="AU3" s="2"/>
      <c r="AV3" s="554">
        <f>(Tableau913[[#This Row],[juin-24]]-Tableau913[[#This Row],[avr-24]])/Tableau913[[#This Row],[avr-24]]</f>
        <v>0</v>
      </c>
      <c r="AW3" s="548">
        <f>Tableau913[[#This Row],[juin-24]]-Tableau913[[#This Row],[avr-24]]</f>
        <v>0</v>
      </c>
    </row>
    <row r="4" spans="1:49" x14ac:dyDescent="0.3">
      <c r="A4" s="164">
        <v>2</v>
      </c>
      <c r="B4" s="163" t="s">
        <v>94</v>
      </c>
      <c r="C4" s="105">
        <v>999742</v>
      </c>
      <c r="D4" s="105">
        <v>1001375</v>
      </c>
      <c r="E4" s="105">
        <v>1007884</v>
      </c>
      <c r="F4" s="105">
        <v>1009820</v>
      </c>
      <c r="G4" s="105">
        <v>1020781</v>
      </c>
      <c r="H4" s="105">
        <v>1020043</v>
      </c>
      <c r="I4" s="105">
        <v>1019715</v>
      </c>
      <c r="J4" s="105">
        <v>1022187</v>
      </c>
      <c r="K4" s="105">
        <v>1021936</v>
      </c>
      <c r="L4" s="105">
        <v>1021717</v>
      </c>
      <c r="M4" s="105">
        <v>1020568</v>
      </c>
      <c r="N4" s="105">
        <v>1018465</v>
      </c>
      <c r="O4" s="105">
        <v>1016732</v>
      </c>
      <c r="P4" s="105">
        <v>1015351</v>
      </c>
      <c r="Q4" s="105">
        <v>1014194</v>
      </c>
      <c r="R4" s="105">
        <v>1012455</v>
      </c>
      <c r="S4" s="105">
        <v>1011436</v>
      </c>
      <c r="T4" s="105">
        <v>1010533</v>
      </c>
      <c r="U4" s="105">
        <v>1009058</v>
      </c>
      <c r="V4" s="105">
        <v>1007495</v>
      </c>
      <c r="W4" s="105">
        <v>1006377</v>
      </c>
      <c r="X4" s="105">
        <v>1005086</v>
      </c>
      <c r="Y4" s="105">
        <v>1004020</v>
      </c>
      <c r="Z4" s="105">
        <v>1003059</v>
      </c>
      <c r="AA4" s="105">
        <v>1002818</v>
      </c>
      <c r="AB4" s="105">
        <v>1002569</v>
      </c>
      <c r="AC4" s="105">
        <v>1002670</v>
      </c>
      <c r="AD4" s="105">
        <v>1001524</v>
      </c>
      <c r="AE4" s="105">
        <v>999979</v>
      </c>
      <c r="AF4" s="105"/>
      <c r="AG4" s="105"/>
      <c r="AH4" s="54"/>
      <c r="AI4" s="208"/>
      <c r="AJ4" s="219"/>
      <c r="AM4" s="1"/>
      <c r="AN4" s="2">
        <v>1100000</v>
      </c>
      <c r="AO4" s="2">
        <v>1100000</v>
      </c>
      <c r="AP4" s="2">
        <v>1150970</v>
      </c>
      <c r="AQ4" s="2">
        <v>1149689</v>
      </c>
      <c r="AR4" s="2">
        <v>1100000</v>
      </c>
      <c r="AS4" s="2">
        <v>1100000</v>
      </c>
      <c r="AT4" s="2">
        <v>1100000</v>
      </c>
      <c r="AU4" s="2"/>
      <c r="AV4" s="554">
        <f>(Tableau913[[#This Row],[juin-24]]-Tableau913[[#This Row],[avr-24]])/Tableau913[[#This Row],[avr-24]]</f>
        <v>0</v>
      </c>
      <c r="AW4" s="548">
        <f>Tableau913[[#This Row],[juin-24]]-Tableau913[[#This Row],[avr-24]]</f>
        <v>0</v>
      </c>
    </row>
    <row r="5" spans="1:49" x14ac:dyDescent="0.3">
      <c r="A5" s="164">
        <v>37</v>
      </c>
      <c r="B5" s="163" t="s">
        <v>119</v>
      </c>
      <c r="C5" s="104"/>
      <c r="D5" s="104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>
        <v>15153</v>
      </c>
      <c r="U5" s="88">
        <v>15141</v>
      </c>
      <c r="V5" s="88">
        <v>15137</v>
      </c>
      <c r="W5" s="88">
        <v>15151</v>
      </c>
      <c r="X5" s="88">
        <v>15190</v>
      </c>
      <c r="Y5" s="88">
        <v>15330</v>
      </c>
      <c r="Z5" s="88">
        <v>15415</v>
      </c>
      <c r="AA5" s="88">
        <v>15436</v>
      </c>
      <c r="AB5" s="88">
        <v>15493</v>
      </c>
      <c r="AC5" s="88">
        <v>15573</v>
      </c>
      <c r="AD5" s="104">
        <v>15585</v>
      </c>
      <c r="AE5" s="104">
        <v>15615</v>
      </c>
      <c r="AF5" s="104">
        <v>16253</v>
      </c>
      <c r="AG5" s="104">
        <v>54773</v>
      </c>
      <c r="AH5" s="88">
        <v>54213</v>
      </c>
      <c r="AI5" s="208">
        <f>(Tableau913[[#This Row],[mars-20]]-Tableau913[[#This Row],[dec-19]])/Tableau913[[#This Row],[dec-19]]</f>
        <v>-1.0224015482080587E-2</v>
      </c>
      <c r="AJ5" s="219">
        <f>Tableau913[[#This Row],[mars-20]]-Tableau913[[#This Row],[dec-19]]</f>
        <v>-560</v>
      </c>
      <c r="AK5" s="2">
        <v>53262</v>
      </c>
      <c r="AL5" s="2">
        <v>53135</v>
      </c>
      <c r="AM5" s="2">
        <v>54000</v>
      </c>
      <c r="AN5" s="2">
        <v>53000</v>
      </c>
      <c r="AO5" s="2">
        <v>53000</v>
      </c>
      <c r="AP5" s="2">
        <v>53465</v>
      </c>
      <c r="AQ5" s="2">
        <v>53255</v>
      </c>
      <c r="AR5" s="2">
        <v>52793</v>
      </c>
      <c r="AS5" s="2">
        <v>52000</v>
      </c>
      <c r="AT5" s="2">
        <v>52000</v>
      </c>
      <c r="AU5" s="2"/>
      <c r="AV5" s="554">
        <f>(Tableau913[[#This Row],[juin-24]]-Tableau913[[#This Row],[avr-24]])/Tableau913[[#This Row],[avr-24]]</f>
        <v>0</v>
      </c>
      <c r="AW5" s="548">
        <f>Tableau913[[#This Row],[juin-24]]-Tableau913[[#This Row],[avr-24]]</f>
        <v>0</v>
      </c>
    </row>
    <row r="6" spans="1:49" x14ac:dyDescent="0.3">
      <c r="A6" s="164"/>
      <c r="B6" s="99" t="s">
        <v>270</v>
      </c>
      <c r="C6" s="104"/>
      <c r="D6" s="104"/>
      <c r="E6" s="255"/>
      <c r="F6" s="255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118"/>
      <c r="V6" s="118"/>
      <c r="W6" s="118"/>
      <c r="X6" s="118"/>
      <c r="Y6" s="57"/>
      <c r="Z6" s="57"/>
      <c r="AA6" s="57"/>
      <c r="AB6" s="57"/>
      <c r="AC6" s="57"/>
      <c r="AD6" s="57"/>
      <c r="AE6" s="57"/>
      <c r="AF6" s="88"/>
      <c r="AG6" s="88"/>
      <c r="AH6" s="54"/>
      <c r="AI6" s="208"/>
      <c r="AJ6" s="219"/>
      <c r="AK6" s="2"/>
      <c r="AL6" s="2"/>
      <c r="AM6" s="2"/>
      <c r="AN6" s="2"/>
      <c r="AO6" s="2"/>
      <c r="AP6" s="2">
        <v>0</v>
      </c>
      <c r="AQ6" s="2">
        <v>0</v>
      </c>
      <c r="AR6" s="2">
        <v>0</v>
      </c>
      <c r="AS6" s="2">
        <v>1700</v>
      </c>
      <c r="AT6" s="2">
        <v>1700</v>
      </c>
      <c r="AU6" s="2"/>
      <c r="AV6" s="554">
        <f>(Tableau913[[#This Row],[juin-24]]-Tableau913[[#This Row],[avr-24]])/Tableau913[[#This Row],[avr-24]]</f>
        <v>0</v>
      </c>
      <c r="AW6" s="548">
        <f>Tableau913[[#This Row],[juin-24]]-Tableau913[[#This Row],[avr-24]]</f>
        <v>0</v>
      </c>
    </row>
    <row r="7" spans="1:49" x14ac:dyDescent="0.3">
      <c r="A7" s="123"/>
      <c r="B7" s="99" t="s">
        <v>271</v>
      </c>
      <c r="C7" s="118"/>
      <c r="D7" s="118"/>
      <c r="E7" s="330"/>
      <c r="F7" s="33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18"/>
      <c r="V7" s="118"/>
      <c r="W7" s="118"/>
      <c r="X7" s="118"/>
      <c r="Y7" s="57"/>
      <c r="Z7" s="57"/>
      <c r="AA7" s="57"/>
      <c r="AB7" s="57"/>
      <c r="AC7" s="57"/>
      <c r="AD7" s="57"/>
      <c r="AE7" s="57"/>
      <c r="AF7" s="88"/>
      <c r="AG7" s="88"/>
      <c r="AH7" s="54"/>
      <c r="AI7" s="208"/>
      <c r="AJ7" s="219"/>
      <c r="AM7" s="1"/>
      <c r="AN7" s="2"/>
      <c r="AO7" s="2"/>
      <c r="AP7" s="2">
        <v>0</v>
      </c>
      <c r="AQ7" s="2">
        <v>0</v>
      </c>
      <c r="AR7" s="2">
        <v>4100</v>
      </c>
      <c r="AS7" s="2">
        <v>4000</v>
      </c>
      <c r="AT7" s="2">
        <v>4000</v>
      </c>
      <c r="AU7" s="2"/>
      <c r="AV7" s="554">
        <f>(Tableau913[[#This Row],[juin-24]]-Tableau913[[#This Row],[avr-24]])/Tableau913[[#This Row],[avr-24]]</f>
        <v>0</v>
      </c>
      <c r="AW7" s="548">
        <f>Tableau913[[#This Row],[juin-24]]-Tableau913[[#This Row],[avr-24]]</f>
        <v>0</v>
      </c>
    </row>
    <row r="8" spans="1:49" x14ac:dyDescent="0.3">
      <c r="A8" s="164">
        <v>40</v>
      </c>
      <c r="B8" s="163" t="s">
        <v>160</v>
      </c>
      <c r="C8" s="104"/>
      <c r="D8" s="104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>
        <v>4014</v>
      </c>
      <c r="U8" s="88">
        <v>4179</v>
      </c>
      <c r="V8" s="88">
        <v>4300</v>
      </c>
      <c r="W8" s="88">
        <v>4395</v>
      </c>
      <c r="X8" s="88">
        <v>4950</v>
      </c>
      <c r="Y8" s="88">
        <v>5000</v>
      </c>
      <c r="Z8" s="88">
        <v>5032</v>
      </c>
      <c r="AA8" s="88">
        <v>5069</v>
      </c>
      <c r="AB8" s="88">
        <v>5104</v>
      </c>
      <c r="AC8" s="88">
        <v>5185</v>
      </c>
      <c r="AD8" s="104">
        <v>5236</v>
      </c>
      <c r="AE8" s="104">
        <v>6066</v>
      </c>
      <c r="AF8" s="104">
        <v>6304</v>
      </c>
      <c r="AG8" s="104">
        <v>6535</v>
      </c>
      <c r="AH8" s="88">
        <v>7967</v>
      </c>
      <c r="AI8" s="208">
        <f>(Tableau913[[#This Row],[mars-20]]-Tableau913[[#This Row],[dec-19]])/Tableau913[[#This Row],[dec-19]]</f>
        <v>0.21912777352716145</v>
      </c>
      <c r="AJ8" s="219">
        <f>Tableau913[[#This Row],[mars-20]]-Tableau913[[#This Row],[dec-19]]</f>
        <v>1432</v>
      </c>
      <c r="AK8" s="2">
        <v>8716</v>
      </c>
      <c r="AL8" s="2">
        <v>9956</v>
      </c>
      <c r="AM8" s="2">
        <v>17000</v>
      </c>
      <c r="AN8" s="2">
        <v>17000</v>
      </c>
      <c r="AO8" s="2">
        <v>17000</v>
      </c>
      <c r="AP8" s="2">
        <v>18118</v>
      </c>
      <c r="AQ8" s="2">
        <v>18266</v>
      </c>
      <c r="AR8" s="2">
        <v>18000</v>
      </c>
      <c r="AS8" s="2">
        <v>18000</v>
      </c>
      <c r="AT8" s="2">
        <v>18000</v>
      </c>
      <c r="AU8" s="2"/>
      <c r="AV8" s="554">
        <f>(Tableau913[[#This Row],[juin-24]]-Tableau913[[#This Row],[avr-24]])/Tableau913[[#This Row],[avr-24]]</f>
        <v>0</v>
      </c>
      <c r="AW8" s="548">
        <f>Tableau913[[#This Row],[juin-24]]-Tableau913[[#This Row],[avr-24]]</f>
        <v>0</v>
      </c>
    </row>
    <row r="9" spans="1:49" x14ac:dyDescent="0.3">
      <c r="A9" s="164"/>
      <c r="B9" s="164" t="s">
        <v>304</v>
      </c>
      <c r="C9" s="104"/>
      <c r="D9" s="104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118"/>
      <c r="V9" s="118"/>
      <c r="W9" s="118"/>
      <c r="X9" s="118"/>
      <c r="Y9" s="57"/>
      <c r="Z9" s="57"/>
      <c r="AA9" s="57"/>
      <c r="AB9" s="57"/>
      <c r="AC9" s="57"/>
      <c r="AD9" s="57"/>
      <c r="AE9" s="57"/>
      <c r="AF9" s="88"/>
      <c r="AG9" s="88"/>
      <c r="AH9" s="54"/>
      <c r="AI9" s="208"/>
      <c r="AJ9" s="219"/>
      <c r="AK9" s="2"/>
      <c r="AL9" s="2"/>
      <c r="AM9" s="2"/>
      <c r="AN9" s="2"/>
      <c r="AO9" s="2"/>
      <c r="AP9" s="2">
        <v>188093</v>
      </c>
      <c r="AQ9" s="2">
        <v>187740</v>
      </c>
      <c r="AR9" s="2">
        <v>185000</v>
      </c>
      <c r="AS9" s="2">
        <v>184000</v>
      </c>
      <c r="AT9" s="2">
        <v>184000</v>
      </c>
      <c r="AU9" s="2"/>
      <c r="AV9" s="554">
        <f>(Tableau913[[#This Row],[juin-24]]-Tableau913[[#This Row],[avr-24]])/Tableau913[[#This Row],[avr-24]]</f>
        <v>0</v>
      </c>
      <c r="AW9" s="548">
        <f>Tableau913[[#This Row],[juin-24]]-Tableau913[[#This Row],[avr-24]]</f>
        <v>0</v>
      </c>
    </row>
    <row r="10" spans="1:49" x14ac:dyDescent="0.3">
      <c r="A10" s="164"/>
      <c r="B10" s="164" t="s">
        <v>189</v>
      </c>
      <c r="C10" s="104"/>
      <c r="D10" s="104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118"/>
      <c r="V10" s="118"/>
      <c r="W10" s="118"/>
      <c r="X10" s="118"/>
      <c r="Y10" s="57"/>
      <c r="Z10" s="57"/>
      <c r="AA10" s="57"/>
      <c r="AB10" s="57">
        <v>217423</v>
      </c>
      <c r="AC10" s="57">
        <v>217562</v>
      </c>
      <c r="AD10" s="105">
        <v>217222</v>
      </c>
      <c r="AE10" s="105">
        <v>217076</v>
      </c>
      <c r="AF10" s="105">
        <v>216737</v>
      </c>
      <c r="AG10" s="105">
        <v>216380</v>
      </c>
      <c r="AH10" s="88">
        <v>215928</v>
      </c>
      <c r="AI10" s="208">
        <f>(Tableau913[[#This Row],[mars-20]]-Tableau913[[#This Row],[dec-19]])/Tableau913[[#This Row],[dec-19]]</f>
        <v>-2.0889176448840004E-3</v>
      </c>
      <c r="AJ10" s="148">
        <f>Tableau913[[#This Row],[mars-20]]-Tableau913[[#This Row],[dec-19]]</f>
        <v>-452</v>
      </c>
      <c r="AK10" s="2">
        <v>218234</v>
      </c>
      <c r="AL10" s="2">
        <v>227436</v>
      </c>
      <c r="AM10" s="2">
        <v>288000</v>
      </c>
      <c r="AN10" s="2">
        <v>290097</v>
      </c>
      <c r="AO10" s="2">
        <v>290078</v>
      </c>
      <c r="AP10" s="2">
        <v>291426</v>
      </c>
      <c r="AQ10" s="2">
        <v>291372</v>
      </c>
      <c r="AR10" s="2">
        <v>291329</v>
      </c>
      <c r="AS10" s="2">
        <v>290000</v>
      </c>
      <c r="AT10" s="2">
        <v>289000</v>
      </c>
      <c r="AU10" s="2"/>
      <c r="AV10" s="554">
        <f>(Tableau913[[#This Row],[juin-24]]-Tableau913[[#This Row],[avr-24]])/Tableau913[[#This Row],[avr-24]]</f>
        <v>-3.4482758620689655E-3</v>
      </c>
      <c r="AW10" s="548">
        <f>Tableau913[[#This Row],[juin-24]]-Tableau913[[#This Row],[avr-24]]</f>
        <v>-1000</v>
      </c>
    </row>
    <row r="11" spans="1:49" x14ac:dyDescent="0.3">
      <c r="A11" s="164"/>
      <c r="B11" s="164" t="s">
        <v>254</v>
      </c>
      <c r="C11" s="104"/>
      <c r="D11" s="104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118"/>
      <c r="V11" s="118"/>
      <c r="W11" s="118"/>
      <c r="X11" s="118"/>
      <c r="Y11" s="57"/>
      <c r="Z11" s="57"/>
      <c r="AA11" s="57"/>
      <c r="AB11" s="57"/>
      <c r="AC11" s="57"/>
      <c r="AD11" s="105"/>
      <c r="AE11" s="104"/>
      <c r="AF11" s="104"/>
      <c r="AG11" s="104"/>
      <c r="AH11" s="88"/>
      <c r="AI11" s="208"/>
      <c r="AJ11" s="148"/>
      <c r="AK11" s="2"/>
      <c r="AL11" s="2"/>
      <c r="AM11" s="2"/>
      <c r="AN11" s="2">
        <v>6100</v>
      </c>
      <c r="AO11" s="2">
        <v>6200</v>
      </c>
      <c r="AP11" s="2">
        <v>6274</v>
      </c>
      <c r="AQ11" s="2">
        <v>6252</v>
      </c>
      <c r="AR11" s="2">
        <v>6200</v>
      </c>
      <c r="AS11" s="2">
        <v>6300</v>
      </c>
      <c r="AT11" s="2">
        <v>6300</v>
      </c>
      <c r="AU11" s="2"/>
      <c r="AV11" s="554">
        <f>(Tableau913[[#This Row],[juin-24]]-Tableau913[[#This Row],[avr-24]])/Tableau913[[#This Row],[avr-24]]</f>
        <v>0</v>
      </c>
      <c r="AW11" s="548">
        <f>Tableau913[[#This Row],[juin-24]]-Tableau913[[#This Row],[avr-24]]</f>
        <v>0</v>
      </c>
    </row>
    <row r="12" spans="1:49" x14ac:dyDescent="0.3">
      <c r="A12" s="164"/>
      <c r="B12" s="99" t="s">
        <v>398</v>
      </c>
      <c r="C12" s="104"/>
      <c r="D12" s="104"/>
      <c r="E12" s="255"/>
      <c r="F12" s="255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118"/>
      <c r="V12" s="118"/>
      <c r="W12" s="118"/>
      <c r="X12" s="118"/>
      <c r="Y12" s="57"/>
      <c r="Z12" s="57"/>
      <c r="AA12" s="57"/>
      <c r="AB12" s="57"/>
      <c r="AC12" s="57"/>
      <c r="AD12" s="57"/>
      <c r="AE12" s="57"/>
      <c r="AF12" s="88"/>
      <c r="AG12" s="88"/>
      <c r="AH12" s="54"/>
      <c r="AI12" s="208"/>
      <c r="AJ12" s="219">
        <f>Tableau913[[#This Row],[mars-20]]-Tableau913[[#This Row],[dec-19]]</f>
        <v>0</v>
      </c>
      <c r="AK12" s="2"/>
      <c r="AL12" s="2"/>
      <c r="AM12" s="2"/>
      <c r="AN12" s="2">
        <f>1128169+1540810+586378</f>
        <v>3255357</v>
      </c>
      <c r="AO12" s="2"/>
      <c r="AP12" s="2"/>
      <c r="AQ12" s="2"/>
      <c r="AR12" s="2"/>
      <c r="AS12" s="2">
        <v>10000</v>
      </c>
      <c r="AT12" s="2">
        <v>10000</v>
      </c>
      <c r="AU12" s="2"/>
      <c r="AV12" s="554">
        <f>(Tableau913[[#This Row],[juin-24]]-Tableau913[[#This Row],[avr-24]])/Tableau913[[#This Row],[avr-24]]</f>
        <v>0</v>
      </c>
      <c r="AW12" s="548">
        <f>Tableau913[[#This Row],[juin-24]]-Tableau913[[#This Row],[avr-24]]</f>
        <v>0</v>
      </c>
    </row>
    <row r="13" spans="1:49" x14ac:dyDescent="0.3">
      <c r="A13" s="164">
        <v>35</v>
      </c>
      <c r="B13" s="163" t="s">
        <v>130</v>
      </c>
      <c r="C13" s="104"/>
      <c r="D13" s="104"/>
      <c r="E13" s="88"/>
      <c r="F13" s="88"/>
      <c r="G13" s="88"/>
      <c r="H13" s="88"/>
      <c r="I13" s="88"/>
      <c r="J13" s="88"/>
      <c r="K13" s="88"/>
      <c r="L13" s="88"/>
      <c r="M13" s="88"/>
      <c r="N13" s="88">
        <v>41037</v>
      </c>
      <c r="O13" s="88">
        <v>41063</v>
      </c>
      <c r="P13" s="88">
        <v>41085</v>
      </c>
      <c r="Q13" s="88">
        <v>41525</v>
      </c>
      <c r="R13" s="88">
        <v>41592</v>
      </c>
      <c r="S13" s="88">
        <v>41593</v>
      </c>
      <c r="T13" s="88">
        <v>41696</v>
      </c>
      <c r="U13" s="88">
        <v>41617</v>
      </c>
      <c r="V13" s="88">
        <v>41537</v>
      </c>
      <c r="W13" s="88">
        <v>41483</v>
      </c>
      <c r="X13" s="88">
        <v>41440</v>
      </c>
      <c r="Y13" s="88">
        <v>41590</v>
      </c>
      <c r="Z13" s="88">
        <v>41642</v>
      </c>
      <c r="AA13" s="88">
        <v>41902</v>
      </c>
      <c r="AB13" s="88">
        <v>41933</v>
      </c>
      <c r="AC13" s="88">
        <v>42739</v>
      </c>
      <c r="AD13" s="104">
        <v>42856</v>
      </c>
      <c r="AE13" s="105">
        <v>42859</v>
      </c>
      <c r="AF13" s="105">
        <v>42812</v>
      </c>
      <c r="AG13" s="105">
        <v>42779</v>
      </c>
      <c r="AH13" s="88">
        <v>42710</v>
      </c>
      <c r="AI13" s="208">
        <f>(Tableau913[[#This Row],[mars-20]]-Tableau913[[#This Row],[dec-19]])/Tableau913[[#This Row],[dec-19]]</f>
        <v>-1.6129409289604713E-3</v>
      </c>
      <c r="AJ13" s="219">
        <f>Tableau913[[#This Row],[mars-20]]-Tableau913[[#This Row],[dec-19]]</f>
        <v>-69</v>
      </c>
      <c r="AK13" s="2">
        <v>44101</v>
      </c>
      <c r="AL13" s="2">
        <v>44858</v>
      </c>
      <c r="AM13" s="2">
        <v>63000</v>
      </c>
      <c r="AN13" s="2">
        <v>63000</v>
      </c>
      <c r="AO13" s="2">
        <v>63000</v>
      </c>
      <c r="AP13" s="2">
        <v>65139</v>
      </c>
      <c r="AQ13" s="2">
        <v>65441</v>
      </c>
      <c r="AR13" s="2">
        <v>67000</v>
      </c>
      <c r="AS13" s="2">
        <v>66000</v>
      </c>
      <c r="AT13" s="2">
        <v>66000</v>
      </c>
      <c r="AU13" s="2"/>
      <c r="AV13" s="554">
        <f>(Tableau913[[#This Row],[juin-24]]-Tableau913[[#This Row],[avr-24]])/Tableau913[[#This Row],[avr-24]]</f>
        <v>0</v>
      </c>
      <c r="AW13" s="548">
        <f>Tableau913[[#This Row],[juin-24]]-Tableau913[[#This Row],[avr-24]]</f>
        <v>0</v>
      </c>
    </row>
    <row r="14" spans="1:49" x14ac:dyDescent="0.3">
      <c r="A14" s="164">
        <v>18</v>
      </c>
      <c r="B14" s="163" t="s">
        <v>147</v>
      </c>
      <c r="C14" s="104"/>
      <c r="D14" s="104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>
        <v>110043</v>
      </c>
      <c r="R14" s="88">
        <v>109835</v>
      </c>
      <c r="S14" s="88">
        <v>109648</v>
      </c>
      <c r="T14" s="88">
        <v>109481</v>
      </c>
      <c r="U14" s="88">
        <v>109233</v>
      </c>
      <c r="V14" s="88">
        <v>108958</v>
      </c>
      <c r="W14" s="88">
        <v>108743</v>
      </c>
      <c r="X14" s="88">
        <v>108480</v>
      </c>
      <c r="Y14" s="88">
        <v>108220</v>
      </c>
      <c r="Z14" s="88">
        <v>108027</v>
      </c>
      <c r="AA14" s="57">
        <v>108089</v>
      </c>
      <c r="AB14" s="57">
        <v>108032</v>
      </c>
      <c r="AC14" s="57">
        <v>108065</v>
      </c>
      <c r="AD14" s="104">
        <v>107740</v>
      </c>
      <c r="AE14" s="104">
        <v>107513</v>
      </c>
      <c r="AF14" s="104">
        <v>107605</v>
      </c>
      <c r="AG14" s="104">
        <v>107408</v>
      </c>
      <c r="AH14" s="88">
        <v>106789</v>
      </c>
      <c r="AI14" s="208">
        <f>(Tableau913[[#This Row],[mars-20]]-Tableau913[[#This Row],[dec-19]])/Tableau913[[#This Row],[dec-19]]</f>
        <v>-5.763071652018472E-3</v>
      </c>
      <c r="AJ14" s="219">
        <f>Tableau913[[#This Row],[mars-20]]-Tableau913[[#This Row],[dec-19]]</f>
        <v>-619</v>
      </c>
      <c r="AK14" s="2">
        <v>105551</v>
      </c>
      <c r="AL14" s="2">
        <v>105160</v>
      </c>
      <c r="AM14" s="2">
        <v>118000</v>
      </c>
      <c r="AN14" s="2">
        <v>116747</v>
      </c>
      <c r="AO14" s="2">
        <v>116553</v>
      </c>
      <c r="AP14" s="2">
        <v>120553</v>
      </c>
      <c r="AQ14" s="2">
        <v>120098</v>
      </c>
      <c r="AR14" s="2">
        <v>122000</v>
      </c>
      <c r="AS14" s="2">
        <v>118000</v>
      </c>
      <c r="AT14" s="2">
        <v>117000</v>
      </c>
      <c r="AU14" s="2"/>
      <c r="AV14" s="554">
        <f>(Tableau913[[#This Row],[juin-24]]-Tableau913[[#This Row],[avr-24]])/Tableau913[[#This Row],[avr-24]]</f>
        <v>-8.4745762711864406E-3</v>
      </c>
      <c r="AW14" s="548">
        <f>Tableau913[[#This Row],[juin-24]]-Tableau913[[#This Row],[avr-24]]</f>
        <v>-1000</v>
      </c>
    </row>
    <row r="15" spans="1:49" x14ac:dyDescent="0.3">
      <c r="A15" s="164"/>
      <c r="B15" s="99" t="s">
        <v>255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54"/>
      <c r="AI15" s="208"/>
      <c r="AJ15" s="219"/>
      <c r="AM15" s="1"/>
      <c r="AN15" s="2">
        <v>828</v>
      </c>
      <c r="AO15" s="2">
        <v>794</v>
      </c>
      <c r="AP15" s="2">
        <v>850</v>
      </c>
      <c r="AQ15" s="2">
        <v>818</v>
      </c>
      <c r="AR15" s="2">
        <v>666</v>
      </c>
      <c r="AS15" s="2">
        <v>898</v>
      </c>
      <c r="AT15" s="2">
        <v>865</v>
      </c>
      <c r="AU15" s="2"/>
      <c r="AV15" s="554">
        <f>(Tableau913[[#This Row],[juin-24]]-Tableau913[[#This Row],[avr-24]])/Tableau913[[#This Row],[avr-24]]</f>
        <v>-3.6748329621380846E-2</v>
      </c>
      <c r="AW15" s="548">
        <f>Tableau913[[#This Row],[juin-24]]-Tableau913[[#This Row],[avr-24]]</f>
        <v>-33</v>
      </c>
    </row>
    <row r="16" spans="1:49" x14ac:dyDescent="0.3">
      <c r="A16" s="164">
        <v>42</v>
      </c>
      <c r="B16" s="163" t="s">
        <v>181</v>
      </c>
      <c r="C16" s="104"/>
      <c r="D16" s="104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57"/>
      <c r="V16" s="57"/>
      <c r="W16" s="57"/>
      <c r="X16" s="88">
        <v>20860</v>
      </c>
      <c r="Y16" s="88">
        <v>21250</v>
      </c>
      <c r="Z16" s="88">
        <v>21536</v>
      </c>
      <c r="AA16" s="88">
        <v>21600</v>
      </c>
      <c r="AB16" s="88">
        <v>21670</v>
      </c>
      <c r="AC16" s="88">
        <v>21718</v>
      </c>
      <c r="AD16" s="105">
        <v>21784</v>
      </c>
      <c r="AE16" s="105">
        <v>21825</v>
      </c>
      <c r="AF16" s="105">
        <v>21786</v>
      </c>
      <c r="AG16" s="105">
        <v>21781</v>
      </c>
      <c r="AH16" s="88">
        <v>22397</v>
      </c>
      <c r="AI16" s="208">
        <f>(Tableau913[[#This Row],[mars-20]]-Tableau913[[#This Row],[dec-19]])/Tableau913[[#This Row],[dec-19]]</f>
        <v>2.8281529773655938E-2</v>
      </c>
      <c r="AJ16" s="219">
        <f>Tableau913[[#This Row],[mars-20]]-Tableau913[[#This Row],[dec-19]]</f>
        <v>616</v>
      </c>
      <c r="AK16" s="2">
        <v>23497</v>
      </c>
      <c r="AL16" s="2">
        <v>23577</v>
      </c>
      <c r="AM16" s="2">
        <v>78000</v>
      </c>
      <c r="AN16" s="2">
        <v>78000</v>
      </c>
      <c r="AO16" s="2">
        <v>78000</v>
      </c>
      <c r="AP16" s="2">
        <v>80524</v>
      </c>
      <c r="AQ16" s="2">
        <v>80636</v>
      </c>
      <c r="AR16" s="2">
        <v>81000</v>
      </c>
      <c r="AS16" s="2">
        <v>80000</v>
      </c>
      <c r="AT16" s="2">
        <v>80000</v>
      </c>
      <c r="AU16" s="2"/>
      <c r="AV16" s="554">
        <f>(Tableau913[[#This Row],[juin-24]]-Tableau913[[#This Row],[avr-24]])/Tableau913[[#This Row],[avr-24]]</f>
        <v>0</v>
      </c>
      <c r="AW16" s="548">
        <f>Tableau913[[#This Row],[juin-24]]-Tableau913[[#This Row],[avr-24]]</f>
        <v>0</v>
      </c>
    </row>
    <row r="17" spans="1:49" x14ac:dyDescent="0.3">
      <c r="A17" s="164"/>
      <c r="B17" s="99" t="s">
        <v>401</v>
      </c>
      <c r="C17" s="104"/>
      <c r="D17" s="104"/>
      <c r="E17" s="255"/>
      <c r="F17" s="255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118"/>
      <c r="V17" s="118"/>
      <c r="W17" s="118"/>
      <c r="X17" s="118"/>
      <c r="Y17" s="57"/>
      <c r="Z17" s="57"/>
      <c r="AA17" s="57"/>
      <c r="AB17" s="57"/>
      <c r="AC17" s="57"/>
      <c r="AD17" s="57"/>
      <c r="AE17" s="57"/>
      <c r="AF17" s="88"/>
      <c r="AG17" s="88"/>
      <c r="AH17" s="54"/>
      <c r="AI17" s="208"/>
      <c r="AJ17" s="219">
        <f>Tableau913[[#This Row],[mars-20]]-Tableau913[[#This Row],[dec-19]]</f>
        <v>0</v>
      </c>
      <c r="AK17" s="2"/>
      <c r="AL17" s="2"/>
      <c r="AM17" s="2"/>
      <c r="AN17" s="2">
        <f>1128169+1540810+586378</f>
        <v>3255357</v>
      </c>
      <c r="AO17" s="2"/>
      <c r="AP17" s="2"/>
      <c r="AQ17" s="2"/>
      <c r="AR17" s="2"/>
      <c r="AS17" s="2">
        <v>583</v>
      </c>
      <c r="AT17" s="2">
        <v>584</v>
      </c>
      <c r="AU17" s="2"/>
      <c r="AV17" s="554">
        <f>(Tableau913[[#This Row],[juin-24]]-Tableau913[[#This Row],[avr-24]])/Tableau913[[#This Row],[avr-24]]</f>
        <v>1.7152658662092624E-3</v>
      </c>
      <c r="AW17" s="548">
        <f>Tableau913[[#This Row],[juin-24]]-Tableau913[[#This Row],[avr-24]]</f>
        <v>1</v>
      </c>
    </row>
    <row r="18" spans="1:49" x14ac:dyDescent="0.3">
      <c r="A18" s="164"/>
      <c r="B18" s="164" t="s">
        <v>300</v>
      </c>
      <c r="C18" s="104"/>
      <c r="D18" s="104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118"/>
      <c r="V18" s="118"/>
      <c r="W18" s="118"/>
      <c r="X18" s="118"/>
      <c r="Y18" s="57"/>
      <c r="Z18" s="57"/>
      <c r="AA18" s="57"/>
      <c r="AB18" s="57"/>
      <c r="AC18" s="57"/>
      <c r="AD18" s="57"/>
      <c r="AE18" s="57"/>
      <c r="AF18" s="88"/>
      <c r="AG18" s="88"/>
      <c r="AH18" s="54"/>
      <c r="AI18" s="208"/>
      <c r="AJ18" s="219"/>
      <c r="AK18" s="2"/>
      <c r="AL18" s="2"/>
      <c r="AM18" s="2"/>
      <c r="AN18" s="2"/>
      <c r="AO18" s="2"/>
      <c r="AP18" s="2">
        <v>40416</v>
      </c>
      <c r="AQ18" s="2">
        <v>41292</v>
      </c>
      <c r="AR18" s="2">
        <v>42000</v>
      </c>
      <c r="AS18" s="2">
        <v>42000</v>
      </c>
      <c r="AT18" s="2">
        <v>42000</v>
      </c>
      <c r="AU18" s="2"/>
      <c r="AV18" s="554">
        <f>(Tableau913[[#This Row],[juin-24]]-Tableau913[[#This Row],[avr-24]])/Tableau913[[#This Row],[avr-24]]</f>
        <v>0</v>
      </c>
      <c r="AW18" s="548">
        <f>Tableau913[[#This Row],[juin-24]]-Tableau913[[#This Row],[avr-24]]</f>
        <v>0</v>
      </c>
    </row>
    <row r="19" spans="1:49" x14ac:dyDescent="0.3">
      <c r="A19" s="166"/>
      <c r="B19" s="163" t="s">
        <v>87</v>
      </c>
      <c r="C19" s="105">
        <v>542175</v>
      </c>
      <c r="D19" s="105">
        <v>546770</v>
      </c>
      <c r="E19" s="105">
        <v>563368</v>
      </c>
      <c r="F19" s="105">
        <v>565111</v>
      </c>
      <c r="G19" s="105">
        <v>568256</v>
      </c>
      <c r="H19" s="105">
        <v>568166</v>
      </c>
      <c r="I19" s="105">
        <v>568298</v>
      </c>
      <c r="J19" s="105">
        <v>569144</v>
      </c>
      <c r="K19" s="105">
        <v>568896</v>
      </c>
      <c r="L19" s="57">
        <v>0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/>
      <c r="Z19" s="57"/>
      <c r="AA19" s="57"/>
      <c r="AB19" s="57"/>
      <c r="AC19" s="57"/>
      <c r="AD19" s="57"/>
      <c r="AE19" s="105"/>
      <c r="AF19" s="105"/>
      <c r="AG19" s="105"/>
      <c r="AH19" s="54"/>
      <c r="AI19" s="208"/>
      <c r="AJ19" s="219"/>
      <c r="AM19" s="1">
        <v>578265</v>
      </c>
      <c r="AN19" s="2">
        <v>586378</v>
      </c>
      <c r="AO19" s="2">
        <v>524713</v>
      </c>
      <c r="AP19" s="2">
        <v>525707</v>
      </c>
      <c r="AQ19" s="2">
        <v>524230</v>
      </c>
      <c r="AR19" s="2">
        <v>520000</v>
      </c>
      <c r="AS19" s="2">
        <v>517000</v>
      </c>
      <c r="AT19" s="2">
        <v>517000</v>
      </c>
      <c r="AU19" s="2"/>
      <c r="AV19" s="554">
        <f>(Tableau913[[#This Row],[juin-24]]-Tableau913[[#This Row],[avr-24]])/Tableau913[[#This Row],[avr-24]]</f>
        <v>0</v>
      </c>
      <c r="AW19" s="548">
        <f>Tableau913[[#This Row],[juin-24]]-Tableau913[[#This Row],[avr-24]]</f>
        <v>0</v>
      </c>
    </row>
    <row r="20" spans="1:49" x14ac:dyDescent="0.3">
      <c r="A20" s="164"/>
      <c r="B20" s="99" t="s">
        <v>404</v>
      </c>
      <c r="C20" s="104"/>
      <c r="D20" s="104"/>
      <c r="E20" s="255"/>
      <c r="F20" s="255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118"/>
      <c r="V20" s="118"/>
      <c r="W20" s="118"/>
      <c r="X20" s="118"/>
      <c r="Y20" s="57"/>
      <c r="Z20" s="57"/>
      <c r="AA20" s="57"/>
      <c r="AB20" s="57"/>
      <c r="AC20" s="57"/>
      <c r="AD20" s="57"/>
      <c r="AE20" s="57"/>
      <c r="AF20" s="88"/>
      <c r="AG20" s="88"/>
      <c r="AH20" s="54"/>
      <c r="AI20" s="208"/>
      <c r="AJ20" s="219">
        <f>Tableau913[[#This Row],[mars-20]]-Tableau913[[#This Row],[dec-19]]</f>
        <v>0</v>
      </c>
      <c r="AK20" s="2"/>
      <c r="AL20" s="2"/>
      <c r="AM20" s="2"/>
      <c r="AN20" s="2">
        <f>1128169+1540810+586378</f>
        <v>3255357</v>
      </c>
      <c r="AO20" s="2"/>
      <c r="AP20" s="2"/>
      <c r="AQ20" s="2"/>
      <c r="AR20" s="2"/>
      <c r="AS20" s="2">
        <v>461</v>
      </c>
      <c r="AT20" s="2">
        <v>478</v>
      </c>
      <c r="AU20" s="2"/>
      <c r="AV20" s="554">
        <f>(Tableau913[[#This Row],[juin-24]]-Tableau913[[#This Row],[avr-24]])/Tableau913[[#This Row],[avr-24]]</f>
        <v>3.6876355748373099E-2</v>
      </c>
      <c r="AW20" s="548">
        <f>Tableau913[[#This Row],[juin-24]]-Tableau913[[#This Row],[avr-24]]</f>
        <v>17</v>
      </c>
    </row>
    <row r="21" spans="1:49" x14ac:dyDescent="0.3">
      <c r="A21" s="164"/>
      <c r="B21" s="163" t="s">
        <v>253</v>
      </c>
      <c r="C21" s="104"/>
      <c r="D21" s="104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104"/>
      <c r="AE21" s="104"/>
      <c r="AF21" s="104"/>
      <c r="AG21" s="104"/>
      <c r="AH21" s="88"/>
      <c r="AI21" s="208"/>
      <c r="AJ21" s="219"/>
      <c r="AK21" s="2"/>
      <c r="AL21" s="2"/>
      <c r="AM21" s="2"/>
      <c r="AN21" s="2">
        <v>8619</v>
      </c>
      <c r="AO21" s="2">
        <v>9388</v>
      </c>
      <c r="AP21" s="2">
        <v>10000</v>
      </c>
      <c r="AQ21" s="2">
        <v>12000</v>
      </c>
      <c r="AR21" s="2">
        <v>24000</v>
      </c>
      <c r="AS21" s="2">
        <v>26000</v>
      </c>
      <c r="AT21" s="2">
        <v>27000</v>
      </c>
      <c r="AU21" s="2"/>
      <c r="AV21" s="554">
        <f>(Tableau913[[#This Row],[juin-24]]-Tableau913[[#This Row],[avr-24]])/Tableau913[[#This Row],[avr-24]]</f>
        <v>3.8461538461538464E-2</v>
      </c>
      <c r="AW21" s="548">
        <f>Tableau913[[#This Row],[juin-24]]-Tableau913[[#This Row],[avr-24]]</f>
        <v>1000</v>
      </c>
    </row>
    <row r="22" spans="1:49" x14ac:dyDescent="0.3">
      <c r="A22" s="164"/>
      <c r="B22" s="164" t="s">
        <v>240</v>
      </c>
      <c r="C22" s="104"/>
      <c r="D22" s="104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118"/>
      <c r="V22" s="118"/>
      <c r="W22" s="118"/>
      <c r="X22" s="118"/>
      <c r="Y22" s="57"/>
      <c r="Z22" s="57"/>
      <c r="AA22" s="57"/>
      <c r="AB22" s="57"/>
      <c r="AC22" s="57"/>
      <c r="AD22" s="57"/>
      <c r="AE22" s="57"/>
      <c r="AF22" s="88"/>
      <c r="AG22" s="88"/>
      <c r="AH22" s="54"/>
      <c r="AI22" s="208"/>
      <c r="AJ22" s="219"/>
      <c r="AK22" s="2"/>
      <c r="AL22" s="2"/>
      <c r="AM22" s="2"/>
      <c r="AN22" s="2">
        <v>78041</v>
      </c>
      <c r="AO22" s="2">
        <v>78214</v>
      </c>
      <c r="AP22" s="2">
        <v>80677</v>
      </c>
      <c r="AQ22" s="2">
        <v>82081</v>
      </c>
      <c r="AR22" s="2">
        <v>83000</v>
      </c>
      <c r="AS22" s="2">
        <v>83000</v>
      </c>
      <c r="AT22" s="2">
        <v>83000</v>
      </c>
      <c r="AU22" s="2"/>
      <c r="AV22" s="554">
        <f>(Tableau913[[#This Row],[juin-24]]-Tableau913[[#This Row],[avr-24]])/Tableau913[[#This Row],[avr-24]]</f>
        <v>0</v>
      </c>
      <c r="AW22" s="548">
        <f>Tableau913[[#This Row],[juin-24]]-Tableau913[[#This Row],[avr-24]]</f>
        <v>0</v>
      </c>
    </row>
    <row r="23" spans="1:49" x14ac:dyDescent="0.3">
      <c r="A23" s="164"/>
      <c r="B23" s="164" t="s">
        <v>250</v>
      </c>
      <c r="C23" s="104"/>
      <c r="D23" s="104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118"/>
      <c r="V23" s="118"/>
      <c r="W23" s="118"/>
      <c r="X23" s="118"/>
      <c r="Y23" s="57"/>
      <c r="Z23" s="57"/>
      <c r="AA23" s="57"/>
      <c r="AB23" s="57"/>
      <c r="AC23" s="57"/>
      <c r="AD23" s="104"/>
      <c r="AE23" s="104"/>
      <c r="AF23" s="104"/>
      <c r="AG23" s="104"/>
      <c r="AH23" s="88"/>
      <c r="AI23" s="208"/>
      <c r="AJ23" s="148"/>
      <c r="AK23" s="2"/>
      <c r="AL23" s="2"/>
      <c r="AM23" s="2"/>
      <c r="AN23" s="2">
        <v>9800</v>
      </c>
      <c r="AO23" s="2">
        <v>9800</v>
      </c>
      <c r="AP23" s="2">
        <v>10588</v>
      </c>
      <c r="AQ23" s="2">
        <v>10626</v>
      </c>
      <c r="AR23" s="2">
        <v>11000</v>
      </c>
      <c r="AS23" s="2">
        <v>11000</v>
      </c>
      <c r="AT23" s="2">
        <v>11000</v>
      </c>
      <c r="AU23" s="2"/>
      <c r="AV23" s="554">
        <f>(Tableau913[[#This Row],[juin-24]]-Tableau913[[#This Row],[avr-24]])/Tableau913[[#This Row],[avr-24]]</f>
        <v>0</v>
      </c>
      <c r="AW23" s="548">
        <f>Tableau913[[#This Row],[juin-24]]-Tableau913[[#This Row],[avr-24]]</f>
        <v>0</v>
      </c>
    </row>
    <row r="24" spans="1:49" x14ac:dyDescent="0.3">
      <c r="A24" s="164">
        <v>28</v>
      </c>
      <c r="B24" s="163" t="s">
        <v>161</v>
      </c>
      <c r="C24" s="104"/>
      <c r="D24" s="104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>
        <v>7946</v>
      </c>
      <c r="U24" s="88">
        <v>7948</v>
      </c>
      <c r="V24" s="88">
        <v>7941</v>
      </c>
      <c r="W24" s="88">
        <v>7930</v>
      </c>
      <c r="X24" s="88">
        <v>7935</v>
      </c>
      <c r="Y24" s="88">
        <v>8075</v>
      </c>
      <c r="Z24" s="88">
        <v>8069</v>
      </c>
      <c r="AA24" s="57">
        <v>8079</v>
      </c>
      <c r="AB24" s="57">
        <v>8108</v>
      </c>
      <c r="AC24" s="57">
        <v>8468</v>
      </c>
      <c r="AD24" s="104">
        <v>8467</v>
      </c>
      <c r="AE24" s="105">
        <v>8491</v>
      </c>
      <c r="AF24" s="105">
        <v>8515</v>
      </c>
      <c r="AG24" s="105">
        <v>8510</v>
      </c>
      <c r="AH24" s="88">
        <v>8565</v>
      </c>
      <c r="AI24" s="208">
        <f>(Tableau913[[#This Row],[mars-20]]-Tableau913[[#This Row],[dec-19]])/Tableau913[[#This Row],[dec-19]]</f>
        <v>6.4629847238542888E-3</v>
      </c>
      <c r="AJ24" s="219">
        <f>Tableau913[[#This Row],[mars-20]]-Tableau913[[#This Row],[dec-19]]</f>
        <v>55</v>
      </c>
      <c r="AK24" s="2">
        <v>9246</v>
      </c>
      <c r="AL24" s="2">
        <v>9275</v>
      </c>
      <c r="AM24" s="2">
        <v>22000</v>
      </c>
      <c r="AN24" s="2">
        <v>22914</v>
      </c>
      <c r="AO24" s="2">
        <v>22912</v>
      </c>
      <c r="AP24" s="2">
        <v>23023</v>
      </c>
      <c r="AQ24" s="2">
        <v>22915</v>
      </c>
      <c r="AR24" s="2">
        <v>22733</v>
      </c>
      <c r="AS24" s="2">
        <v>22000</v>
      </c>
      <c r="AT24" s="2">
        <v>22000</v>
      </c>
      <c r="AU24" s="2"/>
      <c r="AV24" s="554">
        <f>(Tableau913[[#This Row],[juin-24]]-Tableau913[[#This Row],[avr-24]])/Tableau913[[#This Row],[avr-24]]</f>
        <v>0</v>
      </c>
      <c r="AW24" s="548">
        <f>Tableau913[[#This Row],[juin-24]]-Tableau913[[#This Row],[avr-24]]</f>
        <v>0</v>
      </c>
    </row>
    <row r="25" spans="1:49" x14ac:dyDescent="0.3">
      <c r="A25" s="164"/>
      <c r="B25" s="99" t="s">
        <v>310</v>
      </c>
      <c r="C25" s="104"/>
      <c r="D25" s="104"/>
      <c r="E25" s="255"/>
      <c r="F25" s="255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118"/>
      <c r="V25" s="118"/>
      <c r="W25" s="118"/>
      <c r="X25" s="118"/>
      <c r="Y25" s="57"/>
      <c r="Z25" s="57"/>
      <c r="AA25" s="57"/>
      <c r="AB25" s="57"/>
      <c r="AC25" s="57"/>
      <c r="AD25" s="57"/>
      <c r="AE25" s="57"/>
      <c r="AF25" s="88"/>
      <c r="AG25" s="88"/>
      <c r="AH25" s="54"/>
      <c r="AI25" s="208"/>
      <c r="AJ25" s="219"/>
      <c r="AK25" s="2"/>
      <c r="AL25" s="2"/>
      <c r="AM25" s="2"/>
      <c r="AN25" s="2"/>
      <c r="AO25" s="2"/>
      <c r="AP25" s="2">
        <v>0</v>
      </c>
      <c r="AQ25" s="2">
        <v>0</v>
      </c>
      <c r="AR25" s="2">
        <v>1300</v>
      </c>
      <c r="AS25" s="2">
        <v>1400</v>
      </c>
      <c r="AT25" s="2"/>
      <c r="AU25" s="2"/>
      <c r="AV25" s="554">
        <f>(Tableau913[[#This Row],[juin-24]]-Tableau913[[#This Row],[avr-24]])/Tableau913[[#This Row],[avr-24]]</f>
        <v>-1</v>
      </c>
      <c r="AW25" s="548">
        <f>Tableau913[[#This Row],[juin-24]]-Tableau913[[#This Row],[avr-24]]</f>
        <v>-1400</v>
      </c>
    </row>
    <row r="26" spans="1:49" x14ac:dyDescent="0.3">
      <c r="A26" s="123"/>
      <c r="B26" s="163" t="s">
        <v>274</v>
      </c>
      <c r="C26" s="57"/>
      <c r="D26" s="5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05"/>
      <c r="AF26" s="105"/>
      <c r="AG26" s="105"/>
      <c r="AH26" s="54"/>
      <c r="AI26" s="208"/>
      <c r="AJ26" s="219"/>
      <c r="AM26" s="1"/>
      <c r="AN26" s="2"/>
      <c r="AO26" s="2"/>
      <c r="AP26" s="2">
        <v>3549</v>
      </c>
      <c r="AQ26" s="2">
        <v>3552</v>
      </c>
      <c r="AR26" s="2">
        <v>3600</v>
      </c>
      <c r="AS26" s="2">
        <v>3600</v>
      </c>
      <c r="AT26" s="2">
        <v>3600</v>
      </c>
      <c r="AU26" s="2"/>
      <c r="AV26" s="554">
        <f>(Tableau913[[#This Row],[juin-24]]-Tableau913[[#This Row],[avr-24]])/Tableau913[[#This Row],[avr-24]]</f>
        <v>0</v>
      </c>
      <c r="AW26" s="548">
        <f>Tableau913[[#This Row],[juin-24]]-Tableau913[[#This Row],[avr-24]]</f>
        <v>0</v>
      </c>
    </row>
    <row r="27" spans="1:49" x14ac:dyDescent="0.3">
      <c r="A27" s="123"/>
      <c r="B27" s="99" t="s">
        <v>150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/>
      <c r="Z27" s="57"/>
      <c r="AA27" s="57"/>
      <c r="AB27" s="57"/>
      <c r="AC27" s="57"/>
      <c r="AD27" s="57"/>
      <c r="AE27" s="104"/>
      <c r="AF27" s="104"/>
      <c r="AG27" s="104"/>
      <c r="AH27" s="54"/>
      <c r="AI27" s="208"/>
      <c r="AJ27" s="219"/>
      <c r="AM27" s="1"/>
      <c r="AN27" s="2"/>
      <c r="AO27" s="2"/>
      <c r="AP27" s="2">
        <v>0</v>
      </c>
      <c r="AQ27" s="2">
        <v>0</v>
      </c>
      <c r="AR27" s="2">
        <v>0</v>
      </c>
      <c r="AS27" s="2">
        <v>4300</v>
      </c>
      <c r="AT27" s="2">
        <v>10000</v>
      </c>
      <c r="AU27" s="2"/>
      <c r="AV27" s="554">
        <f>(Tableau913[[#This Row],[juin-24]]-Tableau913[[#This Row],[avr-24]])/Tableau913[[#This Row],[avr-24]]</f>
        <v>1.3255813953488371</v>
      </c>
      <c r="AW27" s="548">
        <f>Tableau913[[#This Row],[juin-24]]-Tableau913[[#This Row],[avr-24]]</f>
        <v>5700</v>
      </c>
    </row>
    <row r="28" spans="1:49" x14ac:dyDescent="0.3">
      <c r="A28" s="164">
        <v>32</v>
      </c>
      <c r="B28" s="163" t="s">
        <v>136</v>
      </c>
      <c r="C28" s="104"/>
      <c r="D28" s="104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>
        <v>11244</v>
      </c>
      <c r="U28" s="88">
        <v>11284</v>
      </c>
      <c r="V28" s="88">
        <v>11344</v>
      </c>
      <c r="W28" s="88">
        <v>11540</v>
      </c>
      <c r="X28" s="88">
        <v>11635</v>
      </c>
      <c r="Y28" s="88">
        <v>11820</v>
      </c>
      <c r="Z28" s="88">
        <v>11825</v>
      </c>
      <c r="AA28" s="88">
        <v>12715</v>
      </c>
      <c r="AB28" s="88">
        <v>12848</v>
      </c>
      <c r="AC28" s="88">
        <v>13338</v>
      </c>
      <c r="AD28" s="104">
        <v>14608</v>
      </c>
      <c r="AE28" s="105">
        <v>14846</v>
      </c>
      <c r="AF28" s="105">
        <v>15159</v>
      </c>
      <c r="AG28" s="105">
        <v>15289</v>
      </c>
      <c r="AH28" s="88">
        <v>16480</v>
      </c>
      <c r="AI28" s="208">
        <f>(Tableau913[[#This Row],[mars-20]]-Tableau913[[#This Row],[dec-19]])/Tableau913[[#This Row],[dec-19]]</f>
        <v>7.7899143174831584E-2</v>
      </c>
      <c r="AJ28" s="219">
        <f>Tableau913[[#This Row],[mars-20]]-Tableau913[[#This Row],[dec-19]]</f>
        <v>1191</v>
      </c>
      <c r="AK28" s="2">
        <v>18872</v>
      </c>
      <c r="AL28" s="2">
        <v>19372</v>
      </c>
      <c r="AM28" s="2">
        <v>98000</v>
      </c>
      <c r="AN28" s="2">
        <v>100176</v>
      </c>
      <c r="AO28" s="2">
        <v>100304</v>
      </c>
      <c r="AP28" s="2">
        <v>100046</v>
      </c>
      <c r="AQ28" s="2">
        <v>100043</v>
      </c>
      <c r="AR28" s="2">
        <v>99000</v>
      </c>
      <c r="AS28" s="2">
        <v>99000</v>
      </c>
      <c r="AT28" s="2">
        <v>99000</v>
      </c>
      <c r="AU28" s="2"/>
      <c r="AV28" s="554">
        <f>(Tableau913[[#This Row],[juin-24]]-Tableau913[[#This Row],[avr-24]])/Tableau913[[#This Row],[avr-24]]</f>
        <v>0</v>
      </c>
      <c r="AW28" s="548">
        <f>Tableau913[[#This Row],[juin-24]]-Tableau913[[#This Row],[avr-24]]</f>
        <v>0</v>
      </c>
    </row>
    <row r="29" spans="1:49" x14ac:dyDescent="0.3">
      <c r="A29" s="164"/>
      <c r="B29" s="164" t="s">
        <v>324</v>
      </c>
      <c r="C29" s="104"/>
      <c r="D29" s="104"/>
      <c r="E29" s="255"/>
      <c r="F29" s="255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118"/>
      <c r="V29" s="118"/>
      <c r="W29" s="118"/>
      <c r="X29" s="118"/>
      <c r="Y29" s="57"/>
      <c r="Z29" s="57"/>
      <c r="AA29" s="57"/>
      <c r="AB29" s="57"/>
      <c r="AC29" s="57"/>
      <c r="AD29" s="57"/>
      <c r="AE29" s="57"/>
      <c r="AF29" s="88"/>
      <c r="AG29" s="88"/>
      <c r="AH29" s="54"/>
      <c r="AI29" s="208"/>
      <c r="AJ29" s="219"/>
      <c r="AK29" s="2"/>
      <c r="AL29" s="2"/>
      <c r="AM29" s="2"/>
      <c r="AN29" s="2"/>
      <c r="AO29" s="2"/>
      <c r="AP29" s="2">
        <v>25537</v>
      </c>
      <c r="AQ29" s="2">
        <v>25403</v>
      </c>
      <c r="AR29" s="2">
        <v>25000</v>
      </c>
      <c r="AS29" s="2">
        <v>24000</v>
      </c>
      <c r="AT29" s="2">
        <v>24000</v>
      </c>
      <c r="AU29" s="2"/>
      <c r="AV29" s="554">
        <f>(Tableau913[[#This Row],[juin-24]]-Tableau913[[#This Row],[avr-24]])/Tableau913[[#This Row],[avr-24]]</f>
        <v>0</v>
      </c>
      <c r="AW29" s="548">
        <f>Tableau913[[#This Row],[juin-24]]-Tableau913[[#This Row],[avr-24]]</f>
        <v>0</v>
      </c>
    </row>
    <row r="30" spans="1:49" x14ac:dyDescent="0.3">
      <c r="A30" s="164"/>
      <c r="B30" s="164" t="s">
        <v>198</v>
      </c>
      <c r="C30" s="104"/>
      <c r="D30" s="104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118"/>
      <c r="V30" s="118"/>
      <c r="W30" s="118"/>
      <c r="X30" s="118"/>
      <c r="Y30" s="57"/>
      <c r="Z30" s="57"/>
      <c r="AA30" s="57"/>
      <c r="AB30" s="57">
        <v>9291</v>
      </c>
      <c r="AC30" s="57">
        <v>9796</v>
      </c>
      <c r="AD30" s="105">
        <v>10219</v>
      </c>
      <c r="AE30" s="104">
        <v>10356</v>
      </c>
      <c r="AF30" s="104">
        <v>10514</v>
      </c>
      <c r="AG30" s="104">
        <v>10535</v>
      </c>
      <c r="AH30" s="88">
        <v>10843</v>
      </c>
      <c r="AI30" s="208">
        <f>(Tableau913[[#This Row],[mars-20]]-Tableau913[[#This Row],[dec-19]])/Tableau913[[#This Row],[dec-19]]</f>
        <v>2.9235880398671095E-2</v>
      </c>
      <c r="AJ30" s="148">
        <f>Tableau913[[#This Row],[mars-20]]-Tableau913[[#This Row],[dec-19]]</f>
        <v>308</v>
      </c>
      <c r="AK30" s="2">
        <v>13016</v>
      </c>
      <c r="AL30" s="2">
        <v>24000</v>
      </c>
      <c r="AM30" s="2">
        <v>51000</v>
      </c>
      <c r="AN30" s="2">
        <v>53000</v>
      </c>
      <c r="AO30" s="2">
        <v>54000</v>
      </c>
      <c r="AP30" s="2">
        <v>61192</v>
      </c>
      <c r="AQ30" s="2">
        <v>61553</v>
      </c>
      <c r="AR30" s="2">
        <v>63000</v>
      </c>
      <c r="AS30" s="2">
        <v>63000</v>
      </c>
      <c r="AT30" s="2">
        <v>63000</v>
      </c>
      <c r="AU30" s="2"/>
      <c r="AV30" s="554">
        <f>(Tableau913[[#This Row],[juin-24]]-Tableau913[[#This Row],[avr-24]])/Tableau913[[#This Row],[avr-24]]</f>
        <v>0</v>
      </c>
      <c r="AW30" s="548">
        <f>Tableau913[[#This Row],[juin-24]]-Tableau913[[#This Row],[avr-24]]</f>
        <v>0</v>
      </c>
    </row>
    <row r="31" spans="1:49" x14ac:dyDescent="0.3">
      <c r="A31" s="164">
        <v>14</v>
      </c>
      <c r="B31" s="163" t="s">
        <v>128</v>
      </c>
      <c r="C31" s="104"/>
      <c r="D31" s="104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>
        <v>26041</v>
      </c>
      <c r="U31" s="88">
        <v>28719</v>
      </c>
      <c r="V31" s="88">
        <v>28700</v>
      </c>
      <c r="W31" s="88">
        <v>28692</v>
      </c>
      <c r="X31" s="88">
        <v>28670</v>
      </c>
      <c r="Y31" s="88">
        <v>28650</v>
      </c>
      <c r="Z31" s="88">
        <v>27283</v>
      </c>
      <c r="AA31" s="88">
        <v>28835</v>
      </c>
      <c r="AB31" s="88">
        <v>29021</v>
      </c>
      <c r="AC31" s="88">
        <v>30244</v>
      </c>
      <c r="AD31" s="105">
        <v>31471</v>
      </c>
      <c r="AE31" s="104">
        <v>32803</v>
      </c>
      <c r="AF31" s="104">
        <v>33115</v>
      </c>
      <c r="AG31" s="104">
        <v>33208</v>
      </c>
      <c r="AH31" s="88">
        <v>34131</v>
      </c>
      <c r="AI31" s="208">
        <f>(Tableau913[[#This Row],[mars-20]]-Tableau913[[#This Row],[dec-19]])/Tableau913[[#This Row],[dec-19]]</f>
        <v>2.7794507347627079E-2</v>
      </c>
      <c r="AJ31" s="219">
        <f>Tableau913[[#This Row],[mars-20]]-Tableau913[[#This Row],[dec-19]]</f>
        <v>923</v>
      </c>
      <c r="AK31" s="2">
        <v>35593</v>
      </c>
      <c r="AL31" s="2">
        <v>36668</v>
      </c>
      <c r="AM31" s="2">
        <v>94000</v>
      </c>
      <c r="AN31" s="2">
        <v>97305</v>
      </c>
      <c r="AO31" s="2">
        <v>97176</v>
      </c>
      <c r="AP31" s="2">
        <v>96880</v>
      </c>
      <c r="AQ31" s="2">
        <v>96687</v>
      </c>
      <c r="AR31" s="2">
        <v>96000</v>
      </c>
      <c r="AS31" s="2">
        <v>96000</v>
      </c>
      <c r="AT31" s="2">
        <v>96000</v>
      </c>
      <c r="AU31" s="2"/>
      <c r="AV31" s="554">
        <f>(Tableau913[[#This Row],[juin-24]]-Tableau913[[#This Row],[avr-24]])/Tableau913[[#This Row],[avr-24]]</f>
        <v>0</v>
      </c>
      <c r="AW31" s="548">
        <f>Tableau913[[#This Row],[juin-24]]-Tableau913[[#This Row],[avr-24]]</f>
        <v>0</v>
      </c>
    </row>
    <row r="32" spans="1:49" x14ac:dyDescent="0.3">
      <c r="A32" s="591"/>
      <c r="B32" s="227" t="s">
        <v>259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  <c r="AA32" s="57"/>
      <c r="AB32" s="57"/>
      <c r="AC32" s="57"/>
      <c r="AD32" s="57"/>
      <c r="AE32" s="105"/>
      <c r="AF32" s="105"/>
      <c r="AG32" s="105"/>
      <c r="AH32" s="54"/>
      <c r="AI32" s="208"/>
      <c r="AJ32" s="219"/>
      <c r="AM32" s="1"/>
      <c r="AN32" s="2">
        <v>1473</v>
      </c>
      <c r="AO32" s="2">
        <v>1502</v>
      </c>
      <c r="AP32" s="2">
        <v>1900</v>
      </c>
      <c r="AQ32" s="2">
        <v>1887</v>
      </c>
      <c r="AR32" s="2">
        <v>1800</v>
      </c>
      <c r="AS32" s="2">
        <v>1900</v>
      </c>
      <c r="AT32" s="2">
        <v>1900</v>
      </c>
      <c r="AU32" s="2"/>
      <c r="AV32" s="554">
        <f>(Tableau913[[#This Row],[juin-24]]-Tableau913[[#This Row],[avr-24]])/Tableau913[[#This Row],[avr-24]]</f>
        <v>0</v>
      </c>
      <c r="AW32" s="548">
        <f>Tableau913[[#This Row],[juin-24]]-Tableau913[[#This Row],[avr-24]]</f>
        <v>0</v>
      </c>
    </row>
    <row r="33" spans="1:49" x14ac:dyDescent="0.3">
      <c r="A33" s="164"/>
      <c r="B33" s="164" t="s">
        <v>316</v>
      </c>
      <c r="C33" s="104"/>
      <c r="D33" s="104"/>
      <c r="E33" s="255"/>
      <c r="F33" s="255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118"/>
      <c r="V33" s="118"/>
      <c r="W33" s="118"/>
      <c r="X33" s="118"/>
      <c r="Y33" s="57"/>
      <c r="Z33" s="57"/>
      <c r="AA33" s="57"/>
      <c r="AB33" s="57"/>
      <c r="AC33" s="57"/>
      <c r="AD33" s="57"/>
      <c r="AE33" s="57"/>
      <c r="AF33" s="88"/>
      <c r="AG33" s="88"/>
      <c r="AH33" s="54"/>
      <c r="AI33" s="208"/>
      <c r="AJ33" s="219"/>
      <c r="AK33" s="2"/>
      <c r="AL33" s="2"/>
      <c r="AM33" s="2"/>
      <c r="AN33" s="2"/>
      <c r="AO33" s="2"/>
      <c r="AP33" s="2">
        <v>9100</v>
      </c>
      <c r="AQ33" s="2">
        <v>9383</v>
      </c>
      <c r="AR33" s="2">
        <v>11000</v>
      </c>
      <c r="AS33" s="2">
        <v>11000</v>
      </c>
      <c r="AT33" s="2">
        <v>11000</v>
      </c>
      <c r="AU33" s="2"/>
      <c r="AV33" s="554">
        <f>(Tableau913[[#This Row],[juin-24]]-Tableau913[[#This Row],[avr-24]])/Tableau913[[#This Row],[avr-24]]</f>
        <v>0</v>
      </c>
      <c r="AW33" s="548">
        <f>Tableau913[[#This Row],[juin-24]]-Tableau913[[#This Row],[avr-24]]</f>
        <v>0</v>
      </c>
    </row>
    <row r="34" spans="1:49" x14ac:dyDescent="0.3">
      <c r="A34" s="123"/>
      <c r="B34" s="54" t="s">
        <v>121</v>
      </c>
      <c r="C34" s="118"/>
      <c r="D34" s="118"/>
      <c r="E34" s="330"/>
      <c r="F34" s="33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18"/>
      <c r="V34" s="118"/>
      <c r="W34" s="118"/>
      <c r="X34" s="118"/>
      <c r="Y34" s="57"/>
      <c r="Z34" s="57"/>
      <c r="AA34" s="57"/>
      <c r="AB34" s="57"/>
      <c r="AC34" s="57"/>
      <c r="AD34" s="57"/>
      <c r="AE34" s="57"/>
      <c r="AF34" s="88"/>
      <c r="AG34" s="88"/>
      <c r="AH34" s="54"/>
      <c r="AI34" s="208"/>
      <c r="AJ34" s="219"/>
      <c r="AM34" s="1"/>
      <c r="AN34" s="2"/>
      <c r="AO34" s="2"/>
      <c r="AP34" s="2">
        <v>0</v>
      </c>
      <c r="AQ34" s="2">
        <v>0</v>
      </c>
      <c r="AR34" s="2">
        <v>13000</v>
      </c>
      <c r="AS34" s="2">
        <v>13000</v>
      </c>
      <c r="AT34" s="2">
        <v>13000</v>
      </c>
      <c r="AU34" s="2"/>
      <c r="AV34" s="554">
        <f>(Tableau913[[#This Row],[juin-24]]-Tableau913[[#This Row],[avr-24]])/Tableau913[[#This Row],[avr-24]]</f>
        <v>0</v>
      </c>
      <c r="AW34" s="548">
        <f>Tableau913[[#This Row],[juin-24]]-Tableau913[[#This Row],[avr-24]]</f>
        <v>0</v>
      </c>
    </row>
    <row r="35" spans="1:49" x14ac:dyDescent="0.3">
      <c r="A35" s="164">
        <v>8</v>
      </c>
      <c r="B35" s="163" t="s">
        <v>123</v>
      </c>
      <c r="C35" s="104"/>
      <c r="D35" s="104"/>
      <c r="E35" s="88"/>
      <c r="F35" s="88"/>
      <c r="G35" s="88"/>
      <c r="H35" s="88"/>
      <c r="I35" s="88"/>
      <c r="J35" s="88"/>
      <c r="K35" s="88"/>
      <c r="L35" s="88">
        <v>213245</v>
      </c>
      <c r="M35" s="88">
        <v>212935</v>
      </c>
      <c r="N35" s="88">
        <v>212117</v>
      </c>
      <c r="O35" s="88">
        <v>211731</v>
      </c>
      <c r="P35" s="88">
        <v>211754</v>
      </c>
      <c r="Q35" s="88">
        <v>221431</v>
      </c>
      <c r="R35" s="88">
        <v>223019</v>
      </c>
      <c r="S35" s="88">
        <v>223330</v>
      </c>
      <c r="T35" s="88">
        <v>223180</v>
      </c>
      <c r="U35" s="88">
        <v>223002</v>
      </c>
      <c r="V35" s="88">
        <v>223670</v>
      </c>
      <c r="W35" s="88">
        <v>223494</v>
      </c>
      <c r="X35" s="88">
        <v>223360</v>
      </c>
      <c r="Y35" s="88">
        <v>223290</v>
      </c>
      <c r="Z35" s="88">
        <v>223193</v>
      </c>
      <c r="AA35" s="88">
        <v>223271</v>
      </c>
      <c r="AB35" s="88">
        <v>223727</v>
      </c>
      <c r="AC35" s="88">
        <v>226197</v>
      </c>
      <c r="AD35" s="105">
        <v>226605</v>
      </c>
      <c r="AE35" s="105">
        <v>226894</v>
      </c>
      <c r="AF35" s="105">
        <v>226705</v>
      </c>
      <c r="AG35" s="105">
        <v>226337</v>
      </c>
      <c r="AH35" s="88">
        <v>227241</v>
      </c>
      <c r="AI35" s="208">
        <f>(Tableau913[[#This Row],[mars-20]]-Tableau913[[#This Row],[dec-19]])/Tableau913[[#This Row],[dec-19]]</f>
        <v>3.994044279105935E-3</v>
      </c>
      <c r="AJ35" s="219">
        <f>Tableau913[[#This Row],[mars-20]]-Tableau913[[#This Row],[dec-19]]</f>
        <v>904</v>
      </c>
      <c r="AK35" s="2">
        <v>230034</v>
      </c>
      <c r="AL35" s="2">
        <v>240000</v>
      </c>
      <c r="AM35" s="2">
        <v>240000</v>
      </c>
      <c r="AN35" s="2">
        <v>239356</v>
      </c>
      <c r="AO35" s="2">
        <v>240578</v>
      </c>
      <c r="AP35" s="2">
        <v>244907</v>
      </c>
      <c r="AQ35" s="2">
        <v>244532</v>
      </c>
      <c r="AR35" s="2">
        <v>244000</v>
      </c>
      <c r="AS35" s="2">
        <v>246000</v>
      </c>
      <c r="AT35" s="2">
        <v>251000</v>
      </c>
      <c r="AU35" s="2"/>
      <c r="AV35" s="554">
        <f>(Tableau913[[#This Row],[juin-24]]-Tableau913[[#This Row],[avr-24]])/Tableau913[[#This Row],[avr-24]]</f>
        <v>2.032520325203252E-2</v>
      </c>
      <c r="AW35" s="548">
        <f>Tableau913[[#This Row],[juin-24]]-Tableau913[[#This Row],[avr-24]]</f>
        <v>5000</v>
      </c>
    </row>
    <row r="36" spans="1:49" x14ac:dyDescent="0.3">
      <c r="A36" s="123"/>
      <c r="B36" s="163" t="s">
        <v>261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104"/>
      <c r="AF36" s="104"/>
      <c r="AG36" s="104"/>
      <c r="AH36" s="54"/>
      <c r="AI36" s="208"/>
      <c r="AJ36" s="219"/>
      <c r="AM36" s="1"/>
      <c r="AN36" s="2">
        <v>65000</v>
      </c>
      <c r="AO36" s="2">
        <v>65000</v>
      </c>
      <c r="AP36" s="2">
        <v>68294</v>
      </c>
      <c r="AQ36" s="2">
        <v>68443</v>
      </c>
      <c r="AR36" s="2">
        <v>69000</v>
      </c>
      <c r="AS36" s="2">
        <v>68000</v>
      </c>
      <c r="AT36" s="2">
        <v>68000</v>
      </c>
      <c r="AU36" s="2"/>
      <c r="AV36" s="554">
        <f>(Tableau913[[#This Row],[juin-24]]-Tableau913[[#This Row],[avr-24]])/Tableau913[[#This Row],[avr-24]]</f>
        <v>0</v>
      </c>
      <c r="AW36" s="548">
        <f>Tableau913[[#This Row],[juin-24]]-Tableau913[[#This Row],[avr-24]]</f>
        <v>0</v>
      </c>
    </row>
    <row r="37" spans="1:49" x14ac:dyDescent="0.3">
      <c r="A37" s="164"/>
      <c r="B37" s="164" t="s">
        <v>299</v>
      </c>
      <c r="C37" s="104"/>
      <c r="D37" s="104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118"/>
      <c r="V37" s="118"/>
      <c r="W37" s="118"/>
      <c r="X37" s="118"/>
      <c r="Y37" s="57"/>
      <c r="Z37" s="57"/>
      <c r="AA37" s="57"/>
      <c r="AB37" s="57"/>
      <c r="AC37" s="57"/>
      <c r="AD37" s="57"/>
      <c r="AE37" s="57"/>
      <c r="AF37" s="88"/>
      <c r="AG37" s="88"/>
      <c r="AH37" s="54"/>
      <c r="AI37" s="208"/>
      <c r="AJ37" s="219"/>
      <c r="AK37" s="2"/>
      <c r="AL37" s="2"/>
      <c r="AM37" s="2"/>
      <c r="AN37" s="2"/>
      <c r="AO37" s="2"/>
      <c r="AP37" s="2">
        <v>53256</v>
      </c>
      <c r="AQ37" s="2">
        <v>53051</v>
      </c>
      <c r="AR37" s="2">
        <v>53000</v>
      </c>
      <c r="AS37" s="2">
        <v>53000</v>
      </c>
      <c r="AT37" s="2">
        <v>53000</v>
      </c>
      <c r="AU37" s="2"/>
      <c r="AV37" s="554">
        <f>(Tableau913[[#This Row],[juin-24]]-Tableau913[[#This Row],[avr-24]])/Tableau913[[#This Row],[avr-24]]</f>
        <v>0</v>
      </c>
      <c r="AW37" s="548">
        <f>Tableau913[[#This Row],[juin-24]]-Tableau913[[#This Row],[avr-24]]</f>
        <v>0</v>
      </c>
    </row>
    <row r="38" spans="1:49" x14ac:dyDescent="0.3">
      <c r="A38" s="164">
        <v>16</v>
      </c>
      <c r="B38" s="163" t="s">
        <v>93</v>
      </c>
      <c r="C38" s="104">
        <v>57518</v>
      </c>
      <c r="D38" s="104">
        <v>58150</v>
      </c>
      <c r="E38" s="104">
        <v>58931</v>
      </c>
      <c r="F38" s="104">
        <v>59308</v>
      </c>
      <c r="G38" s="104">
        <v>59620</v>
      </c>
      <c r="H38" s="104">
        <v>59714</v>
      </c>
      <c r="I38" s="104">
        <v>59836</v>
      </c>
      <c r="J38" s="104">
        <v>60206</v>
      </c>
      <c r="K38" s="104">
        <v>60419</v>
      </c>
      <c r="L38" s="104">
        <v>60844</v>
      </c>
      <c r="M38" s="104">
        <v>61133</v>
      </c>
      <c r="N38" s="104">
        <v>61426</v>
      </c>
      <c r="O38" s="104">
        <v>61409</v>
      </c>
      <c r="P38" s="104">
        <v>61393</v>
      </c>
      <c r="Q38" s="104">
        <v>62180</v>
      </c>
      <c r="R38" s="104">
        <v>62165</v>
      </c>
      <c r="S38" s="104">
        <v>62181</v>
      </c>
      <c r="T38" s="104">
        <v>62232</v>
      </c>
      <c r="U38" s="104">
        <v>62178</v>
      </c>
      <c r="V38" s="104">
        <v>62212</v>
      </c>
      <c r="W38" s="104">
        <v>62316</v>
      </c>
      <c r="X38" s="104">
        <v>62500</v>
      </c>
      <c r="Y38" s="104">
        <v>62690</v>
      </c>
      <c r="Z38" s="104">
        <v>63000</v>
      </c>
      <c r="AA38" s="104">
        <v>63405</v>
      </c>
      <c r="AB38" s="104">
        <v>63468</v>
      </c>
      <c r="AC38" s="104">
        <v>64092</v>
      </c>
      <c r="AD38" s="105">
        <v>64465</v>
      </c>
      <c r="AE38" s="105">
        <v>64641</v>
      </c>
      <c r="AF38" s="105">
        <v>64594</v>
      </c>
      <c r="AG38" s="105">
        <v>64599</v>
      </c>
      <c r="AH38" s="88">
        <v>64533</v>
      </c>
      <c r="AI38" s="208">
        <f>(Tableau913[[#This Row],[mars-20]]-Tableau913[[#This Row],[dec-19]])/Tableau913[[#This Row],[dec-19]]</f>
        <v>-1.0216876422235639E-3</v>
      </c>
      <c r="AJ38" s="219">
        <f>Tableau913[[#This Row],[mars-20]]-Tableau913[[#This Row],[dec-19]]</f>
        <v>-66</v>
      </c>
      <c r="AK38" s="2">
        <v>66468</v>
      </c>
      <c r="AL38" s="2">
        <v>67131</v>
      </c>
      <c r="AM38" s="2">
        <v>172000</v>
      </c>
      <c r="AN38" s="2">
        <v>171234</v>
      </c>
      <c r="AO38" s="2">
        <v>170979</v>
      </c>
      <c r="AP38" s="2">
        <v>172449</v>
      </c>
      <c r="AQ38" s="2">
        <v>172597</v>
      </c>
      <c r="AR38" s="2">
        <v>173000</v>
      </c>
      <c r="AS38" s="2">
        <v>172000</v>
      </c>
      <c r="AT38" s="2">
        <v>171000</v>
      </c>
      <c r="AU38" s="2"/>
      <c r="AV38" s="554">
        <f>(Tableau913[[#This Row],[juin-24]]-Tableau913[[#This Row],[avr-24]])/Tableau913[[#This Row],[avr-24]]</f>
        <v>-5.8139534883720929E-3</v>
      </c>
      <c r="AW38" s="548">
        <f>Tableau913[[#This Row],[juin-24]]-Tableau913[[#This Row],[avr-24]]</f>
        <v>-1000</v>
      </c>
    </row>
    <row r="39" spans="1:49" x14ac:dyDescent="0.3">
      <c r="A39" s="164"/>
      <c r="B39" s="163" t="s">
        <v>252</v>
      </c>
      <c r="C39" s="104"/>
      <c r="D39" s="104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57"/>
      <c r="AB39" s="57"/>
      <c r="AC39" s="57"/>
      <c r="AD39" s="104"/>
      <c r="AE39" s="105"/>
      <c r="AF39" s="105"/>
      <c r="AG39" s="105"/>
      <c r="AH39" s="88"/>
      <c r="AI39" s="208"/>
      <c r="AJ39" s="219"/>
      <c r="AK39" s="2"/>
      <c r="AL39" s="2"/>
      <c r="AM39" s="2"/>
      <c r="AN39" s="2">
        <v>9512</v>
      </c>
      <c r="AO39" s="2">
        <v>9786</v>
      </c>
      <c r="AP39" s="2">
        <v>17325</v>
      </c>
      <c r="AQ39" s="2">
        <v>17000</v>
      </c>
      <c r="AR39" s="2">
        <v>19000</v>
      </c>
      <c r="AS39" s="2">
        <v>19000</v>
      </c>
      <c r="AT39" s="2">
        <v>19000</v>
      </c>
      <c r="AU39" s="2"/>
      <c r="AV39" s="555">
        <f>(Tableau913[[#This Row],[juin-24]]-Tableau913[[#This Row],[avr-24]])/Tableau913[[#This Row],[avr-24]]</f>
        <v>0</v>
      </c>
      <c r="AW39" s="548">
        <f>Tableau913[[#This Row],[juin-24]]-Tableau913[[#This Row],[avr-24]]</f>
        <v>0</v>
      </c>
    </row>
    <row r="40" spans="1:49" x14ac:dyDescent="0.3">
      <c r="A40" s="164"/>
      <c r="B40" s="163" t="s">
        <v>297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4"/>
      <c r="AE40" s="104"/>
      <c r="AF40" s="104"/>
      <c r="AG40" s="104"/>
      <c r="AH40" s="88"/>
      <c r="AI40" s="208"/>
      <c r="AJ40" s="219"/>
      <c r="AK40" s="2"/>
      <c r="AL40" s="2"/>
      <c r="AM40" s="2"/>
      <c r="AN40" s="2"/>
      <c r="AO40" s="2"/>
      <c r="AP40" s="2">
        <v>45835</v>
      </c>
      <c r="AQ40" s="2">
        <v>45000</v>
      </c>
      <c r="AR40" s="2">
        <v>45000</v>
      </c>
      <c r="AS40" s="2">
        <v>44000</v>
      </c>
      <c r="AT40" s="2">
        <v>44000</v>
      </c>
      <c r="AU40" s="2"/>
      <c r="AV40" s="554">
        <f>(Tableau913[[#This Row],[juin-24]]-Tableau913[[#This Row],[avr-24]])/Tableau913[[#This Row],[avr-24]]</f>
        <v>0</v>
      </c>
      <c r="AW40" s="548">
        <f>Tableau913[[#This Row],[juin-24]]-Tableau913[[#This Row],[avr-24]]</f>
        <v>0</v>
      </c>
    </row>
    <row r="41" spans="1:49" x14ac:dyDescent="0.3">
      <c r="A41" s="164"/>
      <c r="B41" s="164" t="s">
        <v>191</v>
      </c>
      <c r="C41" s="104"/>
      <c r="D41" s="104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118"/>
      <c r="V41" s="118"/>
      <c r="W41" s="118"/>
      <c r="X41" s="118"/>
      <c r="Y41" s="57"/>
      <c r="Z41" s="57"/>
      <c r="AA41" s="57"/>
      <c r="AB41" s="57"/>
      <c r="AC41" s="57"/>
      <c r="AD41" s="57"/>
      <c r="AE41" s="104"/>
      <c r="AF41" s="104"/>
      <c r="AG41" s="104"/>
      <c r="AH41" s="54"/>
      <c r="AI41" s="208"/>
      <c r="AJ41" s="148"/>
      <c r="AM41" s="1">
        <v>6376</v>
      </c>
      <c r="AN41" s="2">
        <v>12845</v>
      </c>
      <c r="AO41" s="2">
        <v>12843</v>
      </c>
      <c r="AP41" s="2">
        <v>12863</v>
      </c>
      <c r="AQ41" s="2">
        <v>12753</v>
      </c>
      <c r="AR41" s="2">
        <v>3500</v>
      </c>
      <c r="AS41" s="2">
        <v>3500</v>
      </c>
      <c r="AT41" s="2">
        <v>3500</v>
      </c>
      <c r="AU41" s="2"/>
      <c r="AV41" s="554">
        <f>(Tableau913[[#This Row],[juin-24]]-Tableau913[[#This Row],[avr-24]])/Tableau913[[#This Row],[avr-24]]</f>
        <v>0</v>
      </c>
      <c r="AW41" s="548">
        <f>Tableau913[[#This Row],[juin-24]]-Tableau913[[#This Row],[avr-24]]</f>
        <v>0</v>
      </c>
    </row>
    <row r="42" spans="1:49" x14ac:dyDescent="0.3">
      <c r="A42" s="123"/>
      <c r="B42" s="99" t="s">
        <v>262</v>
      </c>
      <c r="C42" s="118"/>
      <c r="D42" s="118"/>
      <c r="E42" s="330"/>
      <c r="F42" s="33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18"/>
      <c r="V42" s="118"/>
      <c r="W42" s="118"/>
      <c r="X42" s="118"/>
      <c r="Y42" s="57"/>
      <c r="Z42" s="57"/>
      <c r="AA42" s="57"/>
      <c r="AB42" s="57"/>
      <c r="AC42" s="57"/>
      <c r="AD42" s="57"/>
      <c r="AE42" s="57"/>
      <c r="AF42" s="88"/>
      <c r="AG42" s="88"/>
      <c r="AH42" s="54"/>
      <c r="AI42" s="208"/>
      <c r="AJ42" s="219"/>
      <c r="AM42" s="1"/>
      <c r="AN42" s="2"/>
      <c r="AO42" s="2"/>
      <c r="AP42" s="2">
        <v>0</v>
      </c>
      <c r="AQ42" s="2">
        <v>0</v>
      </c>
      <c r="AR42" s="2">
        <v>2555</v>
      </c>
      <c r="AS42" s="2">
        <v>2668</v>
      </c>
      <c r="AT42" s="2">
        <v>2670</v>
      </c>
      <c r="AU42" s="2"/>
      <c r="AV42" s="554">
        <f>(Tableau913[[#This Row],[juin-24]]-Tableau913[[#This Row],[avr-24]])/Tableau913[[#This Row],[avr-24]]</f>
        <v>7.4962518740629683E-4</v>
      </c>
      <c r="AW42" s="548">
        <f>Tableau913[[#This Row],[juin-24]]-Tableau913[[#This Row],[avr-24]]</f>
        <v>2</v>
      </c>
    </row>
    <row r="43" spans="1:49" x14ac:dyDescent="0.3">
      <c r="A43" s="164"/>
      <c r="B43" s="164" t="s">
        <v>199</v>
      </c>
      <c r="C43" s="104"/>
      <c r="D43" s="104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118"/>
      <c r="V43" s="118"/>
      <c r="W43" s="118"/>
      <c r="X43" s="118"/>
      <c r="Y43" s="57"/>
      <c r="Z43" s="57"/>
      <c r="AA43" s="57"/>
      <c r="AB43" s="57">
        <v>14861</v>
      </c>
      <c r="AC43" s="57">
        <v>15225</v>
      </c>
      <c r="AD43" s="105">
        <v>15439</v>
      </c>
      <c r="AE43" s="104">
        <v>15566</v>
      </c>
      <c r="AF43" s="104">
        <v>15620</v>
      </c>
      <c r="AG43" s="104">
        <v>15663</v>
      </c>
      <c r="AH43" s="88">
        <v>15567</v>
      </c>
      <c r="AI43" s="208">
        <f>(Tableau913[[#This Row],[mars-20]]-Tableau913[[#This Row],[dec-19]])/Tableau913[[#This Row],[dec-19]]</f>
        <v>-6.1290940432867265E-3</v>
      </c>
      <c r="AJ43" s="148">
        <f>Tableau913[[#This Row],[mars-20]]-Tableau913[[#This Row],[dec-19]]</f>
        <v>-96</v>
      </c>
      <c r="AK43" s="2">
        <v>15928</v>
      </c>
      <c r="AL43" s="2">
        <v>15934</v>
      </c>
      <c r="AM43" s="2">
        <v>52000</v>
      </c>
      <c r="AN43" s="2">
        <v>53000</v>
      </c>
      <c r="AO43" s="2">
        <v>53000</v>
      </c>
      <c r="AP43" s="2">
        <v>53742</v>
      </c>
      <c r="AQ43" s="2">
        <v>53529</v>
      </c>
      <c r="AR43" s="2">
        <v>53000</v>
      </c>
      <c r="AS43" s="2">
        <v>52000</v>
      </c>
      <c r="AT43" s="2">
        <v>52000</v>
      </c>
      <c r="AU43" s="2"/>
      <c r="AV43" s="554">
        <f>(Tableau913[[#This Row],[juin-24]]-Tableau913[[#This Row],[avr-24]])/Tableau913[[#This Row],[avr-24]]</f>
        <v>0</v>
      </c>
      <c r="AW43" s="548">
        <f>Tableau913[[#This Row],[juin-24]]-Tableau913[[#This Row],[avr-24]]</f>
        <v>0</v>
      </c>
    </row>
    <row r="44" spans="1:49" x14ac:dyDescent="0.3">
      <c r="A44" s="164"/>
      <c r="B44" s="163" t="s">
        <v>248</v>
      </c>
      <c r="C44" s="104"/>
      <c r="D44" s="104"/>
      <c r="E44" s="110"/>
      <c r="F44" s="110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104"/>
      <c r="AE44" s="104"/>
      <c r="AF44" s="104"/>
      <c r="AG44" s="104"/>
      <c r="AH44" s="88"/>
      <c r="AI44" s="208"/>
      <c r="AJ44" s="219"/>
      <c r="AK44" s="2"/>
      <c r="AL44" s="2"/>
      <c r="AM44" s="2"/>
      <c r="AN44" s="2">
        <v>42000</v>
      </c>
      <c r="AO44" s="2">
        <v>43000</v>
      </c>
      <c r="AP44" s="2">
        <v>57512</v>
      </c>
      <c r="AQ44" s="2">
        <v>58057</v>
      </c>
      <c r="AR44" s="2">
        <v>62000</v>
      </c>
      <c r="AS44" s="2">
        <v>63000</v>
      </c>
      <c r="AT44" s="2">
        <v>63000</v>
      </c>
      <c r="AU44" s="2"/>
      <c r="AV44" s="554">
        <f>(Tableau913[[#This Row],[juin-24]]-Tableau913[[#This Row],[avr-24]])/Tableau913[[#This Row],[avr-24]]</f>
        <v>0</v>
      </c>
      <c r="AW44" s="548">
        <f>Tableau913[[#This Row],[juin-24]]-Tableau913[[#This Row],[avr-24]]</f>
        <v>0</v>
      </c>
    </row>
    <row r="45" spans="1:49" x14ac:dyDescent="0.3">
      <c r="A45" s="164">
        <v>26</v>
      </c>
      <c r="B45" s="163" t="s">
        <v>97</v>
      </c>
      <c r="C45" s="104">
        <v>53559</v>
      </c>
      <c r="D45" s="104">
        <v>54163</v>
      </c>
      <c r="E45" s="104">
        <v>55799</v>
      </c>
      <c r="F45" s="104">
        <v>55822</v>
      </c>
      <c r="G45" s="104">
        <v>55823</v>
      </c>
      <c r="H45" s="104">
        <v>55688</v>
      </c>
      <c r="I45" s="104">
        <v>55648</v>
      </c>
      <c r="J45" s="104">
        <v>55585</v>
      </c>
      <c r="K45" s="104">
        <v>55568</v>
      </c>
      <c r="L45" s="104">
        <v>55573</v>
      </c>
      <c r="M45" s="104">
        <v>55551</v>
      </c>
      <c r="N45" s="104">
        <v>55451</v>
      </c>
      <c r="O45" s="104">
        <v>55295</v>
      </c>
      <c r="P45" s="104">
        <v>55240</v>
      </c>
      <c r="Q45" s="104">
        <v>57100</v>
      </c>
      <c r="R45" s="104">
        <v>57197</v>
      </c>
      <c r="S45" s="104">
        <v>57123</v>
      </c>
      <c r="T45" s="104">
        <v>57072</v>
      </c>
      <c r="U45" s="104">
        <v>56971</v>
      </c>
      <c r="V45" s="104">
        <v>56911</v>
      </c>
      <c r="W45" s="104">
        <v>56801</v>
      </c>
      <c r="X45" s="104">
        <v>56930</v>
      </c>
      <c r="Y45" s="104">
        <v>57300</v>
      </c>
      <c r="Z45" s="104">
        <v>57389</v>
      </c>
      <c r="AA45" s="57">
        <v>57508</v>
      </c>
      <c r="AB45" s="57">
        <v>57652</v>
      </c>
      <c r="AC45" s="57">
        <v>57720</v>
      </c>
      <c r="AD45" s="105">
        <v>57664</v>
      </c>
      <c r="AE45" s="104">
        <v>57641</v>
      </c>
      <c r="AF45" s="104">
        <v>57542</v>
      </c>
      <c r="AG45" s="104">
        <v>57466</v>
      </c>
      <c r="AH45" s="88">
        <v>57394</v>
      </c>
      <c r="AI45" s="208">
        <f>(Tableau913[[#This Row],[mars-20]]-Tableau913[[#This Row],[dec-19]])/Tableau913[[#This Row],[dec-19]]</f>
        <v>-1.2529147669926566E-3</v>
      </c>
      <c r="AJ45" s="219">
        <f>Tableau913[[#This Row],[mars-20]]-Tableau913[[#This Row],[dec-19]]</f>
        <v>-72</v>
      </c>
      <c r="AK45" s="2">
        <v>58011</v>
      </c>
      <c r="AL45" s="2">
        <v>72000</v>
      </c>
      <c r="AM45" s="2">
        <v>80000</v>
      </c>
      <c r="AN45" s="2">
        <v>81430</v>
      </c>
      <c r="AO45" s="2">
        <v>81738</v>
      </c>
      <c r="AP45" s="2">
        <v>83635</v>
      </c>
      <c r="AQ45" s="2">
        <v>83564</v>
      </c>
      <c r="AR45" s="2">
        <v>86000</v>
      </c>
      <c r="AS45" s="2">
        <v>86000</v>
      </c>
      <c r="AT45" s="2">
        <v>86000</v>
      </c>
      <c r="AU45" s="2"/>
      <c r="AV45" s="554">
        <f>(Tableau913[[#This Row],[juin-24]]-Tableau913[[#This Row],[avr-24]])/Tableau913[[#This Row],[avr-24]]</f>
        <v>0</v>
      </c>
      <c r="AW45" s="548">
        <f>Tableau913[[#This Row],[juin-24]]-Tableau913[[#This Row],[avr-24]]</f>
        <v>0</v>
      </c>
    </row>
    <row r="46" spans="1:49" x14ac:dyDescent="0.3">
      <c r="A46" s="164"/>
      <c r="B46" s="164" t="s">
        <v>249</v>
      </c>
      <c r="C46" s="104"/>
      <c r="D46" s="104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118"/>
      <c r="V46" s="118"/>
      <c r="W46" s="118"/>
      <c r="X46" s="118"/>
      <c r="Y46" s="57"/>
      <c r="Z46" s="57"/>
      <c r="AA46" s="57"/>
      <c r="AB46" s="57"/>
      <c r="AC46" s="57"/>
      <c r="AD46" s="104"/>
      <c r="AE46" s="105"/>
      <c r="AF46" s="105"/>
      <c r="AG46" s="105"/>
      <c r="AH46" s="88"/>
      <c r="AI46" s="208"/>
      <c r="AJ46" s="148"/>
      <c r="AK46" s="2"/>
      <c r="AL46" s="2"/>
      <c r="AM46" s="2"/>
      <c r="AN46" s="2">
        <v>6600</v>
      </c>
      <c r="AO46" s="2">
        <v>6700</v>
      </c>
      <c r="AP46" s="2">
        <v>25930</v>
      </c>
      <c r="AQ46" s="2">
        <v>26916</v>
      </c>
      <c r="AR46" s="2">
        <v>39240</v>
      </c>
      <c r="AS46" s="2">
        <v>41000</v>
      </c>
      <c r="AT46" s="2">
        <v>42000</v>
      </c>
      <c r="AU46" s="2"/>
      <c r="AV46" s="554">
        <f>(Tableau913[[#This Row],[juin-24]]-Tableau913[[#This Row],[avr-24]])/Tableau913[[#This Row],[avr-24]]</f>
        <v>2.4390243902439025E-2</v>
      </c>
      <c r="AW46" s="548">
        <f>Tableau913[[#This Row],[juin-24]]-Tableau913[[#This Row],[avr-24]]</f>
        <v>1000</v>
      </c>
    </row>
    <row r="47" spans="1:49" x14ac:dyDescent="0.3">
      <c r="A47" s="164"/>
      <c r="B47" s="99" t="s">
        <v>396</v>
      </c>
      <c r="C47" s="104"/>
      <c r="D47" s="104"/>
      <c r="E47" s="255"/>
      <c r="F47" s="255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118"/>
      <c r="V47" s="118"/>
      <c r="W47" s="118"/>
      <c r="X47" s="118"/>
      <c r="Y47" s="57"/>
      <c r="Z47" s="57"/>
      <c r="AA47" s="57"/>
      <c r="AB47" s="57"/>
      <c r="AC47" s="57"/>
      <c r="AD47" s="57"/>
      <c r="AE47" s="57"/>
      <c r="AF47" s="88"/>
      <c r="AG47" s="88"/>
      <c r="AH47" s="54"/>
      <c r="AI47" s="208"/>
      <c r="AJ47" s="219">
        <f>Tableau913[[#This Row],[mars-20]]-Tableau913[[#This Row],[dec-19]]</f>
        <v>0</v>
      </c>
      <c r="AK47" s="2"/>
      <c r="AL47" s="2"/>
      <c r="AM47" s="2"/>
      <c r="AN47" s="2">
        <f>1128169+1540810+586378</f>
        <v>3255357</v>
      </c>
      <c r="AO47" s="2"/>
      <c r="AP47" s="2"/>
      <c r="AQ47" s="2"/>
      <c r="AR47" s="2"/>
      <c r="AS47" s="2">
        <v>8400</v>
      </c>
      <c r="AT47" s="2">
        <v>8900</v>
      </c>
      <c r="AU47" s="2"/>
      <c r="AV47" s="554">
        <f>(Tableau913[[#This Row],[juin-24]]-Tableau913[[#This Row],[avr-24]])/Tableau913[[#This Row],[avr-24]]</f>
        <v>5.9523809523809521E-2</v>
      </c>
      <c r="AW47" s="548">
        <f>Tableau913[[#This Row],[juin-24]]-Tableau913[[#This Row],[avr-24]]</f>
        <v>500</v>
      </c>
    </row>
    <row r="48" spans="1:49" x14ac:dyDescent="0.3">
      <c r="A48" s="174">
        <v>23</v>
      </c>
      <c r="B48" s="227" t="s">
        <v>120</v>
      </c>
      <c r="C48" s="104"/>
      <c r="D48" s="104"/>
      <c r="E48" s="88"/>
      <c r="F48" s="88"/>
      <c r="G48" s="88"/>
      <c r="H48" s="88"/>
      <c r="I48" s="88"/>
      <c r="J48" s="88"/>
      <c r="K48" s="88"/>
      <c r="L48" s="88">
        <v>47231</v>
      </c>
      <c r="M48" s="88">
        <v>47786</v>
      </c>
      <c r="N48" s="88">
        <v>49061</v>
      </c>
      <c r="O48" s="88">
        <v>49125</v>
      </c>
      <c r="P48" s="88">
        <v>49452</v>
      </c>
      <c r="Q48" s="88">
        <v>54520</v>
      </c>
      <c r="R48" s="88">
        <v>55480</v>
      </c>
      <c r="S48" s="88">
        <v>56401</v>
      </c>
      <c r="T48" s="88">
        <v>56656</v>
      </c>
      <c r="U48" s="88">
        <v>56875</v>
      </c>
      <c r="V48" s="88">
        <v>57438</v>
      </c>
      <c r="W48" s="88">
        <v>57964</v>
      </c>
      <c r="X48" s="88">
        <v>58530</v>
      </c>
      <c r="Y48" s="88">
        <v>61470</v>
      </c>
      <c r="Z48" s="88">
        <v>63493</v>
      </c>
      <c r="AA48" s="57">
        <v>64084</v>
      </c>
      <c r="AB48" s="57">
        <v>13500</v>
      </c>
      <c r="AC48" s="57">
        <v>23903</v>
      </c>
      <c r="AD48" s="105">
        <v>24884</v>
      </c>
      <c r="AE48" s="105"/>
      <c r="AF48" s="105"/>
      <c r="AG48" s="105"/>
      <c r="AH48" s="54"/>
      <c r="AI48" s="271"/>
      <c r="AJ48" s="219">
        <f>Tableau913[[#This Row],[mars-20]]-Tableau913[[#This Row],[dec-19]]</f>
        <v>0</v>
      </c>
      <c r="AM48" s="269">
        <v>186000</v>
      </c>
      <c r="AN48" s="269">
        <v>204021</v>
      </c>
      <c r="AO48" s="269">
        <v>205536</v>
      </c>
      <c r="AP48" s="2">
        <v>209258</v>
      </c>
      <c r="AQ48" s="2">
        <v>209150</v>
      </c>
      <c r="AR48" s="2">
        <v>210448</v>
      </c>
      <c r="AS48" s="2">
        <v>209000</v>
      </c>
      <c r="AT48" s="2">
        <v>209000</v>
      </c>
      <c r="AU48" s="2"/>
      <c r="AV48" s="554">
        <f>(Tableau913[[#This Row],[juin-24]]-Tableau913[[#This Row],[avr-24]])/Tableau913[[#This Row],[avr-24]]</f>
        <v>0</v>
      </c>
      <c r="AW48" s="548">
        <f>Tableau913[[#This Row],[juin-24]]-Tableau913[[#This Row],[avr-24]]</f>
        <v>0</v>
      </c>
    </row>
    <row r="49" spans="1:49" x14ac:dyDescent="0.3">
      <c r="A49" s="164"/>
      <c r="B49" s="164" t="s">
        <v>251</v>
      </c>
      <c r="C49" s="104"/>
      <c r="D49" s="104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118"/>
      <c r="V49" s="118"/>
      <c r="W49" s="118"/>
      <c r="X49" s="118"/>
      <c r="Y49" s="57"/>
      <c r="Z49" s="57"/>
      <c r="AA49" s="57"/>
      <c r="AB49" s="57"/>
      <c r="AC49" s="57"/>
      <c r="AD49" s="105"/>
      <c r="AE49" s="104"/>
      <c r="AF49" s="104"/>
      <c r="AG49" s="104"/>
      <c r="AH49" s="149"/>
      <c r="AI49" s="209"/>
      <c r="AJ49" s="148"/>
      <c r="AK49" s="2"/>
      <c r="AL49" s="2"/>
      <c r="AM49" s="2"/>
      <c r="AN49" s="2">
        <v>5300</v>
      </c>
      <c r="AO49" s="2">
        <v>5400</v>
      </c>
      <c r="AP49" s="2">
        <v>6300</v>
      </c>
      <c r="AQ49" s="2">
        <v>6606</v>
      </c>
      <c r="AR49" s="2">
        <v>9200</v>
      </c>
      <c r="AS49" s="2">
        <v>9300</v>
      </c>
      <c r="AT49" s="2">
        <v>9300</v>
      </c>
      <c r="AU49" s="2"/>
      <c r="AV49" s="554">
        <f>(Tableau913[[#This Row],[juin-24]]-Tableau913[[#This Row],[avr-24]])/Tableau913[[#This Row],[avr-24]]</f>
        <v>0</v>
      </c>
      <c r="AW49" s="548">
        <f>Tableau913[[#This Row],[juin-24]]-Tableau913[[#This Row],[avr-24]]</f>
        <v>0</v>
      </c>
    </row>
    <row r="50" spans="1:49" x14ac:dyDescent="0.3">
      <c r="A50" s="164"/>
      <c r="B50" s="99" t="s">
        <v>399</v>
      </c>
      <c r="C50" s="104"/>
      <c r="D50" s="104"/>
      <c r="E50" s="255"/>
      <c r="F50" s="255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118"/>
      <c r="V50" s="118"/>
      <c r="W50" s="118"/>
      <c r="X50" s="118"/>
      <c r="Y50" s="57"/>
      <c r="Z50" s="57"/>
      <c r="AA50" s="57"/>
      <c r="AB50" s="57"/>
      <c r="AC50" s="57"/>
      <c r="AD50" s="57"/>
      <c r="AE50" s="57"/>
      <c r="AF50" s="88"/>
      <c r="AG50" s="88"/>
      <c r="AH50" s="54"/>
      <c r="AI50" s="179"/>
      <c r="AJ50" s="268">
        <f>Tableau913[[#This Row],[mars-20]]-Tableau913[[#This Row],[dec-19]]</f>
        <v>0</v>
      </c>
      <c r="AK50" s="2"/>
      <c r="AL50" s="2"/>
      <c r="AM50" s="2"/>
      <c r="AN50" s="2">
        <f>1128169+1540810+586378</f>
        <v>3255357</v>
      </c>
      <c r="AO50" s="2"/>
      <c r="AP50" s="2"/>
      <c r="AQ50" s="2"/>
      <c r="AR50" s="2"/>
      <c r="AS50" s="2">
        <v>988</v>
      </c>
      <c r="AT50" s="2">
        <v>990</v>
      </c>
      <c r="AU50" s="2"/>
      <c r="AV50" s="554">
        <f>(Tableau913[[#This Row],[juin-24]]-Tableau913[[#This Row],[avr-24]])/Tableau913[[#This Row],[avr-24]]</f>
        <v>2.0242914979757085E-3</v>
      </c>
      <c r="AW50" s="548">
        <f>Tableau913[[#This Row],[juin-24]]-Tableau913[[#This Row],[avr-24]]</f>
        <v>2</v>
      </c>
    </row>
    <row r="51" spans="1:49" x14ac:dyDescent="0.3">
      <c r="A51" s="165"/>
      <c r="B51" s="165" t="s">
        <v>303</v>
      </c>
      <c r="C51" s="104"/>
      <c r="D51" s="104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118"/>
      <c r="V51" s="118"/>
      <c r="W51" s="118"/>
      <c r="X51" s="118"/>
      <c r="Y51" s="57"/>
      <c r="Z51" s="57"/>
      <c r="AA51" s="57"/>
      <c r="AB51" s="57"/>
      <c r="AC51" s="57"/>
      <c r="AD51" s="57"/>
      <c r="AE51" s="57"/>
      <c r="AF51" s="88"/>
      <c r="AG51" s="88"/>
      <c r="AH51" s="54"/>
      <c r="AI51" s="179"/>
      <c r="AJ51" s="268"/>
      <c r="AK51" s="2"/>
      <c r="AL51" s="2"/>
      <c r="AM51" s="2"/>
      <c r="AN51" s="2"/>
      <c r="AO51" s="2"/>
      <c r="AP51" s="2">
        <v>27912</v>
      </c>
      <c r="AQ51" s="2">
        <v>27807</v>
      </c>
      <c r="AR51" s="2">
        <v>27000</v>
      </c>
      <c r="AS51" s="2">
        <v>27000</v>
      </c>
      <c r="AT51" s="2">
        <v>27000</v>
      </c>
      <c r="AU51" s="2"/>
      <c r="AV51" s="554">
        <f>(Tableau913[[#This Row],[juin-24]]-Tableau913[[#This Row],[avr-24]])/Tableau913[[#This Row],[avr-24]]</f>
        <v>0</v>
      </c>
      <c r="AW51" s="548">
        <f>Tableau913[[#This Row],[juin-24]]-Tableau913[[#This Row],[avr-24]]</f>
        <v>0</v>
      </c>
    </row>
    <row r="52" spans="1:49" x14ac:dyDescent="0.3">
      <c r="A52" s="174"/>
      <c r="B52" s="174" t="s">
        <v>205</v>
      </c>
      <c r="C52" s="284"/>
      <c r="D52" s="284"/>
      <c r="E52" s="581"/>
      <c r="F52" s="581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285"/>
      <c r="V52" s="285"/>
      <c r="W52" s="285"/>
      <c r="X52" s="285"/>
      <c r="Y52" s="151"/>
      <c r="Z52" s="151"/>
      <c r="AA52" s="151"/>
      <c r="AB52" s="151"/>
      <c r="AC52" s="151"/>
      <c r="AD52" s="284"/>
      <c r="AE52" s="582">
        <v>5665</v>
      </c>
      <c r="AF52" s="582"/>
      <c r="AG52" s="582"/>
      <c r="AH52" s="175"/>
      <c r="AI52" s="209"/>
      <c r="AJ52" s="400"/>
      <c r="AM52" s="1">
        <v>8800</v>
      </c>
      <c r="AN52" s="2">
        <v>9600</v>
      </c>
      <c r="AO52" s="2">
        <v>9900</v>
      </c>
      <c r="AP52" s="2">
        <v>20065</v>
      </c>
      <c r="AQ52" s="2">
        <v>20395</v>
      </c>
      <c r="AR52" s="2">
        <v>28000</v>
      </c>
      <c r="AS52" s="2">
        <v>36000</v>
      </c>
      <c r="AT52" s="2">
        <v>37000</v>
      </c>
      <c r="AU52" s="2"/>
      <c r="AV52" s="554">
        <f>(Tableau913[[#This Row],[juin-24]]-Tableau913[[#This Row],[avr-24]])/Tableau913[[#This Row],[avr-24]]</f>
        <v>2.7777777777777776E-2</v>
      </c>
      <c r="AW52" s="548">
        <f>Tableau913[[#This Row],[juin-24]]-Tableau913[[#This Row],[avr-24]]</f>
        <v>1000</v>
      </c>
    </row>
    <row r="53" spans="1:49" x14ac:dyDescent="0.3">
      <c r="A53" s="123"/>
      <c r="B53" s="163" t="s">
        <v>296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105"/>
      <c r="AF53" s="105"/>
      <c r="AG53" s="105"/>
      <c r="AH53" s="54"/>
      <c r="AI53" s="208"/>
      <c r="AJ53" s="219"/>
      <c r="AM53" s="1"/>
      <c r="AN53" s="2"/>
      <c r="AO53" s="2"/>
      <c r="AP53" s="2">
        <v>5400</v>
      </c>
      <c r="AQ53" s="2">
        <v>5535</v>
      </c>
      <c r="AR53" s="2">
        <v>6000</v>
      </c>
      <c r="AS53" s="2">
        <v>6100</v>
      </c>
      <c r="AT53" s="2">
        <v>6300</v>
      </c>
      <c r="AU53" s="2"/>
      <c r="AV53" s="554">
        <f>(Tableau913[[#This Row],[juin-24]]-Tableau913[[#This Row],[avr-24]])/Tableau913[[#This Row],[avr-24]]</f>
        <v>3.2786885245901641E-2</v>
      </c>
      <c r="AW53" s="548">
        <f>Tableau913[[#This Row],[juin-24]]-Tableau913[[#This Row],[avr-24]]</f>
        <v>200</v>
      </c>
    </row>
    <row r="54" spans="1:49" x14ac:dyDescent="0.3">
      <c r="A54" s="164">
        <v>4</v>
      </c>
      <c r="B54" s="163" t="s">
        <v>90</v>
      </c>
      <c r="C54" s="104">
        <v>601759</v>
      </c>
      <c r="D54" s="104">
        <v>602360</v>
      </c>
      <c r="E54" s="104">
        <v>606692</v>
      </c>
      <c r="F54" s="104">
        <v>606351</v>
      </c>
      <c r="G54" s="104">
        <v>605693</v>
      </c>
      <c r="H54" s="104">
        <v>605350</v>
      </c>
      <c r="I54" s="104">
        <v>604966</v>
      </c>
      <c r="J54" s="104">
        <v>604181</v>
      </c>
      <c r="K54" s="104">
        <v>603290</v>
      </c>
      <c r="L54" s="104">
        <v>602489</v>
      </c>
      <c r="M54" s="104">
        <v>601567</v>
      </c>
      <c r="N54" s="104">
        <v>599340</v>
      </c>
      <c r="O54" s="104">
        <v>597725</v>
      </c>
      <c r="P54" s="104">
        <v>596702</v>
      </c>
      <c r="Q54" s="104">
        <v>595847</v>
      </c>
      <c r="R54" s="104">
        <v>594794</v>
      </c>
      <c r="S54" s="104">
        <v>593964</v>
      </c>
      <c r="T54" s="104">
        <v>593073</v>
      </c>
      <c r="U54" s="104">
        <v>591926</v>
      </c>
      <c r="V54" s="104">
        <v>590774</v>
      </c>
      <c r="W54" s="104">
        <v>589879</v>
      </c>
      <c r="X54" s="104">
        <v>588900</v>
      </c>
      <c r="Y54" s="104">
        <v>588010</v>
      </c>
      <c r="Z54" s="104">
        <v>587150</v>
      </c>
      <c r="AA54" s="104">
        <v>586398</v>
      </c>
      <c r="AB54" s="104">
        <v>585845</v>
      </c>
      <c r="AC54" s="104">
        <v>585602</v>
      </c>
      <c r="AD54" s="104">
        <v>584726</v>
      </c>
      <c r="AE54" s="104">
        <v>583763</v>
      </c>
      <c r="AF54" s="104">
        <v>582996</v>
      </c>
      <c r="AG54" s="104">
        <v>582147</v>
      </c>
      <c r="AH54" s="88">
        <v>579182</v>
      </c>
      <c r="AI54" s="179">
        <f>(Tableau913[[#This Row],[mars-20]]-Tableau913[[#This Row],[dec-19]])/Tableau913[[#This Row],[dec-19]]</f>
        <v>-5.093215287547647E-3</v>
      </c>
      <c r="AJ54" s="219">
        <f>Tableau913[[#This Row],[mars-20]]-Tableau913[[#This Row],[dec-19]]</f>
        <v>-2965</v>
      </c>
      <c r="AK54" s="2">
        <v>572691</v>
      </c>
      <c r="AL54" s="2">
        <v>571193</v>
      </c>
      <c r="AM54" s="2">
        <v>562000</v>
      </c>
      <c r="AN54" s="2">
        <v>560220</v>
      </c>
      <c r="AO54" s="2">
        <v>559576</v>
      </c>
      <c r="AP54" s="2">
        <v>558358</v>
      </c>
      <c r="AQ54" s="514">
        <v>557526</v>
      </c>
      <c r="AR54" s="514">
        <v>557412</v>
      </c>
      <c r="AS54" s="514">
        <v>555000</v>
      </c>
      <c r="AT54" s="514">
        <v>554000</v>
      </c>
      <c r="AU54" s="514"/>
      <c r="AV54" s="554">
        <f>(Tableau913[[#This Row],[juin-24]]-Tableau913[[#This Row],[avr-24]])/Tableau913[[#This Row],[avr-24]]</f>
        <v>-1.8018018018018018E-3</v>
      </c>
      <c r="AW54" s="548">
        <f>Tableau913[[#This Row],[juin-24]]-Tableau913[[#This Row],[avr-24]]</f>
        <v>-1000</v>
      </c>
    </row>
    <row r="55" spans="1:49" x14ac:dyDescent="0.3">
      <c r="A55" s="123"/>
      <c r="B55" s="163" t="s">
        <v>260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104"/>
      <c r="AF55" s="104"/>
      <c r="AG55" s="104"/>
      <c r="AH55" s="54"/>
      <c r="AI55" s="208"/>
      <c r="AJ55" s="219"/>
      <c r="AM55" s="1"/>
      <c r="AN55" s="2">
        <v>8443</v>
      </c>
      <c r="AO55" s="2">
        <v>8455</v>
      </c>
      <c r="AP55" s="2">
        <v>8583</v>
      </c>
      <c r="AQ55" s="2">
        <v>8650</v>
      </c>
      <c r="AR55" s="2">
        <v>9300</v>
      </c>
      <c r="AS55" s="2">
        <v>9800</v>
      </c>
      <c r="AT55" s="2">
        <v>9400</v>
      </c>
      <c r="AU55" s="2"/>
      <c r="AV55" s="554">
        <f>(Tableau913[[#This Row],[juin-24]]-Tableau913[[#This Row],[avr-24]])/Tableau913[[#This Row],[avr-24]]</f>
        <v>-4.0816326530612242E-2</v>
      </c>
      <c r="AW55" s="548">
        <f>Tableau913[[#This Row],[juin-24]]-Tableau913[[#This Row],[avr-24]]</f>
        <v>-400</v>
      </c>
    </row>
    <row r="56" spans="1:49" x14ac:dyDescent="0.3">
      <c r="A56" s="164">
        <v>22</v>
      </c>
      <c r="B56" s="163" t="s">
        <v>145</v>
      </c>
      <c r="C56" s="104"/>
      <c r="D56" s="104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>
        <v>71036</v>
      </c>
      <c r="R56" s="88">
        <v>71675</v>
      </c>
      <c r="S56" s="88">
        <v>72078</v>
      </c>
      <c r="T56" s="88">
        <v>72780</v>
      </c>
      <c r="U56" s="88">
        <v>74176</v>
      </c>
      <c r="V56" s="88">
        <v>75635</v>
      </c>
      <c r="W56" s="88">
        <v>77220</v>
      </c>
      <c r="X56" s="88">
        <v>78775</v>
      </c>
      <c r="Y56" s="88">
        <v>79405</v>
      </c>
      <c r="Z56" s="88">
        <v>90583</v>
      </c>
      <c r="AA56" s="57">
        <v>97640</v>
      </c>
      <c r="AB56" s="57">
        <v>99155</v>
      </c>
      <c r="AC56" s="57">
        <v>102165</v>
      </c>
      <c r="AD56" s="105">
        <v>107278</v>
      </c>
      <c r="AE56" s="105">
        <v>110493</v>
      </c>
      <c r="AF56" s="105">
        <v>111569</v>
      </c>
      <c r="AG56" s="105">
        <v>116545</v>
      </c>
      <c r="AH56" s="88">
        <v>124580</v>
      </c>
      <c r="AI56" s="208">
        <f>(Tableau913[[#This Row],[mars-20]]-Tableau913[[#This Row],[dec-19]])/Tableau913[[#This Row],[dec-19]]</f>
        <v>6.8943326612038267E-2</v>
      </c>
      <c r="AJ56" s="219">
        <f>Tableau913[[#This Row],[mars-20]]-Tableau913[[#This Row],[dec-19]]</f>
        <v>8035</v>
      </c>
      <c r="AK56" s="2">
        <v>133869</v>
      </c>
      <c r="AL56" s="2">
        <v>136506</v>
      </c>
      <c r="AM56" s="2">
        <v>375000</v>
      </c>
      <c r="AN56" s="2">
        <v>378743</v>
      </c>
      <c r="AO56" s="2">
        <v>380273</v>
      </c>
      <c r="AP56" s="2">
        <v>384193</v>
      </c>
      <c r="AQ56" s="514">
        <v>383774</v>
      </c>
      <c r="AR56" s="514">
        <v>390000</v>
      </c>
      <c r="AS56" s="514">
        <v>393000</v>
      </c>
      <c r="AT56" s="514">
        <v>395500</v>
      </c>
      <c r="AU56" s="514"/>
      <c r="AV56" s="554">
        <f>(Tableau913[[#This Row],[juin-24]]-Tableau913[[#This Row],[avr-24]])/Tableau913[[#This Row],[avr-24]]</f>
        <v>6.3613231552162846E-3</v>
      </c>
      <c r="AW56" s="548">
        <f>Tableau913[[#This Row],[juin-24]]-Tableau913[[#This Row],[avr-24]]</f>
        <v>2500</v>
      </c>
    </row>
    <row r="57" spans="1:49" x14ac:dyDescent="0.3">
      <c r="A57" s="164"/>
      <c r="B57" s="164" t="s">
        <v>308</v>
      </c>
      <c r="C57" s="104"/>
      <c r="D57" s="104"/>
      <c r="E57" s="255"/>
      <c r="F57" s="255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118"/>
      <c r="V57" s="118"/>
      <c r="W57" s="118"/>
      <c r="X57" s="118"/>
      <c r="Y57" s="57"/>
      <c r="Z57" s="57"/>
      <c r="AA57" s="57"/>
      <c r="AB57" s="57"/>
      <c r="AC57" s="57"/>
      <c r="AD57" s="57"/>
      <c r="AE57" s="57"/>
      <c r="AF57" s="88"/>
      <c r="AG57" s="88"/>
      <c r="AH57" s="54"/>
      <c r="AI57" s="208"/>
      <c r="AJ57" s="219"/>
      <c r="AK57" s="2"/>
      <c r="AL57" s="2"/>
      <c r="AM57" s="2"/>
      <c r="AN57" s="2"/>
      <c r="AO57" s="2"/>
      <c r="AP57" s="2">
        <v>81013</v>
      </c>
      <c r="AQ57" s="2">
        <v>80637</v>
      </c>
      <c r="AR57" s="2">
        <v>80000</v>
      </c>
      <c r="AS57" s="2">
        <v>79000</v>
      </c>
      <c r="AT57" s="2">
        <v>79000</v>
      </c>
      <c r="AU57" s="2"/>
      <c r="AV57" s="554">
        <f>(Tableau913[[#This Row],[juin-24]]-Tableau913[[#This Row],[avr-24]])/Tableau913[[#This Row],[avr-24]]</f>
        <v>0</v>
      </c>
      <c r="AW57" s="548">
        <f>Tableau913[[#This Row],[juin-24]]-Tableau913[[#This Row],[avr-24]]</f>
        <v>0</v>
      </c>
    </row>
    <row r="58" spans="1:49" x14ac:dyDescent="0.3">
      <c r="A58" s="164"/>
      <c r="B58" s="99" t="s">
        <v>397</v>
      </c>
      <c r="C58" s="104"/>
      <c r="D58" s="104"/>
      <c r="E58" s="255"/>
      <c r="F58" s="255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118"/>
      <c r="V58" s="118"/>
      <c r="W58" s="118"/>
      <c r="X58" s="118"/>
      <c r="Y58" s="57"/>
      <c r="Z58" s="57"/>
      <c r="AA58" s="57"/>
      <c r="AB58" s="57"/>
      <c r="AC58" s="57"/>
      <c r="AD58" s="57"/>
      <c r="AE58" s="57"/>
      <c r="AF58" s="88"/>
      <c r="AG58" s="88"/>
      <c r="AH58" s="54"/>
      <c r="AI58" s="208"/>
      <c r="AJ58" s="219">
        <f>Tableau913[[#This Row],[mars-20]]-Tableau913[[#This Row],[dec-19]]</f>
        <v>0</v>
      </c>
      <c r="AK58" s="2"/>
      <c r="AL58" s="2"/>
      <c r="AM58" s="2"/>
      <c r="AN58" s="2">
        <f>1128169+1540810+586378</f>
        <v>3255357</v>
      </c>
      <c r="AO58" s="2"/>
      <c r="AP58" s="2"/>
      <c r="AQ58" s="2"/>
      <c r="AR58" s="2"/>
      <c r="AS58" s="2">
        <v>1800</v>
      </c>
      <c r="AT58" s="2">
        <v>1800</v>
      </c>
      <c r="AU58" s="2"/>
      <c r="AV58" s="554">
        <f>(Tableau913[[#This Row],[juin-24]]-Tableau913[[#This Row],[avr-24]])/Tableau913[[#This Row],[avr-24]]</f>
        <v>0</v>
      </c>
      <c r="AW58" s="548">
        <f>Tableau913[[#This Row],[juin-24]]-Tableau913[[#This Row],[avr-24]]</f>
        <v>0</v>
      </c>
    </row>
    <row r="59" spans="1:49" x14ac:dyDescent="0.3">
      <c r="A59" s="164"/>
      <c r="B59" s="164" t="s">
        <v>195</v>
      </c>
      <c r="C59" s="104"/>
      <c r="D59" s="104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118"/>
      <c r="V59" s="118"/>
      <c r="W59" s="118"/>
      <c r="X59" s="118"/>
      <c r="Y59" s="57"/>
      <c r="Z59" s="57"/>
      <c r="AA59" s="57"/>
      <c r="AB59" s="57">
        <v>15206</v>
      </c>
      <c r="AC59" s="57">
        <v>15333</v>
      </c>
      <c r="AD59" s="105">
        <v>15329</v>
      </c>
      <c r="AE59" s="105">
        <v>15368</v>
      </c>
      <c r="AF59" s="105">
        <v>15366</v>
      </c>
      <c r="AG59" s="105">
        <v>15354</v>
      </c>
      <c r="AH59" s="88">
        <v>15235</v>
      </c>
      <c r="AI59" s="208">
        <f>(Tableau913[[#This Row],[mars-20]]-Tableau913[[#This Row],[dec-19]])/Tableau913[[#This Row],[dec-19]]</f>
        <v>-7.7504233424514788E-3</v>
      </c>
      <c r="AJ59" s="148">
        <f>Tableau913[[#This Row],[mars-20]]-Tableau913[[#This Row],[dec-19]]</f>
        <v>-119</v>
      </c>
      <c r="AK59" s="2">
        <v>16225</v>
      </c>
      <c r="AL59" s="2">
        <v>17035</v>
      </c>
      <c r="AM59" s="2">
        <v>76000</v>
      </c>
      <c r="AN59" s="2">
        <v>77000</v>
      </c>
      <c r="AO59" s="2">
        <v>77000</v>
      </c>
      <c r="AP59" s="2">
        <v>82741</v>
      </c>
      <c r="AQ59" s="2">
        <v>82605</v>
      </c>
      <c r="AR59" s="2">
        <v>82000</v>
      </c>
      <c r="AS59" s="2">
        <v>81000</v>
      </c>
      <c r="AT59" s="2">
        <v>81000</v>
      </c>
      <c r="AU59" s="2"/>
      <c r="AV59" s="554">
        <f>(Tableau913[[#This Row],[juin-24]]-Tableau913[[#This Row],[avr-24]])/Tableau913[[#This Row],[avr-24]]</f>
        <v>0</v>
      </c>
      <c r="AW59" s="548">
        <f>Tableau913[[#This Row],[juin-24]]-Tableau913[[#This Row],[avr-24]]</f>
        <v>0</v>
      </c>
    </row>
    <row r="60" spans="1:49" x14ac:dyDescent="0.3">
      <c r="A60" s="164"/>
      <c r="B60" s="164" t="s">
        <v>314</v>
      </c>
      <c r="C60" s="104"/>
      <c r="D60" s="104"/>
      <c r="E60" s="255"/>
      <c r="F60" s="255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118"/>
      <c r="V60" s="118"/>
      <c r="W60" s="118"/>
      <c r="X60" s="118"/>
      <c r="Y60" s="57"/>
      <c r="Z60" s="57"/>
      <c r="AA60" s="57"/>
      <c r="AB60" s="57"/>
      <c r="AC60" s="57"/>
      <c r="AD60" s="57"/>
      <c r="AE60" s="57"/>
      <c r="AF60" s="88"/>
      <c r="AG60" s="88"/>
      <c r="AH60" s="54"/>
      <c r="AI60" s="208"/>
      <c r="AJ60" s="219"/>
      <c r="AK60" s="2"/>
      <c r="AL60" s="2"/>
      <c r="AM60" s="2"/>
      <c r="AN60" s="2"/>
      <c r="AO60" s="2"/>
      <c r="AP60" s="2">
        <v>7903</v>
      </c>
      <c r="AQ60" s="2">
        <v>7929</v>
      </c>
      <c r="AR60" s="2">
        <v>8200</v>
      </c>
      <c r="AS60" s="2">
        <v>8400</v>
      </c>
      <c r="AT60" s="2">
        <v>8400</v>
      </c>
      <c r="AU60" s="2"/>
      <c r="AV60" s="554">
        <f>(Tableau913[[#This Row],[juin-24]]-Tableau913[[#This Row],[avr-24]])/Tableau913[[#This Row],[avr-24]]</f>
        <v>0</v>
      </c>
      <c r="AW60" s="548">
        <f>Tableau913[[#This Row],[juin-24]]-Tableau913[[#This Row],[avr-24]]</f>
        <v>0</v>
      </c>
    </row>
    <row r="61" spans="1:49" x14ac:dyDescent="0.3">
      <c r="A61" s="164"/>
      <c r="B61" s="165" t="s">
        <v>257</v>
      </c>
      <c r="C61" s="104"/>
      <c r="D61" s="104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118"/>
      <c r="V61" s="118"/>
      <c r="W61" s="118"/>
      <c r="X61" s="118"/>
      <c r="Y61" s="57"/>
      <c r="Z61" s="57"/>
      <c r="AA61" s="57"/>
      <c r="AB61" s="57"/>
      <c r="AC61" s="57"/>
      <c r="AD61" s="57"/>
      <c r="AE61" s="104"/>
      <c r="AF61" s="104"/>
      <c r="AG61" s="104"/>
      <c r="AH61" s="54"/>
      <c r="AI61" s="208"/>
      <c r="AJ61" s="148"/>
      <c r="AM61" s="1"/>
      <c r="AN61" s="2">
        <v>5700</v>
      </c>
      <c r="AO61" s="2">
        <v>5700</v>
      </c>
      <c r="AP61" s="2">
        <v>5840</v>
      </c>
      <c r="AQ61" s="2">
        <v>5843</v>
      </c>
      <c r="AR61" s="2">
        <v>6300</v>
      </c>
      <c r="AS61" s="2">
        <v>6400</v>
      </c>
      <c r="AT61" s="2">
        <v>6400</v>
      </c>
      <c r="AU61" s="2"/>
      <c r="AV61" s="554">
        <f>(Tableau913[[#This Row],[juin-24]]-Tableau913[[#This Row],[avr-24]])/Tableau913[[#This Row],[avr-24]]</f>
        <v>0</v>
      </c>
      <c r="AW61" s="548">
        <f>Tableau913[[#This Row],[juin-24]]-Tableau913[[#This Row],[avr-24]]</f>
        <v>0</v>
      </c>
    </row>
    <row r="62" spans="1:49" x14ac:dyDescent="0.3">
      <c r="A62" s="164">
        <v>12</v>
      </c>
      <c r="B62" s="227" t="s">
        <v>114</v>
      </c>
      <c r="C62" s="104"/>
      <c r="D62" s="104"/>
      <c r="E62" s="88"/>
      <c r="F62" s="88"/>
      <c r="G62" s="88"/>
      <c r="H62" s="88"/>
      <c r="I62" s="88"/>
      <c r="J62" s="88"/>
      <c r="K62" s="88">
        <v>208835</v>
      </c>
      <c r="L62" s="88">
        <v>209428</v>
      </c>
      <c r="M62" s="88">
        <v>210149</v>
      </c>
      <c r="N62" s="88">
        <v>209769</v>
      </c>
      <c r="O62" s="88">
        <v>209474</v>
      </c>
      <c r="P62" s="88">
        <v>209493</v>
      </c>
      <c r="Q62" s="88">
        <v>210515</v>
      </c>
      <c r="R62" s="88">
        <v>212495</v>
      </c>
      <c r="S62" s="88">
        <v>212682</v>
      </c>
      <c r="T62" s="88">
        <v>212568</v>
      </c>
      <c r="U62" s="88">
        <v>212326</v>
      </c>
      <c r="V62" s="88">
        <v>212066</v>
      </c>
      <c r="W62" s="88">
        <v>211869</v>
      </c>
      <c r="X62" s="88">
        <v>211630</v>
      </c>
      <c r="Y62" s="88">
        <v>211710</v>
      </c>
      <c r="Z62" s="88">
        <v>211782</v>
      </c>
      <c r="AA62" s="88">
        <v>211817</v>
      </c>
      <c r="AB62" s="88">
        <v>211961</v>
      </c>
      <c r="AC62" s="88">
        <v>212109</v>
      </c>
      <c r="AD62" s="104">
        <v>211997</v>
      </c>
      <c r="AE62" s="104">
        <v>211750</v>
      </c>
      <c r="AF62" s="104">
        <v>211728</v>
      </c>
      <c r="AG62" s="104">
        <v>211473</v>
      </c>
      <c r="AH62" s="88">
        <v>210387</v>
      </c>
      <c r="AI62" s="208">
        <f>(Tableau913[[#This Row],[mars-20]]-Tableau913[[#This Row],[dec-19]])/Tableau913[[#This Row],[dec-19]]</f>
        <v>-5.135407356967556E-3</v>
      </c>
      <c r="AJ62" s="219">
        <f>Tableau913[[#This Row],[mars-20]]-Tableau913[[#This Row],[dec-19]]</f>
        <v>-1086</v>
      </c>
      <c r="AK62" s="2">
        <v>217855</v>
      </c>
      <c r="AL62" s="2">
        <v>265000</v>
      </c>
      <c r="AM62" s="2">
        <v>272000</v>
      </c>
      <c r="AN62" s="2">
        <v>271722</v>
      </c>
      <c r="AO62" s="2">
        <v>272855</v>
      </c>
      <c r="AP62" s="2">
        <v>272062</v>
      </c>
      <c r="AQ62" s="2">
        <v>272143</v>
      </c>
      <c r="AR62" s="2">
        <v>274829</v>
      </c>
      <c r="AS62" s="2">
        <v>274000</v>
      </c>
      <c r="AT62" s="2">
        <v>274000</v>
      </c>
      <c r="AU62" s="2"/>
      <c r="AV62" s="554">
        <f>(Tableau913[[#This Row],[juin-24]]-Tableau913[[#This Row],[avr-24]])/Tableau913[[#This Row],[avr-24]]</f>
        <v>0</v>
      </c>
      <c r="AW62" s="548">
        <f>Tableau913[[#This Row],[juin-24]]-Tableau913[[#This Row],[avr-24]]</f>
        <v>0</v>
      </c>
    </row>
    <row r="63" spans="1:49" x14ac:dyDescent="0.3">
      <c r="A63" s="164">
        <v>33</v>
      </c>
      <c r="B63" s="163" t="s">
        <v>159</v>
      </c>
      <c r="C63" s="104"/>
      <c r="D63" s="104"/>
      <c r="E63" s="110"/>
      <c r="F63" s="110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>
        <v>24490</v>
      </c>
      <c r="U63" s="88">
        <v>24747</v>
      </c>
      <c r="V63" s="88">
        <v>25153</v>
      </c>
      <c r="W63" s="88">
        <v>25308</v>
      </c>
      <c r="X63" s="88">
        <v>25660</v>
      </c>
      <c r="Y63" s="88">
        <v>25920</v>
      </c>
      <c r="Z63" s="88">
        <v>26004</v>
      </c>
      <c r="AA63" s="88">
        <v>26859</v>
      </c>
      <c r="AB63" s="88">
        <v>27251</v>
      </c>
      <c r="AC63" s="88">
        <v>27280</v>
      </c>
      <c r="AD63" s="104">
        <v>28526</v>
      </c>
      <c r="AE63" s="104">
        <v>27336</v>
      </c>
      <c r="AF63" s="104">
        <v>27300</v>
      </c>
      <c r="AG63" s="104">
        <v>27273</v>
      </c>
      <c r="AH63" s="88">
        <v>27220</v>
      </c>
      <c r="AI63" s="208">
        <f>(Tableau913[[#This Row],[mars-20]]-Tableau913[[#This Row],[dec-19]])/Tableau913[[#This Row],[dec-19]]</f>
        <v>-1.9433139001943313E-3</v>
      </c>
      <c r="AJ63" s="219">
        <f>Tableau913[[#This Row],[mars-20]]-Tableau913[[#This Row],[dec-19]]</f>
        <v>-53</v>
      </c>
      <c r="AK63" s="2">
        <v>27181</v>
      </c>
      <c r="AL63" s="2">
        <v>27155</v>
      </c>
      <c r="AM63" s="2">
        <v>50000</v>
      </c>
      <c r="AN63" s="2">
        <v>50119</v>
      </c>
      <c r="AO63" s="2">
        <v>50104</v>
      </c>
      <c r="AP63" s="2">
        <v>50003</v>
      </c>
      <c r="AQ63" s="2">
        <v>50018</v>
      </c>
      <c r="AR63" s="2">
        <v>55000</v>
      </c>
      <c r="AS63" s="2">
        <v>55000</v>
      </c>
      <c r="AT63" s="2">
        <v>55000</v>
      </c>
      <c r="AU63" s="2"/>
      <c r="AV63" s="554">
        <f>(Tableau913[[#This Row],[juin-24]]-Tableau913[[#This Row],[avr-24]])/Tableau913[[#This Row],[avr-24]]</f>
        <v>0</v>
      </c>
      <c r="AW63" s="548">
        <f>Tableau913[[#This Row],[juin-24]]-Tableau913[[#This Row],[avr-24]]</f>
        <v>0</v>
      </c>
    </row>
    <row r="64" spans="1:49" x14ac:dyDescent="0.3">
      <c r="A64" s="164"/>
      <c r="B64" s="99" t="s">
        <v>312</v>
      </c>
      <c r="C64" s="104"/>
      <c r="D64" s="104"/>
      <c r="E64" s="255"/>
      <c r="F64" s="255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118"/>
      <c r="V64" s="118"/>
      <c r="W64" s="118"/>
      <c r="X64" s="118"/>
      <c r="Y64" s="57"/>
      <c r="Z64" s="57"/>
      <c r="AA64" s="57"/>
      <c r="AB64" s="57"/>
      <c r="AC64" s="57"/>
      <c r="AD64" s="57"/>
      <c r="AE64" s="57"/>
      <c r="AF64" s="88"/>
      <c r="AG64" s="88"/>
      <c r="AH64" s="54"/>
      <c r="AI64" s="208"/>
      <c r="AJ64" s="219"/>
      <c r="AK64" s="2"/>
      <c r="AL64" s="2"/>
      <c r="AM64" s="2"/>
      <c r="AN64" s="2"/>
      <c r="AO64" s="2">
        <v>0</v>
      </c>
      <c r="AP64" s="2">
        <v>0</v>
      </c>
      <c r="AQ64" s="2">
        <v>0</v>
      </c>
      <c r="AR64" s="2">
        <v>5900</v>
      </c>
      <c r="AS64" s="2">
        <v>5900</v>
      </c>
      <c r="AT64" s="2">
        <v>5900</v>
      </c>
      <c r="AU64" s="2"/>
      <c r="AV64" s="554">
        <f>(Tableau913[[#This Row],[juin-24]]-Tableau913[[#This Row],[avr-24]])/Tableau913[[#This Row],[avr-24]]</f>
        <v>0</v>
      </c>
      <c r="AW64" s="548">
        <f>Tableau913[[#This Row],[juin-24]]-Tableau913[[#This Row],[avr-24]]</f>
        <v>0</v>
      </c>
    </row>
    <row r="65" spans="1:50" x14ac:dyDescent="0.3">
      <c r="A65" s="164"/>
      <c r="B65" s="164" t="s">
        <v>315</v>
      </c>
      <c r="C65" s="104"/>
      <c r="D65" s="104"/>
      <c r="E65" s="255"/>
      <c r="F65" s="255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118"/>
      <c r="V65" s="118"/>
      <c r="W65" s="118"/>
      <c r="X65" s="118"/>
      <c r="Y65" s="57"/>
      <c r="Z65" s="57"/>
      <c r="AA65" s="57"/>
      <c r="AB65" s="57"/>
      <c r="AC65" s="57"/>
      <c r="AD65" s="57"/>
      <c r="AE65" s="57"/>
      <c r="AF65" s="88"/>
      <c r="AG65" s="88"/>
      <c r="AH65" s="54"/>
      <c r="AI65" s="208"/>
      <c r="AJ65" s="219"/>
      <c r="AK65" s="2"/>
      <c r="AL65" s="2"/>
      <c r="AM65" s="2"/>
      <c r="AN65" s="2"/>
      <c r="AO65" s="2">
        <v>0</v>
      </c>
      <c r="AP65" s="2">
        <v>3500</v>
      </c>
      <c r="AQ65" s="2">
        <v>3600</v>
      </c>
      <c r="AR65" s="2">
        <v>3700</v>
      </c>
      <c r="AS65" s="2">
        <v>3700</v>
      </c>
      <c r="AT65" s="2">
        <v>3700</v>
      </c>
      <c r="AU65" s="2"/>
      <c r="AV65" s="554">
        <f>(Tableau913[[#This Row],[juin-24]]-Tableau913[[#This Row],[avr-24]])/Tableau913[[#This Row],[avr-24]]</f>
        <v>0</v>
      </c>
      <c r="AW65" s="548">
        <f>Tableau913[[#This Row],[juin-24]]-Tableau913[[#This Row],[avr-24]]</f>
        <v>0</v>
      </c>
      <c r="AX65" s="252" t="s">
        <v>345</v>
      </c>
    </row>
    <row r="66" spans="1:50" x14ac:dyDescent="0.3">
      <c r="A66" s="164">
        <v>3</v>
      </c>
      <c r="B66" s="163" t="s">
        <v>89</v>
      </c>
      <c r="C66" s="105">
        <v>904140</v>
      </c>
      <c r="D66" s="105">
        <v>912715</v>
      </c>
      <c r="E66" s="105">
        <v>988971</v>
      </c>
      <c r="F66" s="105">
        <v>994180</v>
      </c>
      <c r="G66" s="105">
        <v>995959</v>
      </c>
      <c r="H66" s="105">
        <v>996193</v>
      </c>
      <c r="I66" s="105">
        <v>996049</v>
      </c>
      <c r="J66" s="105">
        <v>997543</v>
      </c>
      <c r="K66" s="105">
        <v>999190</v>
      </c>
      <c r="L66" s="105">
        <v>1000600</v>
      </c>
      <c r="M66" s="105">
        <v>1000956</v>
      </c>
      <c r="N66" s="105">
        <v>1000759</v>
      </c>
      <c r="O66" s="105">
        <v>1001945</v>
      </c>
      <c r="P66" s="105">
        <v>1003546</v>
      </c>
      <c r="Q66" s="105">
        <v>1022687</v>
      </c>
      <c r="R66" s="105">
        <v>1023816</v>
      </c>
      <c r="S66" s="105">
        <v>1026376</v>
      </c>
      <c r="T66" s="105">
        <v>1031995</v>
      </c>
      <c r="U66" s="105">
        <v>1032720</v>
      </c>
      <c r="V66" s="105">
        <v>1032084</v>
      </c>
      <c r="W66" s="105">
        <v>1032925</v>
      </c>
      <c r="X66" s="105">
        <v>1032710</v>
      </c>
      <c r="Y66" s="105">
        <v>1032250</v>
      </c>
      <c r="Z66" s="105">
        <v>1031314</v>
      </c>
      <c r="AA66" s="105">
        <v>1031241</v>
      </c>
      <c r="AB66" s="105">
        <v>1030779</v>
      </c>
      <c r="AC66" s="105">
        <v>1041973</v>
      </c>
      <c r="AD66" s="105">
        <v>1046305</v>
      </c>
      <c r="AE66" s="105">
        <v>1047555</v>
      </c>
      <c r="AF66" s="105">
        <v>1046501</v>
      </c>
      <c r="AG66" s="105">
        <v>1045650</v>
      </c>
      <c r="AH66" s="88">
        <v>1047719</v>
      </c>
      <c r="AI66" s="208">
        <f>(Tableau913[[#This Row],[mars-20]]-Tableau913[[#This Row],[dec-19]])/Tableau913[[#This Row],[dec-19]]</f>
        <v>1.9786735523358678E-3</v>
      </c>
      <c r="AJ66" s="219">
        <f>Tableau913[[#This Row],[mars-20]]-Tableau913[[#This Row],[dec-19]]</f>
        <v>2069</v>
      </c>
      <c r="AK66" s="2">
        <v>1055556</v>
      </c>
      <c r="AL66" s="2">
        <v>1056135</v>
      </c>
      <c r="AM66" s="2">
        <v>1232316</v>
      </c>
      <c r="AN66" s="2">
        <v>1233388</v>
      </c>
      <c r="AO66" s="2">
        <v>1233118</v>
      </c>
      <c r="AP66" s="2">
        <v>1235116</v>
      </c>
      <c r="AQ66" s="2">
        <v>1234412</v>
      </c>
      <c r="AR66" s="2">
        <v>1200000</v>
      </c>
      <c r="AS66" s="2">
        <v>1200000</v>
      </c>
      <c r="AT66" s="2">
        <v>1200000</v>
      </c>
      <c r="AU66" s="2"/>
      <c r="AV66" s="554">
        <f>(Tableau913[[#This Row],[juin-24]]-Tableau913[[#This Row],[avr-24]])/Tableau913[[#This Row],[avr-24]]</f>
        <v>0</v>
      </c>
      <c r="AW66" s="548">
        <f>Tableau913[[#This Row],[juin-24]]-Tableau913[[#This Row],[avr-24]]</f>
        <v>0</v>
      </c>
    </row>
    <row r="67" spans="1:50" x14ac:dyDescent="0.3">
      <c r="A67" s="174"/>
      <c r="B67" s="164" t="s">
        <v>313</v>
      </c>
      <c r="C67" s="104"/>
      <c r="D67" s="104"/>
      <c r="E67" s="255"/>
      <c r="F67" s="255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118"/>
      <c r="V67" s="118"/>
      <c r="W67" s="118"/>
      <c r="X67" s="118"/>
      <c r="Y67" s="57"/>
      <c r="Z67" s="57"/>
      <c r="AA67" s="57"/>
      <c r="AB67" s="57"/>
      <c r="AC67" s="57"/>
      <c r="AD67" s="57"/>
      <c r="AE67" s="57"/>
      <c r="AF67" s="88"/>
      <c r="AG67" s="88"/>
      <c r="AH67" s="54"/>
      <c r="AI67" s="208"/>
      <c r="AJ67" s="219"/>
      <c r="AK67" s="2"/>
      <c r="AL67" s="2"/>
      <c r="AM67" s="2"/>
      <c r="AN67" s="2"/>
      <c r="AO67" s="2">
        <v>0</v>
      </c>
      <c r="AP67" s="2">
        <v>2400</v>
      </c>
      <c r="AQ67" s="2">
        <v>2500</v>
      </c>
      <c r="AR67" s="2">
        <v>2500</v>
      </c>
      <c r="AS67" s="2">
        <v>3200</v>
      </c>
      <c r="AT67" s="2">
        <v>3300</v>
      </c>
      <c r="AU67" s="2"/>
      <c r="AV67" s="554">
        <f>(Tableau913[[#This Row],[juin-24]]-Tableau913[[#This Row],[avr-24]])/Tableau913[[#This Row],[avr-24]]</f>
        <v>3.125E-2</v>
      </c>
      <c r="AW67" s="548">
        <f>Tableau913[[#This Row],[juin-24]]-Tableau913[[#This Row],[avr-24]]</f>
        <v>100</v>
      </c>
    </row>
    <row r="68" spans="1:50" x14ac:dyDescent="0.3">
      <c r="A68" s="164">
        <v>20</v>
      </c>
      <c r="B68" s="227" t="s">
        <v>122</v>
      </c>
      <c r="C68" s="104"/>
      <c r="D68" s="104"/>
      <c r="E68" s="88"/>
      <c r="F68" s="88"/>
      <c r="G68" s="88"/>
      <c r="H68" s="88"/>
      <c r="I68" s="88"/>
      <c r="J68" s="88"/>
      <c r="K68" s="88"/>
      <c r="L68" s="88">
        <v>86381</v>
      </c>
      <c r="M68" s="88">
        <v>86544</v>
      </c>
      <c r="N68" s="88">
        <v>88651</v>
      </c>
      <c r="O68" s="88">
        <v>88420</v>
      </c>
      <c r="P68" s="88">
        <v>88276</v>
      </c>
      <c r="Q68" s="88">
        <v>88373</v>
      </c>
      <c r="R68" s="88">
        <v>88504</v>
      </c>
      <c r="S68" s="88">
        <v>88415</v>
      </c>
      <c r="T68" s="88">
        <v>88355</v>
      </c>
      <c r="U68" s="88">
        <v>88150</v>
      </c>
      <c r="V68" s="88">
        <v>88049</v>
      </c>
      <c r="W68" s="88">
        <v>87895</v>
      </c>
      <c r="X68" s="88">
        <v>87700</v>
      </c>
      <c r="Y68" s="88">
        <v>87695</v>
      </c>
      <c r="Z68" s="88">
        <v>87980</v>
      </c>
      <c r="AA68" s="57">
        <v>87894</v>
      </c>
      <c r="AB68" s="57">
        <v>87857</v>
      </c>
      <c r="AC68" s="57">
        <v>87907</v>
      </c>
      <c r="AD68" s="104">
        <v>87750</v>
      </c>
      <c r="AE68" s="104">
        <v>87564</v>
      </c>
      <c r="AF68" s="104">
        <v>87433</v>
      </c>
      <c r="AG68" s="104">
        <v>87285</v>
      </c>
      <c r="AH68" s="88">
        <v>86733</v>
      </c>
      <c r="AI68" s="179">
        <f>(Tableau913[[#This Row],[mars-20]]-Tableau913[[#This Row],[dec-19]])/Tableau913[[#This Row],[dec-19]]</f>
        <v>-6.3241106719367588E-3</v>
      </c>
      <c r="AJ68" s="219">
        <f>Tableau913[[#This Row],[mars-20]]-Tableau913[[#This Row],[dec-19]]</f>
        <v>-552</v>
      </c>
      <c r="AK68" s="2">
        <v>85879</v>
      </c>
      <c r="AL68" s="2">
        <v>85620</v>
      </c>
      <c r="AM68" s="2">
        <v>98000</v>
      </c>
      <c r="AN68" s="2">
        <v>98006</v>
      </c>
      <c r="AO68" s="2">
        <v>97872</v>
      </c>
      <c r="AP68" s="2">
        <v>97706</v>
      </c>
      <c r="AQ68" s="2">
        <v>97539</v>
      </c>
      <c r="AR68" s="2">
        <v>96000</v>
      </c>
      <c r="AS68" s="2">
        <v>96000</v>
      </c>
      <c r="AT68" s="2">
        <v>96000</v>
      </c>
      <c r="AU68" s="2"/>
      <c r="AV68" s="554">
        <f>(Tableau913[[#This Row],[juin-24]]-Tableau913[[#This Row],[avr-24]])/Tableau913[[#This Row],[avr-24]]</f>
        <v>0</v>
      </c>
      <c r="AW68" s="548">
        <f>Tableau913[[#This Row],[juin-24]]-Tableau913[[#This Row],[avr-24]]</f>
        <v>0</v>
      </c>
    </row>
    <row r="69" spans="1:50" x14ac:dyDescent="0.3">
      <c r="A69" s="164"/>
      <c r="B69" s="164" t="s">
        <v>323</v>
      </c>
      <c r="C69" s="104"/>
      <c r="D69" s="104"/>
      <c r="E69" s="255"/>
      <c r="F69" s="255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118"/>
      <c r="V69" s="118"/>
      <c r="W69" s="118"/>
      <c r="X69" s="118"/>
      <c r="Y69" s="57"/>
      <c r="Z69" s="57"/>
      <c r="AA69" s="57"/>
      <c r="AB69" s="57"/>
      <c r="AC69" s="57"/>
      <c r="AD69" s="57"/>
      <c r="AE69" s="57"/>
      <c r="AF69" s="88"/>
      <c r="AG69" s="88"/>
      <c r="AH69" s="175"/>
      <c r="AI69" s="209"/>
      <c r="AJ69" s="219"/>
      <c r="AK69" s="2"/>
      <c r="AL69" s="2"/>
      <c r="AM69" s="2"/>
      <c r="AN69" s="2"/>
      <c r="AO69" s="2">
        <v>0</v>
      </c>
      <c r="AP69" s="2">
        <v>6786</v>
      </c>
      <c r="AQ69" s="2">
        <v>6748</v>
      </c>
      <c r="AR69" s="2">
        <v>6700</v>
      </c>
      <c r="AS69" s="2">
        <v>0</v>
      </c>
      <c r="AT69" s="2">
        <v>0</v>
      </c>
      <c r="AU69" s="2"/>
      <c r="AV69" s="554" t="e">
        <f>(Tableau913[[#This Row],[juin-24]]-Tableau913[[#This Row],[avr-24]])/Tableau913[[#This Row],[avr-24]]</f>
        <v>#DIV/0!</v>
      </c>
      <c r="AW69" s="548">
        <f>Tableau913[[#This Row],[juin-24]]-Tableau913[[#This Row],[avr-24]]</f>
        <v>0</v>
      </c>
    </row>
    <row r="70" spans="1:50" x14ac:dyDescent="0.3">
      <c r="A70" s="164"/>
      <c r="B70" s="164" t="s">
        <v>319</v>
      </c>
      <c r="C70" s="104"/>
      <c r="D70" s="104"/>
      <c r="E70" s="255"/>
      <c r="F70" s="255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118"/>
      <c r="V70" s="118"/>
      <c r="W70" s="118"/>
      <c r="X70" s="118"/>
      <c r="Y70" s="57"/>
      <c r="Z70" s="57"/>
      <c r="AA70" s="57"/>
      <c r="AB70" s="57"/>
      <c r="AC70" s="57"/>
      <c r="AD70" s="57"/>
      <c r="AE70" s="57"/>
      <c r="AF70" s="88"/>
      <c r="AG70" s="88"/>
      <c r="AH70" s="54"/>
      <c r="AI70" s="179"/>
      <c r="AJ70" s="268"/>
      <c r="AK70" s="2"/>
      <c r="AL70" s="2"/>
      <c r="AM70" s="2"/>
      <c r="AN70" s="2"/>
      <c r="AO70" s="2">
        <v>0</v>
      </c>
      <c r="AP70" s="2">
        <v>17000</v>
      </c>
      <c r="AQ70" s="2">
        <v>17975</v>
      </c>
      <c r="AR70" s="2">
        <v>20000</v>
      </c>
      <c r="AS70" s="2">
        <v>20000</v>
      </c>
      <c r="AT70" s="2">
        <v>20000</v>
      </c>
      <c r="AU70" s="2"/>
      <c r="AV70" s="554">
        <f>(Tableau913[[#This Row],[juin-24]]-Tableau913[[#This Row],[avr-24]])/Tableau913[[#This Row],[avr-24]]</f>
        <v>0</v>
      </c>
      <c r="AW70" s="548">
        <f>Tableau913[[#This Row],[juin-24]]-Tableau913[[#This Row],[avr-24]]</f>
        <v>0</v>
      </c>
    </row>
    <row r="71" spans="1:50" x14ac:dyDescent="0.3">
      <c r="A71" s="164"/>
      <c r="B71" s="174" t="s">
        <v>318</v>
      </c>
      <c r="C71" s="104"/>
      <c r="D71" s="104"/>
      <c r="E71" s="255"/>
      <c r="F71" s="255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118"/>
      <c r="V71" s="118"/>
      <c r="W71" s="118"/>
      <c r="X71" s="118"/>
      <c r="Y71" s="57"/>
      <c r="Z71" s="57"/>
      <c r="AA71" s="57"/>
      <c r="AB71" s="57"/>
      <c r="AC71" s="57"/>
      <c r="AD71" s="57"/>
      <c r="AE71" s="57"/>
      <c r="AF71" s="88"/>
      <c r="AG71" s="88"/>
      <c r="AH71" s="54"/>
      <c r="AI71" s="179"/>
      <c r="AJ71" s="268"/>
      <c r="AK71" s="2"/>
      <c r="AL71" s="2"/>
      <c r="AM71" s="2"/>
      <c r="AN71" s="2"/>
      <c r="AO71" s="2">
        <v>0</v>
      </c>
      <c r="AP71" s="2">
        <v>2109</v>
      </c>
      <c r="AQ71" s="2">
        <v>2135</v>
      </c>
      <c r="AR71" s="2">
        <v>2200</v>
      </c>
      <c r="AS71" s="2">
        <v>2200</v>
      </c>
      <c r="AT71" s="2">
        <v>2200</v>
      </c>
      <c r="AU71" s="2"/>
      <c r="AV71" s="554">
        <f>(Tableau913[[#This Row],[juin-24]]-Tableau913[[#This Row],[avr-24]])/Tableau913[[#This Row],[avr-24]]</f>
        <v>0</v>
      </c>
      <c r="AW71" s="548">
        <f>Tableau913[[#This Row],[juin-24]]-Tableau913[[#This Row],[avr-24]]</f>
        <v>0</v>
      </c>
    </row>
    <row r="72" spans="1:50" x14ac:dyDescent="0.3">
      <c r="A72" s="164"/>
      <c r="B72" t="s">
        <v>311</v>
      </c>
      <c r="C72" s="104"/>
      <c r="D72" s="104"/>
      <c r="E72" s="255"/>
      <c r="F72" s="255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118"/>
      <c r="V72" s="118"/>
      <c r="W72" s="118"/>
      <c r="X72" s="118"/>
      <c r="Y72" s="57"/>
      <c r="Z72" s="57"/>
      <c r="AA72" s="57"/>
      <c r="AB72" s="57"/>
      <c r="AC72" s="57"/>
      <c r="AD72" s="57"/>
      <c r="AE72" s="57"/>
      <c r="AF72" s="88"/>
      <c r="AG72" s="88"/>
      <c r="AH72" s="54"/>
      <c r="AI72" s="179"/>
      <c r="AJ72" s="268"/>
      <c r="AK72" s="2"/>
      <c r="AL72" s="2"/>
      <c r="AM72" s="2"/>
      <c r="AN72" s="2"/>
      <c r="AO72" s="2">
        <v>0</v>
      </c>
      <c r="AP72" s="2">
        <v>0</v>
      </c>
      <c r="AQ72" s="2">
        <v>0</v>
      </c>
      <c r="AR72" s="2">
        <v>3000</v>
      </c>
      <c r="AS72" s="2">
        <v>2900</v>
      </c>
      <c r="AT72" s="2">
        <v>2900</v>
      </c>
      <c r="AU72" s="2"/>
      <c r="AV72" s="554">
        <f>(Tableau913[[#This Row],[juin-24]]-Tableau913[[#This Row],[avr-24]])/Tableau913[[#This Row],[avr-24]]</f>
        <v>0</v>
      </c>
      <c r="AW72" s="548">
        <f>Tableau913[[#This Row],[juin-24]]-Tableau913[[#This Row],[avr-24]]</f>
        <v>0</v>
      </c>
    </row>
    <row r="73" spans="1:50" x14ac:dyDescent="0.3">
      <c r="A73" s="164">
        <v>1</v>
      </c>
      <c r="B73" s="227" t="s">
        <v>88</v>
      </c>
      <c r="C73" s="104">
        <v>975296</v>
      </c>
      <c r="D73" s="104">
        <v>991837</v>
      </c>
      <c r="E73" s="104">
        <v>1044838</v>
      </c>
      <c r="F73" s="104">
        <v>1049514</v>
      </c>
      <c r="G73" s="104">
        <v>1061345</v>
      </c>
      <c r="H73" s="104">
        <v>1063469</v>
      </c>
      <c r="I73" s="104">
        <v>1064608</v>
      </c>
      <c r="J73" s="104">
        <v>1075790</v>
      </c>
      <c r="K73" s="104">
        <v>1081827</v>
      </c>
      <c r="L73" s="104">
        <v>1082673</v>
      </c>
      <c r="M73" s="104">
        <v>1087583</v>
      </c>
      <c r="N73" s="104">
        <v>1094603</v>
      </c>
      <c r="O73" s="104">
        <v>1095046</v>
      </c>
      <c r="P73" s="104">
        <v>1100999</v>
      </c>
      <c r="Q73" s="104">
        <v>1131055</v>
      </c>
      <c r="R73" s="104">
        <v>1132485</v>
      </c>
      <c r="S73" s="104">
        <v>1134282</v>
      </c>
      <c r="T73" s="104">
        <v>1134772</v>
      </c>
      <c r="U73" s="104">
        <v>1134689</v>
      </c>
      <c r="V73" s="104">
        <v>1139855</v>
      </c>
      <c r="W73" s="104">
        <v>1142795</v>
      </c>
      <c r="X73" s="104">
        <v>1143500</v>
      </c>
      <c r="Y73" s="104">
        <v>1144965</v>
      </c>
      <c r="Z73" s="104">
        <v>1145525</v>
      </c>
      <c r="AA73" s="104">
        <v>1146054</v>
      </c>
      <c r="AB73" s="104">
        <v>1149624</v>
      </c>
      <c r="AC73" s="104">
        <v>1164645</v>
      </c>
      <c r="AD73" s="104">
        <v>1167646</v>
      </c>
      <c r="AE73" s="104">
        <v>1167312</v>
      </c>
      <c r="AF73" s="104">
        <v>1166637</v>
      </c>
      <c r="AG73" s="104">
        <v>1165674</v>
      </c>
      <c r="AH73" s="88">
        <v>1164942</v>
      </c>
      <c r="AI73" s="179">
        <f>(Tableau913[[#This Row],[mars-20]]-Tableau913[[#This Row],[dec-19]])/Tableau913[[#This Row],[dec-19]]</f>
        <v>-6.279628781288765E-4</v>
      </c>
      <c r="AJ73" s="268">
        <f>Tableau913[[#This Row],[mars-20]]-Tableau913[[#This Row],[dec-19]]</f>
        <v>-732</v>
      </c>
      <c r="AK73" s="2">
        <v>1187308</v>
      </c>
      <c r="AL73" s="249">
        <v>1400000</v>
      </c>
      <c r="AM73" s="249">
        <v>1593996</v>
      </c>
      <c r="AN73" s="249">
        <v>1615410</v>
      </c>
      <c r="AO73" s="249">
        <v>1614436</v>
      </c>
      <c r="AP73" s="249">
        <v>1615599</v>
      </c>
      <c r="AQ73" s="249">
        <v>1611085</v>
      </c>
      <c r="AR73" s="249">
        <v>1595088</v>
      </c>
      <c r="AS73" s="249">
        <v>1500000</v>
      </c>
      <c r="AT73" s="249">
        <v>1500000</v>
      </c>
      <c r="AU73" s="249"/>
      <c r="AV73" s="554">
        <f>(Tableau913[[#This Row],[juin-24]]-Tableau913[[#This Row],[avr-24]])/Tableau913[[#This Row],[avr-24]]</f>
        <v>0</v>
      </c>
      <c r="AW73" s="548">
        <f>Tableau913[[#This Row],[juin-24]]-Tableau913[[#This Row],[avr-24]]</f>
        <v>0</v>
      </c>
    </row>
    <row r="74" spans="1:50" x14ac:dyDescent="0.3">
      <c r="A74" s="164">
        <v>11</v>
      </c>
      <c r="B74" s="227" t="s">
        <v>113</v>
      </c>
      <c r="C74" s="104"/>
      <c r="D74" s="104"/>
      <c r="E74" s="88"/>
      <c r="F74" s="88"/>
      <c r="G74" s="88"/>
      <c r="H74" s="88"/>
      <c r="I74" s="88"/>
      <c r="J74" s="88"/>
      <c r="K74" s="88">
        <v>150392</v>
      </c>
      <c r="L74" s="88">
        <v>150562</v>
      </c>
      <c r="M74" s="88">
        <v>150913</v>
      </c>
      <c r="N74" s="88">
        <v>151485</v>
      </c>
      <c r="O74" s="88">
        <v>151247</v>
      </c>
      <c r="P74" s="88">
        <v>151173</v>
      </c>
      <c r="Q74" s="88">
        <v>164967</v>
      </c>
      <c r="R74" s="88">
        <v>165320</v>
      </c>
      <c r="S74" s="88">
        <v>165416</v>
      </c>
      <c r="T74" s="88">
        <v>165522</v>
      </c>
      <c r="U74" s="88">
        <v>165480</v>
      </c>
      <c r="V74" s="88">
        <v>165801</v>
      </c>
      <c r="W74" s="88">
        <v>165727</v>
      </c>
      <c r="X74" s="88">
        <v>165740</v>
      </c>
      <c r="Y74" s="88">
        <v>165860</v>
      </c>
      <c r="Z74" s="88">
        <v>169325</v>
      </c>
      <c r="AA74" s="88">
        <v>169468</v>
      </c>
      <c r="AB74" s="88">
        <v>169528</v>
      </c>
      <c r="AC74" s="88">
        <v>170077</v>
      </c>
      <c r="AD74" s="105">
        <v>170774</v>
      </c>
      <c r="AE74" s="105">
        <v>171595</v>
      </c>
      <c r="AF74" s="105">
        <v>171497</v>
      </c>
      <c r="AG74" s="105">
        <v>171630</v>
      </c>
      <c r="AH74" s="88">
        <v>171471</v>
      </c>
      <c r="AI74" s="179">
        <f>(Tableau913[[#This Row],[mars-20]]-Tableau913[[#This Row],[dec-19]])/Tableau913[[#This Row],[dec-19]]</f>
        <v>-9.2641146652683098E-4</v>
      </c>
      <c r="AJ74" s="268">
        <f>Tableau913[[#This Row],[mars-20]]-Tableau913[[#This Row],[dec-19]]</f>
        <v>-159</v>
      </c>
      <c r="AK74" s="2">
        <v>171960</v>
      </c>
      <c r="AL74" s="2">
        <v>176000</v>
      </c>
      <c r="AM74" s="2">
        <v>215000</v>
      </c>
      <c r="AN74" s="2">
        <v>219516</v>
      </c>
      <c r="AO74" s="2">
        <v>220550</v>
      </c>
      <c r="AP74" s="2">
        <v>224604</v>
      </c>
      <c r="AQ74" s="2">
        <v>224786</v>
      </c>
      <c r="AR74" s="2">
        <v>228000</v>
      </c>
      <c r="AS74" s="2">
        <v>227000</v>
      </c>
      <c r="AT74" s="2">
        <v>227000</v>
      </c>
      <c r="AU74" s="2"/>
      <c r="AV74" s="554">
        <f>(Tableau913[[#This Row],[juin-24]]-Tableau913[[#This Row],[avr-24]])/Tableau913[[#This Row],[avr-24]]</f>
        <v>0</v>
      </c>
      <c r="AW74" s="548">
        <f>Tableau913[[#This Row],[juin-24]]-Tableau913[[#This Row],[avr-24]]</f>
        <v>0</v>
      </c>
    </row>
    <row r="75" spans="1:50" x14ac:dyDescent="0.3">
      <c r="A75" s="164">
        <v>36</v>
      </c>
      <c r="B75" s="163" t="s">
        <v>148</v>
      </c>
      <c r="C75" s="104"/>
      <c r="D75" s="104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>
        <v>114339</v>
      </c>
      <c r="R75" s="88">
        <v>114182</v>
      </c>
      <c r="S75" s="88">
        <v>114126</v>
      </c>
      <c r="T75" s="88">
        <v>114023</v>
      </c>
      <c r="U75" s="88">
        <v>113887</v>
      </c>
      <c r="V75" s="88">
        <v>113669</v>
      </c>
      <c r="W75" s="88">
        <v>113656</v>
      </c>
      <c r="X75" s="88">
        <v>113475</v>
      </c>
      <c r="Y75" s="88">
        <v>113380</v>
      </c>
      <c r="Z75" s="88">
        <v>113228</v>
      </c>
      <c r="AA75" s="88">
        <v>113059</v>
      </c>
      <c r="AB75" s="88">
        <v>112949</v>
      </c>
      <c r="AC75" s="88">
        <v>113273</v>
      </c>
      <c r="AD75" s="105">
        <v>113132</v>
      </c>
      <c r="AE75" s="105">
        <v>112979</v>
      </c>
      <c r="AF75" s="105">
        <v>112803</v>
      </c>
      <c r="AG75" s="105">
        <v>112643</v>
      </c>
      <c r="AH75" s="88">
        <v>111923</v>
      </c>
      <c r="AI75" s="179">
        <f>(Tableau913[[#This Row],[mars-20]]-Tableau913[[#This Row],[dec-19]])/Tableau913[[#This Row],[dec-19]]</f>
        <v>-6.3918752163916086E-3</v>
      </c>
      <c r="AJ75" s="268">
        <f>Tableau913[[#This Row],[mars-20]]-Tableau913[[#This Row],[dec-19]]</f>
        <v>-720</v>
      </c>
      <c r="AK75" s="2">
        <v>112958</v>
      </c>
      <c r="AL75" s="2">
        <v>112834</v>
      </c>
      <c r="AM75" s="2">
        <v>120000</v>
      </c>
      <c r="AN75" s="2">
        <v>120000</v>
      </c>
      <c r="AO75" s="2">
        <v>120000</v>
      </c>
      <c r="AP75" s="2">
        <v>121808</v>
      </c>
      <c r="AQ75" s="2">
        <v>121802</v>
      </c>
      <c r="AR75" s="2">
        <v>122000</v>
      </c>
      <c r="AS75" s="2">
        <v>124000</v>
      </c>
      <c r="AT75" s="2">
        <v>125000</v>
      </c>
      <c r="AU75" s="2"/>
      <c r="AV75" s="554">
        <f>(Tableau913[[#This Row],[juin-24]]-Tableau913[[#This Row],[avr-24]])/Tableau913[[#This Row],[avr-24]]</f>
        <v>8.0645161290322578E-3</v>
      </c>
      <c r="AW75" s="548">
        <f>Tableau913[[#This Row],[juin-24]]-Tableau913[[#This Row],[avr-24]]</f>
        <v>1000</v>
      </c>
    </row>
    <row r="76" spans="1:50" x14ac:dyDescent="0.3">
      <c r="A76" s="123"/>
      <c r="B76" s="164" t="s">
        <v>202</v>
      </c>
      <c r="C76" s="118"/>
      <c r="D76" s="118"/>
      <c r="E76" s="182"/>
      <c r="F76" s="182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18"/>
      <c r="V76" s="118"/>
      <c r="W76" s="118"/>
      <c r="X76" s="118"/>
      <c r="Y76" s="57"/>
      <c r="Z76" s="57"/>
      <c r="AA76" s="57"/>
      <c r="AB76" s="57"/>
      <c r="AC76" s="57">
        <v>29448</v>
      </c>
      <c r="AD76" s="104">
        <v>30806</v>
      </c>
      <c r="AE76" s="104">
        <v>32992</v>
      </c>
      <c r="AF76" s="104">
        <v>33466</v>
      </c>
      <c r="AG76" s="104">
        <v>33495</v>
      </c>
      <c r="AH76" s="88">
        <v>33965</v>
      </c>
      <c r="AI76" s="179">
        <f>(Tableau913[[#This Row],[mars-20]]-Tableau913[[#This Row],[dec-19]])/Tableau913[[#This Row],[dec-19]]</f>
        <v>1.4031945066427826E-2</v>
      </c>
      <c r="AJ76" s="400">
        <f>Tableau913[[#This Row],[mars-20]]-Tableau913[[#This Row],[dec-19]]</f>
        <v>470</v>
      </c>
      <c r="AK76" s="2">
        <v>55807</v>
      </c>
      <c r="AL76" s="2">
        <v>240000</v>
      </c>
      <c r="AM76" s="2">
        <v>354000</v>
      </c>
      <c r="AN76" s="2">
        <v>367194</v>
      </c>
      <c r="AO76" s="2">
        <v>366895</v>
      </c>
      <c r="AP76" s="2">
        <v>378870</v>
      </c>
      <c r="AQ76" s="2">
        <v>379754</v>
      </c>
      <c r="AR76" s="2">
        <v>394000</v>
      </c>
      <c r="AS76" s="2">
        <v>394000</v>
      </c>
      <c r="AT76" s="2">
        <v>394000</v>
      </c>
      <c r="AU76" s="2"/>
      <c r="AV76" s="554">
        <f>(Tableau913[[#This Row],[juin-24]]-Tableau913[[#This Row],[avr-24]])/Tableau913[[#This Row],[avr-24]]</f>
        <v>0</v>
      </c>
      <c r="AW76" s="548">
        <f>Tableau913[[#This Row],[juin-24]]-Tableau913[[#This Row],[avr-24]]</f>
        <v>0</v>
      </c>
    </row>
    <row r="77" spans="1:50" x14ac:dyDescent="0.3">
      <c r="A77" s="164">
        <v>34</v>
      </c>
      <c r="B77" s="227" t="s">
        <v>144</v>
      </c>
      <c r="C77" s="104"/>
      <c r="D77" s="104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>
        <v>122903</v>
      </c>
      <c r="R77" s="88">
        <v>123319</v>
      </c>
      <c r="S77" s="88">
        <v>123417</v>
      </c>
      <c r="T77" s="88">
        <v>123324</v>
      </c>
      <c r="U77" s="88">
        <v>123176</v>
      </c>
      <c r="V77" s="88">
        <v>123028</v>
      </c>
      <c r="W77" s="88">
        <v>122898</v>
      </c>
      <c r="X77" s="88">
        <v>122745</v>
      </c>
      <c r="Y77" s="88">
        <v>122900</v>
      </c>
      <c r="Z77" s="88">
        <v>122954</v>
      </c>
      <c r="AA77" s="88">
        <v>124038</v>
      </c>
      <c r="AB77" s="88">
        <v>124242</v>
      </c>
      <c r="AC77" s="88">
        <v>124355</v>
      </c>
      <c r="AD77" s="104">
        <v>124855</v>
      </c>
      <c r="AE77" s="104">
        <v>125005</v>
      </c>
      <c r="AF77" s="104">
        <v>124869</v>
      </c>
      <c r="AG77" s="104">
        <v>124737</v>
      </c>
      <c r="AH77" s="88">
        <v>124189</v>
      </c>
      <c r="AI77" s="179">
        <f>(Tableau913[[#This Row],[mars-20]]-Tableau913[[#This Row],[dec-19]])/Tableau913[[#This Row],[dec-19]]</f>
        <v>-4.3932433840801043E-3</v>
      </c>
      <c r="AJ77" s="268">
        <f>Tableau913[[#This Row],[mars-20]]-Tableau913[[#This Row],[dec-19]]</f>
        <v>-548</v>
      </c>
      <c r="AK77" s="2">
        <v>124842</v>
      </c>
      <c r="AL77" s="2">
        <v>162000</v>
      </c>
      <c r="AM77" s="2">
        <v>172000</v>
      </c>
      <c r="AN77" s="2">
        <v>171009</v>
      </c>
      <c r="AO77" s="2">
        <v>170773</v>
      </c>
      <c r="AP77" s="2">
        <v>171277</v>
      </c>
      <c r="AQ77" s="2">
        <v>171355</v>
      </c>
      <c r="AR77" s="2">
        <v>174002</v>
      </c>
      <c r="AS77" s="2">
        <v>173000</v>
      </c>
      <c r="AT77" s="2">
        <v>175000</v>
      </c>
      <c r="AU77" s="2"/>
      <c r="AV77" s="555">
        <f>(Tableau913[[#This Row],[juin-24]]-Tableau913[[#This Row],[avr-24]])/Tableau913[[#This Row],[avr-24]]</f>
        <v>1.1560693641618497E-2</v>
      </c>
      <c r="AW77" s="548">
        <f>Tableau913[[#This Row],[juin-24]]-Tableau913[[#This Row],[avr-24]]</f>
        <v>2000</v>
      </c>
    </row>
    <row r="78" spans="1:50" x14ac:dyDescent="0.3">
      <c r="A78" s="164">
        <v>39</v>
      </c>
      <c r="B78" s="227" t="s">
        <v>162</v>
      </c>
      <c r="C78" s="104"/>
      <c r="D78" s="104"/>
      <c r="E78" s="110"/>
      <c r="F78" s="110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>
        <v>11775</v>
      </c>
      <c r="U78" s="88">
        <v>12108</v>
      </c>
      <c r="V78" s="88">
        <v>12904</v>
      </c>
      <c r="W78" s="88">
        <v>15384</v>
      </c>
      <c r="X78" s="88">
        <v>16380</v>
      </c>
      <c r="Y78" s="88">
        <v>16855</v>
      </c>
      <c r="Z78" s="88">
        <v>17681</v>
      </c>
      <c r="AA78" s="88">
        <v>17941</v>
      </c>
      <c r="AB78" s="88">
        <v>19737</v>
      </c>
      <c r="AC78" s="88">
        <v>20858</v>
      </c>
      <c r="AD78" s="105">
        <v>26468</v>
      </c>
      <c r="AE78" s="105">
        <v>29527</v>
      </c>
      <c r="AF78" s="105">
        <v>30088</v>
      </c>
      <c r="AG78" s="105">
        <v>30393</v>
      </c>
      <c r="AH78" s="88">
        <v>35458</v>
      </c>
      <c r="AI78" s="179">
        <f>(Tableau913[[#This Row],[mars-20]]-Tableau913[[#This Row],[dec-19]])/Tableau913[[#This Row],[dec-19]]</f>
        <v>0.16665021551015036</v>
      </c>
      <c r="AJ78" s="268">
        <f>Tableau913[[#This Row],[mars-20]]-Tableau913[[#This Row],[dec-19]]</f>
        <v>5065</v>
      </c>
      <c r="AK78" s="2">
        <v>60523</v>
      </c>
      <c r="AL78" s="2">
        <v>187000</v>
      </c>
      <c r="AM78" s="2">
        <v>247000</v>
      </c>
      <c r="AN78" s="2">
        <v>264003</v>
      </c>
      <c r="AO78" s="2">
        <v>264717</v>
      </c>
      <c r="AP78" s="2">
        <v>282066</v>
      </c>
      <c r="AQ78" s="2">
        <v>288158</v>
      </c>
      <c r="AR78" s="2">
        <v>311000</v>
      </c>
      <c r="AS78" s="2">
        <v>313000</v>
      </c>
      <c r="AT78" s="2">
        <v>314000</v>
      </c>
      <c r="AU78" s="2"/>
      <c r="AV78" s="554">
        <f>(Tableau913[[#This Row],[juin-24]]-Tableau913[[#This Row],[avr-24]])/Tableau913[[#This Row],[avr-24]]</f>
        <v>3.1948881789137379E-3</v>
      </c>
      <c r="AW78" s="548">
        <f>Tableau913[[#This Row],[juin-24]]-Tableau913[[#This Row],[avr-24]]</f>
        <v>1000</v>
      </c>
    </row>
    <row r="79" spans="1:50" x14ac:dyDescent="0.3">
      <c r="A79" s="106">
        <v>44</v>
      </c>
      <c r="B79" s="227" t="s">
        <v>187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88">
        <v>78142</v>
      </c>
      <c r="AB79" s="88">
        <v>120889</v>
      </c>
      <c r="AC79" s="88">
        <v>122759</v>
      </c>
      <c r="AD79" s="104">
        <v>123133</v>
      </c>
      <c r="AE79" s="104">
        <v>123100</v>
      </c>
      <c r="AF79" s="88">
        <v>123076</v>
      </c>
      <c r="AG79" s="88">
        <v>123013</v>
      </c>
      <c r="AH79" s="88">
        <v>124175</v>
      </c>
      <c r="AI79" s="179">
        <f>(Tableau913[[#This Row],[mars-20]]-Tableau913[[#This Row],[dec-19]])/Tableau913[[#This Row],[dec-19]]</f>
        <v>9.4461560973230479E-3</v>
      </c>
      <c r="AJ79" s="268">
        <f>Tableau913[[#This Row],[mars-20]]-Tableau913[[#This Row],[dec-19]]</f>
        <v>1162</v>
      </c>
      <c r="AK79" s="2">
        <v>227427</v>
      </c>
      <c r="AL79" s="2">
        <v>259589</v>
      </c>
      <c r="AM79" s="2">
        <v>718000</v>
      </c>
      <c r="AN79" s="2">
        <v>719590</v>
      </c>
      <c r="AO79" s="2">
        <v>720871</v>
      </c>
      <c r="AP79" s="2">
        <v>746552</v>
      </c>
      <c r="AQ79" s="2">
        <v>748398</v>
      </c>
      <c r="AR79" s="2">
        <v>743083</v>
      </c>
      <c r="AS79" s="2">
        <v>745000</v>
      </c>
      <c r="AT79" s="2">
        <v>747000</v>
      </c>
      <c r="AU79" s="2"/>
      <c r="AV79" s="554">
        <f>(Tableau913[[#This Row],[juin-24]]-Tableau913[[#This Row],[avr-24]])/Tableau913[[#This Row],[avr-24]]</f>
        <v>2.6845637583892616E-3</v>
      </c>
      <c r="AW79" s="548">
        <f>Tableau913[[#This Row],[juin-24]]-Tableau913[[#This Row],[avr-24]]</f>
        <v>2000</v>
      </c>
    </row>
    <row r="80" spans="1:50" x14ac:dyDescent="0.3">
      <c r="A80" s="164">
        <v>13</v>
      </c>
      <c r="B80" s="163" t="s">
        <v>98</v>
      </c>
      <c r="C80" s="104">
        <v>114124</v>
      </c>
      <c r="D80" s="104">
        <v>115852</v>
      </c>
      <c r="E80" s="104">
        <v>123667</v>
      </c>
      <c r="F80" s="104">
        <v>124587</v>
      </c>
      <c r="G80" s="104">
        <v>124564</v>
      </c>
      <c r="H80" s="104">
        <v>124513</v>
      </c>
      <c r="I80" s="104">
        <v>124655</v>
      </c>
      <c r="J80" s="104">
        <v>125339</v>
      </c>
      <c r="K80" s="104">
        <v>126241</v>
      </c>
      <c r="L80" s="104">
        <v>126368</v>
      </c>
      <c r="M80" s="104">
        <v>126417</v>
      </c>
      <c r="N80" s="104">
        <v>126206</v>
      </c>
      <c r="O80" s="104">
        <v>128055</v>
      </c>
      <c r="P80" s="104">
        <v>126185</v>
      </c>
      <c r="Q80" s="104">
        <v>127051</v>
      </c>
      <c r="R80" s="104">
        <v>126867</v>
      </c>
      <c r="S80" s="104">
        <v>126749</v>
      </c>
      <c r="T80" s="104">
        <v>126584</v>
      </c>
      <c r="U80" s="104">
        <v>126387</v>
      </c>
      <c r="V80" s="104">
        <v>126203</v>
      </c>
      <c r="W80" s="104">
        <v>126305</v>
      </c>
      <c r="X80" s="104">
        <v>126205</v>
      </c>
      <c r="Y80" s="104">
        <v>126095</v>
      </c>
      <c r="Z80" s="104">
        <v>125976</v>
      </c>
      <c r="AA80" s="104">
        <v>125839</v>
      </c>
      <c r="AB80" s="104">
        <v>125829</v>
      </c>
      <c r="AC80" s="104">
        <v>126103</v>
      </c>
      <c r="AD80" s="105">
        <v>125926</v>
      </c>
      <c r="AE80" s="105">
        <v>125694</v>
      </c>
      <c r="AF80" s="105">
        <v>125442</v>
      </c>
      <c r="AG80" s="105">
        <v>125233</v>
      </c>
      <c r="AH80" s="88">
        <v>125028</v>
      </c>
      <c r="AI80" s="179">
        <f>(Tableau913[[#This Row],[mars-20]]-Tableau913[[#This Row],[dec-19]])/Tableau913[[#This Row],[dec-19]]</f>
        <v>-1.6369487275718062E-3</v>
      </c>
      <c r="AJ80" s="268">
        <f>Tableau913[[#This Row],[mars-20]]-Tableau913[[#This Row],[dec-19]]</f>
        <v>-205</v>
      </c>
      <c r="AK80" s="2">
        <v>124897</v>
      </c>
      <c r="AL80" s="2">
        <v>124676</v>
      </c>
      <c r="AM80" s="2">
        <v>163000</v>
      </c>
      <c r="AN80" s="2">
        <v>164580</v>
      </c>
      <c r="AO80" s="2">
        <v>164338</v>
      </c>
      <c r="AP80" s="2">
        <v>164071</v>
      </c>
      <c r="AQ80" s="2">
        <v>163471</v>
      </c>
      <c r="AR80" s="2">
        <v>162000</v>
      </c>
      <c r="AS80" s="2">
        <v>161000</v>
      </c>
      <c r="AT80" s="2">
        <v>161000</v>
      </c>
      <c r="AU80" s="2"/>
      <c r="AV80" s="554">
        <f>(Tableau913[[#This Row],[juin-24]]-Tableau913[[#This Row],[avr-24]])/Tableau913[[#This Row],[avr-24]]</f>
        <v>0</v>
      </c>
      <c r="AW80" s="548">
        <f>Tableau913[[#This Row],[juin-24]]-Tableau913[[#This Row],[avr-24]]</f>
        <v>0</v>
      </c>
    </row>
    <row r="81" spans="1:50" x14ac:dyDescent="0.3">
      <c r="A81" s="164">
        <v>5</v>
      </c>
      <c r="B81" s="163" t="s">
        <v>100</v>
      </c>
      <c r="C81" s="104"/>
      <c r="D81" s="104"/>
      <c r="E81" s="104">
        <v>416443</v>
      </c>
      <c r="F81" s="104">
        <v>445811</v>
      </c>
      <c r="G81" s="104">
        <v>450161</v>
      </c>
      <c r="H81" s="104">
        <v>454788</v>
      </c>
      <c r="I81" s="104">
        <v>459874</v>
      </c>
      <c r="J81" s="104">
        <v>464993</v>
      </c>
      <c r="K81" s="104">
        <v>465700</v>
      </c>
      <c r="L81" s="104">
        <v>468845</v>
      </c>
      <c r="M81" s="104">
        <v>469338</v>
      </c>
      <c r="N81" s="104">
        <v>485645</v>
      </c>
      <c r="O81" s="104">
        <v>485591</v>
      </c>
      <c r="P81" s="104">
        <v>484954</v>
      </c>
      <c r="Q81" s="104">
        <v>488682</v>
      </c>
      <c r="R81" s="104">
        <v>489982</v>
      </c>
      <c r="S81" s="104">
        <v>491372</v>
      </c>
      <c r="T81" s="104">
        <v>501570</v>
      </c>
      <c r="U81" s="104">
        <v>502196</v>
      </c>
      <c r="V81" s="104">
        <v>501905</v>
      </c>
      <c r="W81" s="104">
        <v>501977</v>
      </c>
      <c r="X81" s="104">
        <v>502020</v>
      </c>
      <c r="Y81" s="104">
        <v>505030</v>
      </c>
      <c r="Z81" s="104">
        <v>508361</v>
      </c>
      <c r="AA81" s="104">
        <v>510393</v>
      </c>
      <c r="AB81" s="104">
        <v>510374</v>
      </c>
      <c r="AC81" s="104">
        <v>519124</v>
      </c>
      <c r="AD81" s="104">
        <v>548447</v>
      </c>
      <c r="AE81" s="104">
        <v>548692</v>
      </c>
      <c r="AF81" s="104">
        <v>548373</v>
      </c>
      <c r="AG81" s="104">
        <v>548599</v>
      </c>
      <c r="AH81" s="88">
        <v>551073</v>
      </c>
      <c r="AI81" s="179">
        <f>(Tableau913[[#This Row],[mars-20]]-Tableau913[[#This Row],[dec-19]])/Tableau913[[#This Row],[dec-19]]</f>
        <v>4.5096691754815451E-3</v>
      </c>
      <c r="AJ81" s="268">
        <f>Tableau913[[#This Row],[mars-20]]-Tableau913[[#This Row],[dec-19]]</f>
        <v>2474</v>
      </c>
      <c r="AK81" s="2">
        <v>574330</v>
      </c>
      <c r="AL81" s="2">
        <v>575139</v>
      </c>
      <c r="AM81" s="2">
        <v>1130846</v>
      </c>
      <c r="AN81" s="2">
        <v>1132488</v>
      </c>
      <c r="AO81" s="2">
        <v>1130920</v>
      </c>
      <c r="AP81" s="2">
        <v>1131326</v>
      </c>
      <c r="AQ81" s="2">
        <v>1135520</v>
      </c>
      <c r="AR81" s="2">
        <v>1143395</v>
      </c>
      <c r="AS81" s="2">
        <v>1100000</v>
      </c>
      <c r="AT81" s="2">
        <v>1100000</v>
      </c>
      <c r="AU81" s="2"/>
      <c r="AV81" s="554">
        <f>(Tableau913[[#This Row],[juin-24]]-Tableau913[[#This Row],[avr-24]])/Tableau913[[#This Row],[avr-24]]</f>
        <v>0</v>
      </c>
      <c r="AW81" s="548">
        <f>Tableau913[[#This Row],[juin-24]]-Tableau913[[#This Row],[avr-24]]</f>
        <v>0</v>
      </c>
    </row>
    <row r="82" spans="1:50" x14ac:dyDescent="0.3">
      <c r="A82" s="174"/>
      <c r="B82" s="174" t="s">
        <v>322</v>
      </c>
      <c r="C82" s="284"/>
      <c r="D82" s="284"/>
      <c r="E82" s="397"/>
      <c r="F82" s="397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285"/>
      <c r="V82" s="285"/>
      <c r="W82" s="285"/>
      <c r="X82" s="285"/>
      <c r="Y82" s="151"/>
      <c r="Z82" s="151"/>
      <c r="AA82" s="151"/>
      <c r="AB82" s="151"/>
      <c r="AC82" s="151"/>
      <c r="AD82" s="151"/>
      <c r="AE82" s="151"/>
      <c r="AF82" s="149"/>
      <c r="AG82" s="149"/>
      <c r="AH82" s="175"/>
      <c r="AI82" s="209"/>
      <c r="AJ82" s="268"/>
      <c r="AK82" s="2"/>
      <c r="AL82" s="2"/>
      <c r="AM82" s="2"/>
      <c r="AN82" s="2"/>
      <c r="AO82" s="2">
        <v>0</v>
      </c>
      <c r="AP82" s="2">
        <v>6750</v>
      </c>
      <c r="AQ82" s="2">
        <v>6743</v>
      </c>
      <c r="AR82" s="2">
        <v>6700</v>
      </c>
      <c r="AS82" s="2">
        <v>6800</v>
      </c>
      <c r="AT82" s="2">
        <v>6600</v>
      </c>
      <c r="AU82" s="2"/>
      <c r="AV82" s="554">
        <f>(Tableau913[[#This Row],[juin-24]]-Tableau913[[#This Row],[avr-24]])/Tableau913[[#This Row],[avr-24]]</f>
        <v>-2.9411764705882353E-2</v>
      </c>
      <c r="AW82" s="548">
        <f>Tableau913[[#This Row],[juin-24]]-Tableau913[[#This Row],[avr-24]]</f>
        <v>-200</v>
      </c>
    </row>
    <row r="83" spans="1:50" x14ac:dyDescent="0.3">
      <c r="A83" s="296">
        <v>17</v>
      </c>
      <c r="B83" s="296" t="s">
        <v>91</v>
      </c>
      <c r="C83" s="284">
        <v>65289</v>
      </c>
      <c r="D83" s="284">
        <v>66370</v>
      </c>
      <c r="E83" s="284">
        <v>90396</v>
      </c>
      <c r="F83" s="284">
        <v>91374</v>
      </c>
      <c r="G83" s="284">
        <v>91421</v>
      </c>
      <c r="H83" s="284">
        <v>91507</v>
      </c>
      <c r="I83" s="284">
        <v>91622</v>
      </c>
      <c r="J83" s="284">
        <v>92145</v>
      </c>
      <c r="K83" s="284">
        <v>92359</v>
      </c>
      <c r="L83" s="284">
        <v>92685</v>
      </c>
      <c r="M83" s="284">
        <v>93288</v>
      </c>
      <c r="N83" s="284">
        <v>93424</v>
      </c>
      <c r="O83" s="284">
        <v>93463</v>
      </c>
      <c r="P83" s="284">
        <v>93717</v>
      </c>
      <c r="Q83" s="284">
        <v>95500</v>
      </c>
      <c r="R83" s="582">
        <v>95542</v>
      </c>
      <c r="S83" s="582">
        <v>95865</v>
      </c>
      <c r="T83" s="582">
        <v>96060</v>
      </c>
      <c r="U83" s="582">
        <v>96026</v>
      </c>
      <c r="V83" s="582">
        <v>96023</v>
      </c>
      <c r="W83" s="582">
        <v>96014</v>
      </c>
      <c r="X83" s="582">
        <v>96020</v>
      </c>
      <c r="Y83" s="582">
        <v>96180</v>
      </c>
      <c r="Z83" s="582">
        <v>96226</v>
      </c>
      <c r="AA83" s="582">
        <v>96269</v>
      </c>
      <c r="AB83" s="582">
        <v>96612</v>
      </c>
      <c r="AC83" s="582">
        <v>99732</v>
      </c>
      <c r="AD83" s="284">
        <v>100371</v>
      </c>
      <c r="AE83" s="284">
        <v>100410</v>
      </c>
      <c r="AF83" s="284">
        <v>100357</v>
      </c>
      <c r="AG83" s="284">
        <v>100359</v>
      </c>
      <c r="AH83" s="149">
        <v>100428</v>
      </c>
      <c r="AI83" s="209">
        <f>(Tableau913[[#This Row],[mars-20]]-Tableau913[[#This Row],[dec-19]])/Tableau913[[#This Row],[dec-19]]</f>
        <v>6.8753176097808861E-4</v>
      </c>
      <c r="AJ83" s="268">
        <f>Tableau913[[#This Row],[mars-20]]-Tableau913[[#This Row],[dec-19]]</f>
        <v>69</v>
      </c>
      <c r="AK83" s="2">
        <v>102206</v>
      </c>
      <c r="AL83" s="2">
        <v>102328</v>
      </c>
      <c r="AM83" s="2"/>
      <c r="AN83" s="2"/>
      <c r="AO83" s="2">
        <v>0</v>
      </c>
      <c r="AP83" s="2">
        <v>0</v>
      </c>
      <c r="AQ83" s="2">
        <v>0</v>
      </c>
      <c r="AR83" s="2">
        <v>4200</v>
      </c>
      <c r="AS83" s="2">
        <v>0</v>
      </c>
      <c r="AT83" s="2">
        <v>0</v>
      </c>
      <c r="AU83" s="2"/>
      <c r="AV83" s="554" t="e">
        <f>(Tableau913[[#This Row],[juin-24]]-Tableau913[[#This Row],[avr-24]])/Tableau913[[#This Row],[avr-24]]</f>
        <v>#DIV/0!</v>
      </c>
      <c r="AW83" s="548">
        <f>Tableau913[[#This Row],[juin-24]]-Tableau913[[#This Row],[avr-24]]</f>
        <v>0</v>
      </c>
    </row>
    <row r="84" spans="1:50" x14ac:dyDescent="0.3">
      <c r="A84" s="164"/>
      <c r="B84" s="164" t="s">
        <v>325</v>
      </c>
      <c r="C84" s="104"/>
      <c r="D84" s="104"/>
      <c r="E84" s="255"/>
      <c r="F84" s="255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118"/>
      <c r="V84" s="118"/>
      <c r="W84" s="118"/>
      <c r="X84" s="118"/>
      <c r="Y84" s="57"/>
      <c r="Z84" s="57"/>
      <c r="AA84" s="57"/>
      <c r="AB84" s="57"/>
      <c r="AC84" s="57"/>
      <c r="AD84" s="57"/>
      <c r="AE84" s="57"/>
      <c r="AF84" s="88"/>
      <c r="AG84" s="88"/>
      <c r="AH84" s="54"/>
      <c r="AI84" s="179"/>
      <c r="AJ84" s="268"/>
      <c r="AK84" s="2"/>
      <c r="AL84" s="2"/>
      <c r="AM84" s="2"/>
      <c r="AN84" s="2"/>
      <c r="AO84" s="2">
        <v>0</v>
      </c>
      <c r="AP84" s="2">
        <v>18228</v>
      </c>
      <c r="AQ84" s="2">
        <v>18000</v>
      </c>
      <c r="AR84" s="2">
        <v>18000</v>
      </c>
      <c r="AS84" s="2">
        <v>18000</v>
      </c>
      <c r="AT84" s="2">
        <v>18000</v>
      </c>
      <c r="AU84" s="2"/>
      <c r="AV84" s="554">
        <f>(Tableau913[[#This Row],[juin-24]]-Tableau913[[#This Row],[avr-24]])/Tableau913[[#This Row],[avr-24]]</f>
        <v>0</v>
      </c>
      <c r="AW84" s="548">
        <f>Tableau913[[#This Row],[juin-24]]-Tableau913[[#This Row],[avr-24]]</f>
        <v>0</v>
      </c>
    </row>
    <row r="85" spans="1:50" x14ac:dyDescent="0.3">
      <c r="A85" s="164"/>
      <c r="B85" s="99" t="s">
        <v>403</v>
      </c>
      <c r="C85" s="104"/>
      <c r="D85" s="104"/>
      <c r="E85" s="255"/>
      <c r="F85" s="255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118"/>
      <c r="V85" s="118"/>
      <c r="W85" s="118"/>
      <c r="X85" s="118"/>
      <c r="Y85" s="57"/>
      <c r="Z85" s="57"/>
      <c r="AA85" s="57"/>
      <c r="AB85" s="57"/>
      <c r="AC85" s="57"/>
      <c r="AD85" s="57"/>
      <c r="AE85" s="57"/>
      <c r="AF85" s="88"/>
      <c r="AG85" s="88"/>
      <c r="AH85" s="54"/>
      <c r="AI85" s="179"/>
      <c r="AJ85" s="268">
        <f>Tableau913[[#This Row],[mars-20]]-Tableau913[[#This Row],[dec-19]]</f>
        <v>0</v>
      </c>
      <c r="AK85" s="2"/>
      <c r="AL85" s="2"/>
      <c r="AM85" s="2"/>
      <c r="AN85" s="2">
        <f>1128169+1540810+586378</f>
        <v>3255357</v>
      </c>
      <c r="AO85" s="2">
        <v>0</v>
      </c>
      <c r="AP85" s="2">
        <v>0</v>
      </c>
      <c r="AQ85" s="2">
        <v>0</v>
      </c>
      <c r="AR85" s="2">
        <v>0</v>
      </c>
      <c r="AS85" s="2">
        <v>3400</v>
      </c>
      <c r="AT85" s="2">
        <v>3400</v>
      </c>
      <c r="AU85" s="2"/>
      <c r="AV85" s="554">
        <f>(Tableau913[[#This Row],[juin-24]]-Tableau913[[#This Row],[avr-24]])/Tableau913[[#This Row],[avr-24]]</f>
        <v>0</v>
      </c>
      <c r="AW85" s="548">
        <f>Tableau913[[#This Row],[juin-24]]-Tableau913[[#This Row],[avr-24]]</f>
        <v>0</v>
      </c>
    </row>
    <row r="86" spans="1:50" x14ac:dyDescent="0.3">
      <c r="A86" s="164"/>
      <c r="B86" s="99" t="s">
        <v>231</v>
      </c>
      <c r="C86" s="104"/>
      <c r="D86" s="104"/>
      <c r="E86" s="184"/>
      <c r="F86" s="184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118"/>
      <c r="V86" s="118"/>
      <c r="W86" s="118"/>
      <c r="X86" s="118"/>
      <c r="Y86" s="57"/>
      <c r="Z86" s="57"/>
      <c r="AA86" s="57"/>
      <c r="AB86" s="57"/>
      <c r="AC86" s="57"/>
      <c r="AD86" s="104"/>
      <c r="AE86" s="105"/>
      <c r="AF86" s="105"/>
      <c r="AG86" s="105"/>
      <c r="AH86" s="54"/>
      <c r="AI86" s="179"/>
      <c r="AJ86" s="400"/>
      <c r="AM86" s="1"/>
      <c r="AN86" s="2">
        <v>4900</v>
      </c>
      <c r="AO86" s="2">
        <v>4900</v>
      </c>
      <c r="AP86" s="2">
        <v>0</v>
      </c>
      <c r="AQ86" s="2">
        <v>4900</v>
      </c>
      <c r="AR86" s="2">
        <v>4000</v>
      </c>
      <c r="AS86" s="2">
        <v>4800</v>
      </c>
      <c r="AT86" s="2">
        <v>4800</v>
      </c>
      <c r="AU86" s="2"/>
      <c r="AV86" s="554">
        <f>(Tableau913[[#This Row],[juin-24]]-Tableau913[[#This Row],[avr-24]])/Tableau913[[#This Row],[avr-24]]</f>
        <v>0</v>
      </c>
      <c r="AW86" s="548">
        <f>Tableau913[[#This Row],[juin-24]]-Tableau913[[#This Row],[avr-24]]</f>
        <v>0</v>
      </c>
    </row>
    <row r="87" spans="1:50" x14ac:dyDescent="0.3">
      <c r="A87" s="164"/>
      <c r="B87" s="164" t="s">
        <v>321</v>
      </c>
      <c r="C87" s="104"/>
      <c r="D87" s="104"/>
      <c r="E87" s="255"/>
      <c r="F87" s="255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118"/>
      <c r="V87" s="118"/>
      <c r="W87" s="118"/>
      <c r="X87" s="118"/>
      <c r="Y87" s="57"/>
      <c r="Z87" s="57"/>
      <c r="AA87" s="57"/>
      <c r="AB87" s="57"/>
      <c r="AC87" s="57"/>
      <c r="AD87" s="57"/>
      <c r="AE87" s="57"/>
      <c r="AF87" s="88"/>
      <c r="AG87" s="88"/>
      <c r="AH87" s="54"/>
      <c r="AI87" s="179"/>
      <c r="AJ87" s="268"/>
      <c r="AK87" s="2"/>
      <c r="AL87" s="2"/>
      <c r="AM87" s="2"/>
      <c r="AN87" s="2"/>
      <c r="AO87" s="2">
        <v>0</v>
      </c>
      <c r="AP87" s="2">
        <v>44005</v>
      </c>
      <c r="AQ87" s="2">
        <v>44764</v>
      </c>
      <c r="AR87" s="2">
        <v>46000</v>
      </c>
      <c r="AS87" s="2">
        <v>46000</v>
      </c>
      <c r="AT87" s="2">
        <v>46000</v>
      </c>
      <c r="AU87" s="2"/>
      <c r="AV87" s="554">
        <f>(Tableau913[[#This Row],[juin-24]]-Tableau913[[#This Row],[avr-24]])/Tableau913[[#This Row],[avr-24]]</f>
        <v>0</v>
      </c>
      <c r="AW87" s="548">
        <f>Tableau913[[#This Row],[juin-24]]-Tableau913[[#This Row],[avr-24]]</f>
        <v>0</v>
      </c>
    </row>
    <row r="88" spans="1:50" x14ac:dyDescent="0.3">
      <c r="A88" s="123"/>
      <c r="B88" s="227" t="s">
        <v>132</v>
      </c>
      <c r="C88" s="57">
        <v>0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7">
        <v>0</v>
      </c>
      <c r="K88" s="57">
        <v>0</v>
      </c>
      <c r="L88" s="57">
        <v>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  <c r="R88" s="57">
        <v>0</v>
      </c>
      <c r="S88" s="57">
        <v>0</v>
      </c>
      <c r="T88" s="57">
        <v>0</v>
      </c>
      <c r="U88" s="57">
        <v>0</v>
      </c>
      <c r="V88" s="57">
        <v>0</v>
      </c>
      <c r="W88" s="57">
        <v>0</v>
      </c>
      <c r="X88" s="57">
        <v>0</v>
      </c>
      <c r="Y88" s="57"/>
      <c r="Z88" s="57"/>
      <c r="AA88" s="57"/>
      <c r="AB88" s="57"/>
      <c r="AC88" s="57"/>
      <c r="AD88" s="57"/>
      <c r="AE88" s="105"/>
      <c r="AF88" s="105"/>
      <c r="AG88" s="105"/>
      <c r="AH88" s="54"/>
      <c r="AI88" s="179"/>
      <c r="AJ88" s="268"/>
      <c r="AM88" s="1">
        <v>7103</v>
      </c>
      <c r="AN88" s="2">
        <v>7000</v>
      </c>
      <c r="AO88" s="2">
        <v>0</v>
      </c>
      <c r="AP88" s="2">
        <v>7287</v>
      </c>
      <c r="AQ88" s="2">
        <v>7351</v>
      </c>
      <c r="AR88" s="2">
        <v>7400</v>
      </c>
      <c r="AS88" s="2">
        <v>7600</v>
      </c>
      <c r="AT88" s="2">
        <v>7600</v>
      </c>
      <c r="AU88" s="2"/>
      <c r="AV88" s="554">
        <f>(Tableau913[[#This Row],[juin-24]]-Tableau913[[#This Row],[avr-24]])/Tableau913[[#This Row],[avr-24]]</f>
        <v>0</v>
      </c>
      <c r="AW88" s="548">
        <f>Tableau913[[#This Row],[juin-24]]-Tableau913[[#This Row],[avr-24]]</f>
        <v>0</v>
      </c>
    </row>
    <row r="89" spans="1:50" x14ac:dyDescent="0.3">
      <c r="A89" s="166"/>
      <c r="B89" s="163" t="s">
        <v>258</v>
      </c>
      <c r="C89" s="105"/>
      <c r="D89" s="105"/>
      <c r="E89" s="105"/>
      <c r="F89" s="105"/>
      <c r="G89" s="105"/>
      <c r="H89" s="105"/>
      <c r="I89" s="105"/>
      <c r="J89" s="105"/>
      <c r="K89" s="105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105"/>
      <c r="AF89" s="105"/>
      <c r="AG89" s="105"/>
      <c r="AH89" s="54"/>
      <c r="AI89" s="179"/>
      <c r="AJ89" s="268"/>
      <c r="AM89" s="1"/>
      <c r="AN89" s="2">
        <v>25000</v>
      </c>
      <c r="AO89" s="2">
        <v>26000</v>
      </c>
      <c r="AP89" s="2">
        <v>27377</v>
      </c>
      <c r="AQ89" s="2">
        <v>27691</v>
      </c>
      <c r="AR89" s="2">
        <v>28000</v>
      </c>
      <c r="AS89" s="2">
        <v>28000</v>
      </c>
      <c r="AT89" s="2">
        <v>28000</v>
      </c>
      <c r="AU89" s="2"/>
      <c r="AV89" s="554">
        <f>(Tableau913[[#This Row],[juin-24]]-Tableau913[[#This Row],[avr-24]])/Tableau913[[#This Row],[avr-24]]</f>
        <v>0</v>
      </c>
      <c r="AW89" s="548">
        <f>Tableau913[[#This Row],[juin-24]]-Tableau913[[#This Row],[avr-24]]</f>
        <v>0</v>
      </c>
    </row>
    <row r="90" spans="1:50" x14ac:dyDescent="0.3">
      <c r="A90" s="123"/>
      <c r="B90" s="165" t="s">
        <v>266</v>
      </c>
      <c r="C90" s="118"/>
      <c r="D90" s="118"/>
      <c r="E90" s="330"/>
      <c r="F90" s="33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18"/>
      <c r="V90" s="118"/>
      <c r="W90" s="118"/>
      <c r="X90" s="118"/>
      <c r="Y90" s="57"/>
      <c r="Z90" s="57"/>
      <c r="AA90" s="57"/>
      <c r="AB90" s="57"/>
      <c r="AC90" s="57"/>
      <c r="AD90" s="57"/>
      <c r="AE90" s="57"/>
      <c r="AF90" s="88"/>
      <c r="AG90" s="88"/>
      <c r="AH90" s="54"/>
      <c r="AI90" s="179"/>
      <c r="AJ90" s="268"/>
      <c r="AM90" s="1"/>
      <c r="AN90" s="2"/>
      <c r="AO90" s="2"/>
      <c r="AP90" s="2">
        <v>18181</v>
      </c>
      <c r="AQ90" s="2">
        <v>18138</v>
      </c>
      <c r="AR90" s="2">
        <v>18000</v>
      </c>
      <c r="AS90" s="2">
        <v>18000</v>
      </c>
      <c r="AT90" s="2">
        <v>18000</v>
      </c>
      <c r="AU90" s="2"/>
      <c r="AV90" s="554">
        <f>(Tableau913[[#This Row],[juin-24]]-Tableau913[[#This Row],[avr-24]])/Tableau913[[#This Row],[avr-24]]</f>
        <v>0</v>
      </c>
      <c r="AW90" s="548">
        <f>Tableau913[[#This Row],[juin-24]]-Tableau913[[#This Row],[avr-24]]</f>
        <v>0</v>
      </c>
    </row>
    <row r="91" spans="1:50" x14ac:dyDescent="0.3">
      <c r="A91" s="164"/>
      <c r="B91" s="164" t="s">
        <v>190</v>
      </c>
      <c r="C91" s="104"/>
      <c r="D91" s="104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118"/>
      <c r="V91" s="118"/>
      <c r="W91" s="118"/>
      <c r="X91" s="118"/>
      <c r="Y91" s="57"/>
      <c r="Z91" s="57"/>
      <c r="AA91" s="57"/>
      <c r="AB91" s="57">
        <v>13709</v>
      </c>
      <c r="AC91" s="57">
        <v>14372</v>
      </c>
      <c r="AD91" s="104">
        <v>14491</v>
      </c>
      <c r="AE91" s="104">
        <v>14511</v>
      </c>
      <c r="AF91" s="104">
        <v>14536</v>
      </c>
      <c r="AG91" s="104">
        <v>14550</v>
      </c>
      <c r="AH91" s="88">
        <v>14553</v>
      </c>
      <c r="AI91" s="179">
        <f>(Tableau913[[#This Row],[mars-20]]-Tableau913[[#This Row],[dec-19]])/Tableau913[[#This Row],[dec-19]]</f>
        <v>2.0618556701030929E-4</v>
      </c>
      <c r="AJ91" s="263">
        <f>Tableau913[[#This Row],[mars-20]]-Tableau913[[#This Row],[dec-19]]</f>
        <v>3</v>
      </c>
      <c r="AK91" s="2">
        <v>14615</v>
      </c>
      <c r="AL91" s="2">
        <v>14633</v>
      </c>
      <c r="AM91" s="2">
        <v>33000</v>
      </c>
      <c r="AN91" s="2">
        <v>34000</v>
      </c>
      <c r="AO91" s="2">
        <v>34000</v>
      </c>
      <c r="AP91" s="2">
        <v>34301</v>
      </c>
      <c r="AQ91" s="2">
        <v>34210</v>
      </c>
      <c r="AR91" s="2">
        <v>33000</v>
      </c>
      <c r="AS91" s="2">
        <v>33000</v>
      </c>
      <c r="AT91" s="2">
        <v>33000</v>
      </c>
      <c r="AU91" s="2"/>
      <c r="AV91" s="554">
        <f>(Tableau913[[#This Row],[juin-24]]-Tableau913[[#This Row],[avr-24]])/Tableau913[[#This Row],[avr-24]]</f>
        <v>0</v>
      </c>
      <c r="AW91" s="548">
        <f>Tableau913[[#This Row],[juin-24]]-Tableau913[[#This Row],[avr-24]]</f>
        <v>0</v>
      </c>
      <c r="AX91" s="252" t="s">
        <v>346</v>
      </c>
    </row>
    <row r="92" spans="1:50" x14ac:dyDescent="0.3">
      <c r="A92" s="123"/>
      <c r="B92" s="165" t="s">
        <v>204</v>
      </c>
      <c r="C92" s="118"/>
      <c r="D92" s="118"/>
      <c r="E92" s="330"/>
      <c r="F92" s="33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18"/>
      <c r="V92" s="118"/>
      <c r="W92" s="118"/>
      <c r="X92" s="118"/>
      <c r="Y92" s="57"/>
      <c r="Z92" s="57"/>
      <c r="AA92" s="57"/>
      <c r="AB92" s="57"/>
      <c r="AC92" s="57"/>
      <c r="AD92" s="57"/>
      <c r="AE92" s="57"/>
      <c r="AF92" s="88"/>
      <c r="AG92" s="88"/>
      <c r="AH92" s="54"/>
      <c r="AI92" s="179"/>
      <c r="AJ92" s="268"/>
      <c r="AM92" s="1"/>
      <c r="AN92" s="2">
        <f>1128169+1540810+586378</f>
        <v>3255357</v>
      </c>
      <c r="AO92" s="2">
        <v>0</v>
      </c>
      <c r="AP92" s="2">
        <v>42000</v>
      </c>
      <c r="AQ92" s="2">
        <v>54000</v>
      </c>
      <c r="AR92" s="2">
        <v>46000</v>
      </c>
      <c r="AS92" s="2">
        <v>103000</v>
      </c>
      <c r="AT92" s="2">
        <v>119000</v>
      </c>
      <c r="AU92" s="2"/>
      <c r="AV92" s="554">
        <f>(Tableau913[[#This Row],[juin-24]]-Tableau913[[#This Row],[avr-24]])/Tableau913[[#This Row],[avr-24]]</f>
        <v>0.1553398058252427</v>
      </c>
      <c r="AW92" s="548">
        <f>Tableau913[[#This Row],[juin-24]]-Tableau913[[#This Row],[avr-24]]</f>
        <v>16000</v>
      </c>
      <c r="AX92" s="252" t="s">
        <v>347</v>
      </c>
    </row>
    <row r="93" spans="1:50" x14ac:dyDescent="0.3">
      <c r="A93" s="164">
        <v>29</v>
      </c>
      <c r="B93" s="163" t="s">
        <v>92</v>
      </c>
      <c r="C93" s="104">
        <v>56825</v>
      </c>
      <c r="D93" s="104">
        <v>58139</v>
      </c>
      <c r="E93" s="104">
        <v>60801</v>
      </c>
      <c r="F93" s="104">
        <v>61097</v>
      </c>
      <c r="G93" s="104">
        <v>61091</v>
      </c>
      <c r="H93" s="104">
        <v>61184</v>
      </c>
      <c r="I93" s="104">
        <v>61200</v>
      </c>
      <c r="J93" s="104">
        <v>61473</v>
      </c>
      <c r="K93" s="104">
        <v>61646</v>
      </c>
      <c r="L93" s="104">
        <v>61912</v>
      </c>
      <c r="M93" s="104">
        <v>62107</v>
      </c>
      <c r="N93" s="104">
        <v>62307</v>
      </c>
      <c r="O93" s="104">
        <v>63321</v>
      </c>
      <c r="P93" s="104">
        <v>63481</v>
      </c>
      <c r="Q93" s="104">
        <v>63782</v>
      </c>
      <c r="R93" s="104">
        <v>63845</v>
      </c>
      <c r="S93" s="104">
        <v>64310</v>
      </c>
      <c r="T93" s="104">
        <v>64961</v>
      </c>
      <c r="U93" s="104">
        <v>64978</v>
      </c>
      <c r="V93" s="104">
        <v>65046</v>
      </c>
      <c r="W93" s="104">
        <v>65113</v>
      </c>
      <c r="X93" s="104">
        <v>65190</v>
      </c>
      <c r="Y93" s="104">
        <v>65350</v>
      </c>
      <c r="Z93" s="104">
        <v>65414</v>
      </c>
      <c r="AA93" s="57">
        <v>65422</v>
      </c>
      <c r="AB93" s="57">
        <v>65653</v>
      </c>
      <c r="AC93" s="57">
        <v>79514</v>
      </c>
      <c r="AD93" s="105">
        <v>82454</v>
      </c>
      <c r="AE93" s="105">
        <v>82926</v>
      </c>
      <c r="AF93" s="105">
        <v>83113</v>
      </c>
      <c r="AG93" s="105">
        <v>83262</v>
      </c>
      <c r="AH93" s="88">
        <v>84225</v>
      </c>
      <c r="AI93" s="179">
        <f>(Tableau913[[#This Row],[mars-20]]-Tableau913[[#This Row],[dec-19]])/Tableau913[[#This Row],[dec-19]]</f>
        <v>1.1565900410751603E-2</v>
      </c>
      <c r="AJ93" s="268">
        <f>Tableau913[[#This Row],[mars-20]]-Tableau913[[#This Row],[dec-19]]</f>
        <v>963</v>
      </c>
      <c r="AK93" s="2">
        <v>90048</v>
      </c>
      <c r="AL93" s="2">
        <v>90786</v>
      </c>
      <c r="AM93" s="2">
        <v>96000</v>
      </c>
      <c r="AN93" s="2">
        <v>95981</v>
      </c>
      <c r="AO93" s="2">
        <v>96215</v>
      </c>
      <c r="AP93" s="2">
        <v>100412</v>
      </c>
      <c r="AQ93" s="2">
        <v>100078</v>
      </c>
      <c r="AR93" s="2">
        <v>103466</v>
      </c>
      <c r="AS93" s="2">
        <v>103000</v>
      </c>
      <c r="AT93" s="2">
        <v>103000</v>
      </c>
      <c r="AU93" s="2"/>
      <c r="AV93" s="554">
        <f>(Tableau913[[#This Row],[juin-24]]-Tableau913[[#This Row],[avr-24]])/Tableau913[[#This Row],[avr-24]]</f>
        <v>0</v>
      </c>
      <c r="AW93" s="548">
        <f>Tableau913[[#This Row],[juin-24]]-Tableau913[[#This Row],[avr-24]]</f>
        <v>0</v>
      </c>
      <c r="AX93" s="252" t="s">
        <v>348</v>
      </c>
    </row>
    <row r="94" spans="1:50" x14ac:dyDescent="0.3">
      <c r="A94" s="164"/>
      <c r="B94" s="164" t="s">
        <v>194</v>
      </c>
      <c r="C94" s="104"/>
      <c r="D94" s="104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118"/>
      <c r="V94" s="118"/>
      <c r="W94" s="118"/>
      <c r="X94" s="118"/>
      <c r="Y94" s="57"/>
      <c r="Z94" s="57"/>
      <c r="AA94" s="57"/>
      <c r="AB94" s="57">
        <v>2248</v>
      </c>
      <c r="AC94" s="57">
        <v>2473</v>
      </c>
      <c r="AD94" s="105">
        <v>2489</v>
      </c>
      <c r="AE94" s="104">
        <v>2487</v>
      </c>
      <c r="AF94" s="104">
        <v>2482</v>
      </c>
      <c r="AG94" s="104">
        <v>2486</v>
      </c>
      <c r="AH94" s="88">
        <v>2478</v>
      </c>
      <c r="AI94" s="179">
        <f>(Tableau913[[#This Row],[mars-20]]-Tableau913[[#This Row],[dec-19]])/Tableau913[[#This Row],[dec-19]]</f>
        <v>-3.2180209171359612E-3</v>
      </c>
      <c r="AJ94" s="263">
        <f>Tableau913[[#This Row],[mars-20]]-Tableau913[[#This Row],[dec-19]]</f>
        <v>-8</v>
      </c>
      <c r="AK94" s="2">
        <v>2537</v>
      </c>
      <c r="AL94" s="2">
        <v>2551</v>
      </c>
      <c r="AM94" s="2">
        <v>2600</v>
      </c>
      <c r="AN94" s="2">
        <v>10374</v>
      </c>
      <c r="AO94" s="2">
        <v>10372</v>
      </c>
      <c r="AP94" s="2">
        <v>10412</v>
      </c>
      <c r="AQ94" s="2">
        <v>10384</v>
      </c>
      <c r="AR94" s="2">
        <v>10399</v>
      </c>
      <c r="AS94" s="2">
        <v>10000</v>
      </c>
      <c r="AT94" s="2">
        <v>10000</v>
      </c>
      <c r="AU94" s="2"/>
      <c r="AV94" s="554">
        <f>(Tableau913[[#This Row],[juin-24]]-Tableau913[[#This Row],[avr-24]])/Tableau913[[#This Row],[avr-24]]</f>
        <v>0</v>
      </c>
      <c r="AW94" s="548">
        <f>Tableau913[[#This Row],[juin-24]]-Tableau913[[#This Row],[avr-24]]</f>
        <v>0</v>
      </c>
      <c r="AX94" s="252" t="s">
        <v>349</v>
      </c>
    </row>
    <row r="95" spans="1:50" x14ac:dyDescent="0.3">
      <c r="A95" s="164"/>
      <c r="B95" s="164" t="s">
        <v>230</v>
      </c>
      <c r="C95" s="104"/>
      <c r="D95" s="104"/>
      <c r="E95" s="255"/>
      <c r="F95" s="255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118"/>
      <c r="V95" s="118"/>
      <c r="W95" s="118"/>
      <c r="X95" s="118"/>
      <c r="Y95" s="57"/>
      <c r="Z95" s="57"/>
      <c r="AA95" s="57"/>
      <c r="AB95" s="57"/>
      <c r="AC95" s="57"/>
      <c r="AD95" s="57"/>
      <c r="AE95" s="57"/>
      <c r="AF95" s="88"/>
      <c r="AG95" s="88"/>
      <c r="AH95" s="54"/>
      <c r="AI95" s="179"/>
      <c r="AJ95" s="268">
        <f>Tableau913[[#This Row],[mars-20]]-Tableau913[[#This Row],[dec-19]]</f>
        <v>0</v>
      </c>
      <c r="AM95" s="392">
        <v>53000</v>
      </c>
      <c r="AN95" s="392">
        <v>56134</v>
      </c>
      <c r="AO95" s="392">
        <v>56258</v>
      </c>
      <c r="AP95" s="2">
        <v>58109</v>
      </c>
      <c r="AQ95" s="2">
        <v>59009</v>
      </c>
      <c r="AR95" s="2">
        <v>61000</v>
      </c>
      <c r="AS95" s="2">
        <v>62000</v>
      </c>
      <c r="AT95" s="2">
        <v>62000</v>
      </c>
      <c r="AU95" s="2"/>
      <c r="AV95" s="554">
        <f>(Tableau913[[#This Row],[juin-24]]-Tableau913[[#This Row],[avr-24]])/Tableau913[[#This Row],[avr-24]]</f>
        <v>0</v>
      </c>
      <c r="AW95" s="548">
        <f>Tableau913[[#This Row],[juin-24]]-Tableau913[[#This Row],[avr-24]]</f>
        <v>0</v>
      </c>
      <c r="AX95" s="252" t="s">
        <v>350</v>
      </c>
    </row>
    <row r="96" spans="1:50" x14ac:dyDescent="0.3">
      <c r="A96" s="164"/>
      <c r="B96" s="99" t="s">
        <v>256</v>
      </c>
      <c r="C96" s="104"/>
      <c r="D96" s="104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118"/>
      <c r="V96" s="118"/>
      <c r="W96" s="118"/>
      <c r="X96" s="118"/>
      <c r="Y96" s="57"/>
      <c r="Z96" s="57"/>
      <c r="AA96" s="57"/>
      <c r="AB96" s="57"/>
      <c r="AC96" s="57"/>
      <c r="AD96" s="57"/>
      <c r="AE96" s="104"/>
      <c r="AF96" s="104"/>
      <c r="AG96" s="104"/>
      <c r="AH96" s="54"/>
      <c r="AI96" s="179"/>
      <c r="AJ96" s="263"/>
      <c r="AM96" s="1"/>
      <c r="AN96" s="2">
        <v>4500</v>
      </c>
      <c r="AO96" s="2">
        <v>4500</v>
      </c>
      <c r="AP96" s="2">
        <v>0</v>
      </c>
      <c r="AQ96" s="2">
        <v>4400</v>
      </c>
      <c r="AR96" s="2">
        <v>4500</v>
      </c>
      <c r="AS96" s="2">
        <v>4400</v>
      </c>
      <c r="AT96" s="2">
        <v>4400</v>
      </c>
      <c r="AU96" s="2"/>
      <c r="AV96" s="554">
        <f>(Tableau913[[#This Row],[juin-24]]-Tableau913[[#This Row],[avr-24]])/Tableau913[[#This Row],[avr-24]]</f>
        <v>0</v>
      </c>
      <c r="AW96" s="548">
        <f>Tableau913[[#This Row],[juin-24]]-Tableau913[[#This Row],[avr-24]]</f>
        <v>0</v>
      </c>
      <c r="AX96" s="252" t="s">
        <v>351</v>
      </c>
    </row>
    <row r="97" spans="1:50" x14ac:dyDescent="0.3">
      <c r="A97" s="164"/>
      <c r="B97" s="164" t="s">
        <v>196</v>
      </c>
      <c r="C97" s="104"/>
      <c r="D97" s="104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118"/>
      <c r="V97" s="118"/>
      <c r="W97" s="118"/>
      <c r="X97" s="118"/>
      <c r="Y97" s="57"/>
      <c r="Z97" s="57"/>
      <c r="AA97" s="57"/>
      <c r="AB97" s="57">
        <v>20549</v>
      </c>
      <c r="AC97" s="57">
        <v>23797</v>
      </c>
      <c r="AD97" s="105">
        <v>25113</v>
      </c>
      <c r="AE97" s="104">
        <v>25642</v>
      </c>
      <c r="AF97" s="104">
        <v>25861</v>
      </c>
      <c r="AG97" s="104">
        <v>26460</v>
      </c>
      <c r="AH97" s="88">
        <v>26502</v>
      </c>
      <c r="AI97" s="179">
        <f>(Tableau913[[#This Row],[mars-20]]-Tableau913[[#This Row],[dec-19]])/Tableau913[[#This Row],[dec-19]]</f>
        <v>1.5873015873015873E-3</v>
      </c>
      <c r="AJ97" s="263">
        <f>Tableau913[[#This Row],[mars-20]]-Tableau913[[#This Row],[dec-19]]</f>
        <v>42</v>
      </c>
      <c r="AK97" s="2">
        <v>27003</v>
      </c>
      <c r="AL97" s="2">
        <v>27645</v>
      </c>
      <c r="AM97" s="2">
        <v>28000</v>
      </c>
      <c r="AN97" s="2">
        <v>28000</v>
      </c>
      <c r="AO97" s="2">
        <v>29000</v>
      </c>
      <c r="AP97" s="2">
        <v>35307</v>
      </c>
      <c r="AQ97" s="2">
        <v>36110</v>
      </c>
      <c r="AR97" s="2">
        <v>45000</v>
      </c>
      <c r="AS97" s="2">
        <v>49000</v>
      </c>
      <c r="AT97" s="2">
        <v>50000</v>
      </c>
      <c r="AU97" s="2"/>
      <c r="AV97" s="554">
        <f>(Tableau913[[#This Row],[juin-24]]-Tableau913[[#This Row],[avr-24]])/Tableau913[[#This Row],[avr-24]]</f>
        <v>2.0408163265306121E-2</v>
      </c>
      <c r="AW97" s="548">
        <f>Tableau913[[#This Row],[juin-24]]-Tableau913[[#This Row],[avr-24]]</f>
        <v>1000</v>
      </c>
      <c r="AX97" s="252" t="s">
        <v>352</v>
      </c>
    </row>
    <row r="98" spans="1:50" x14ac:dyDescent="0.3">
      <c r="A98" s="164">
        <v>21</v>
      </c>
      <c r="B98" s="163" t="s">
        <v>95</v>
      </c>
      <c r="C98" s="105">
        <v>84446</v>
      </c>
      <c r="D98" s="105">
        <v>86625</v>
      </c>
      <c r="E98" s="105">
        <v>87850</v>
      </c>
      <c r="F98" s="105">
        <v>88937</v>
      </c>
      <c r="G98" s="105">
        <v>92355</v>
      </c>
      <c r="H98" s="105">
        <v>92428</v>
      </c>
      <c r="I98" s="105">
        <v>92492</v>
      </c>
      <c r="J98" s="105">
        <v>92905</v>
      </c>
      <c r="K98" s="105">
        <v>92899</v>
      </c>
      <c r="L98" s="105">
        <v>93136</v>
      </c>
      <c r="M98" s="105">
        <v>93068</v>
      </c>
      <c r="N98" s="105">
        <v>92297</v>
      </c>
      <c r="O98" s="105">
        <v>93789</v>
      </c>
      <c r="P98" s="105">
        <v>93716</v>
      </c>
      <c r="Q98" s="105">
        <v>96263</v>
      </c>
      <c r="R98" s="105">
        <v>96443</v>
      </c>
      <c r="S98" s="105">
        <v>96573</v>
      </c>
      <c r="T98" s="105">
        <v>96614</v>
      </c>
      <c r="U98" s="105">
        <v>96535</v>
      </c>
      <c r="V98" s="105">
        <v>96568</v>
      </c>
      <c r="W98" s="105">
        <v>96347</v>
      </c>
      <c r="X98" s="105">
        <v>96255</v>
      </c>
      <c r="Y98" s="105">
        <v>96280</v>
      </c>
      <c r="Z98" s="105">
        <v>96318</v>
      </c>
      <c r="AA98" s="57">
        <v>97766</v>
      </c>
      <c r="AB98" s="57">
        <v>97852</v>
      </c>
      <c r="AC98" s="57">
        <v>97962</v>
      </c>
      <c r="AD98" s="105">
        <v>97906</v>
      </c>
      <c r="AE98" s="105">
        <v>97809</v>
      </c>
      <c r="AF98" s="105">
        <v>97711</v>
      </c>
      <c r="AG98" s="105">
        <v>97759</v>
      </c>
      <c r="AH98" s="88">
        <v>98155</v>
      </c>
      <c r="AI98" s="179">
        <f>(Tableau913[[#This Row],[mars-20]]-Tableau913[[#This Row],[dec-19]])/Tableau913[[#This Row],[dec-19]]</f>
        <v>4.0507779334894994E-3</v>
      </c>
      <c r="AJ98" s="268">
        <f>Tableau913[[#This Row],[mars-20]]-Tableau913[[#This Row],[dec-19]]</f>
        <v>396</v>
      </c>
      <c r="AK98" s="2">
        <v>101439</v>
      </c>
      <c r="AL98" s="2">
        <v>102515</v>
      </c>
      <c r="AM98" s="2">
        <v>231000</v>
      </c>
      <c r="AN98" s="2">
        <v>230614</v>
      </c>
      <c r="AO98" s="2">
        <v>230373</v>
      </c>
      <c r="AP98" s="2">
        <v>233136</v>
      </c>
      <c r="AQ98" s="2">
        <v>232238</v>
      </c>
      <c r="AR98" s="2">
        <v>230000</v>
      </c>
      <c r="AS98" s="2">
        <v>228000</v>
      </c>
      <c r="AT98" s="2">
        <v>228000</v>
      </c>
      <c r="AU98" s="2"/>
      <c r="AV98" s="554">
        <f>(Tableau913[[#This Row],[juin-24]]-Tableau913[[#This Row],[avr-24]])/Tableau913[[#This Row],[avr-24]]</f>
        <v>0</v>
      </c>
      <c r="AW98" s="548">
        <f>Tableau913[[#This Row],[juin-24]]-Tableau913[[#This Row],[avr-24]]</f>
        <v>0</v>
      </c>
    </row>
    <row r="99" spans="1:50" x14ac:dyDescent="0.3">
      <c r="A99" s="174"/>
      <c r="B99" s="174" t="s">
        <v>192</v>
      </c>
      <c r="C99" s="284"/>
      <c r="D99" s="284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285"/>
      <c r="V99" s="285"/>
      <c r="W99" s="285"/>
      <c r="X99" s="285"/>
      <c r="Y99" s="151"/>
      <c r="Z99" s="151"/>
      <c r="AA99" s="151"/>
      <c r="AB99" s="151"/>
      <c r="AC99" s="151"/>
      <c r="AD99" s="151"/>
      <c r="AE99" s="284"/>
      <c r="AF99" s="284"/>
      <c r="AG99" s="284"/>
      <c r="AH99" s="175"/>
      <c r="AI99" s="209"/>
      <c r="AJ99" s="263"/>
      <c r="AM99" s="1"/>
      <c r="AN99" s="2">
        <v>9900</v>
      </c>
      <c r="AO99" s="2">
        <v>9900</v>
      </c>
      <c r="AP99" s="2">
        <v>9800</v>
      </c>
      <c r="AQ99" s="2">
        <v>9800</v>
      </c>
      <c r="AR99" s="2">
        <v>9800</v>
      </c>
      <c r="AS99" s="2">
        <v>9800</v>
      </c>
      <c r="AT99" s="2">
        <v>9800</v>
      </c>
      <c r="AU99" s="2"/>
      <c r="AV99" s="554">
        <f>(Tableau913[[#This Row],[juin-24]]-Tableau913[[#This Row],[avr-24]])/Tableau913[[#This Row],[avr-24]]</f>
        <v>0</v>
      </c>
      <c r="AW99" s="548">
        <f>Tableau913[[#This Row],[juin-24]]-Tableau913[[#This Row],[avr-24]]</f>
        <v>0</v>
      </c>
    </row>
    <row r="100" spans="1:50" x14ac:dyDescent="0.3">
      <c r="A100" s="174"/>
      <c r="B100" s="174" t="s">
        <v>306</v>
      </c>
      <c r="C100" s="284"/>
      <c r="D100" s="284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285"/>
      <c r="V100" s="285"/>
      <c r="W100" s="285"/>
      <c r="X100" s="285"/>
      <c r="Y100" s="151"/>
      <c r="Z100" s="151"/>
      <c r="AA100" s="151"/>
      <c r="AB100" s="151"/>
      <c r="AC100" s="151"/>
      <c r="AD100" s="151"/>
      <c r="AE100" s="151"/>
      <c r="AF100" s="149"/>
      <c r="AG100" s="149"/>
      <c r="AH100" s="175"/>
      <c r="AI100" s="209"/>
      <c r="AJ100" s="268"/>
      <c r="AK100" s="2"/>
      <c r="AL100" s="2"/>
      <c r="AM100" s="2"/>
      <c r="AN100" s="2"/>
      <c r="AO100" s="2">
        <v>0</v>
      </c>
      <c r="AP100" s="2">
        <v>8200</v>
      </c>
      <c r="AQ100" s="2">
        <v>8276</v>
      </c>
      <c r="AR100" s="2">
        <v>9200</v>
      </c>
      <c r="AS100" s="2">
        <v>9700</v>
      </c>
      <c r="AT100" s="2">
        <v>9800</v>
      </c>
      <c r="AU100" s="2"/>
      <c r="AV100" s="554">
        <f>(Tableau913[[#This Row],[juin-24]]-Tableau913[[#This Row],[avr-24]])/Tableau913[[#This Row],[avr-24]]</f>
        <v>1.0309278350515464E-2</v>
      </c>
      <c r="AW100" s="548">
        <f>Tableau913[[#This Row],[juin-24]]-Tableau913[[#This Row],[avr-24]]</f>
        <v>100</v>
      </c>
    </row>
    <row r="101" spans="1:50" x14ac:dyDescent="0.3">
      <c r="A101" s="174">
        <v>7</v>
      </c>
      <c r="B101" s="171" t="s">
        <v>96</v>
      </c>
      <c r="C101" s="284">
        <v>417696</v>
      </c>
      <c r="D101" s="284">
        <v>417837</v>
      </c>
      <c r="E101" s="284">
        <v>417963</v>
      </c>
      <c r="F101" s="284">
        <v>418116</v>
      </c>
      <c r="G101" s="284">
        <v>418189</v>
      </c>
      <c r="H101" s="284">
        <v>418700</v>
      </c>
      <c r="I101" s="284">
        <v>418505</v>
      </c>
      <c r="J101" s="284">
        <v>418183</v>
      </c>
      <c r="K101" s="284">
        <v>417841</v>
      </c>
      <c r="L101" s="284">
        <v>417494</v>
      </c>
      <c r="M101" s="284">
        <v>419764</v>
      </c>
      <c r="N101" s="284">
        <v>419374</v>
      </c>
      <c r="O101" s="284">
        <v>418859</v>
      </c>
      <c r="P101" s="284">
        <v>418245</v>
      </c>
      <c r="Q101" s="284">
        <v>423812</v>
      </c>
      <c r="R101" s="284">
        <v>425800</v>
      </c>
      <c r="S101" s="284">
        <v>425706</v>
      </c>
      <c r="T101" s="284">
        <v>425670</v>
      </c>
      <c r="U101" s="284">
        <v>426361</v>
      </c>
      <c r="V101" s="284">
        <v>425880</v>
      </c>
      <c r="W101" s="284">
        <v>425510</v>
      </c>
      <c r="X101" s="284">
        <v>425180</v>
      </c>
      <c r="Y101" s="284">
        <v>424890</v>
      </c>
      <c r="Z101" s="284">
        <v>425326</v>
      </c>
      <c r="AA101" s="284">
        <v>427723</v>
      </c>
      <c r="AB101" s="284">
        <v>427780</v>
      </c>
      <c r="AC101" s="284">
        <v>428781</v>
      </c>
      <c r="AD101" s="284">
        <v>430192</v>
      </c>
      <c r="AE101" s="284">
        <v>429678</v>
      </c>
      <c r="AF101" s="284">
        <v>429198</v>
      </c>
      <c r="AG101" s="284">
        <v>428599</v>
      </c>
      <c r="AH101" s="149">
        <v>428015</v>
      </c>
      <c r="AI101" s="209">
        <f>(Tableau913[[#This Row],[mars-20]]-Tableau913[[#This Row],[dec-19]])/Tableau913[[#This Row],[dec-19]]</f>
        <v>-1.3625790074171895E-3</v>
      </c>
      <c r="AJ101" s="268">
        <f>Tableau913[[#This Row],[mars-20]]-Tableau913[[#This Row],[dec-19]]</f>
        <v>-584</v>
      </c>
      <c r="AK101" s="2">
        <v>428999</v>
      </c>
      <c r="AL101" s="2">
        <v>433700</v>
      </c>
      <c r="AM101" s="2">
        <v>463000</v>
      </c>
      <c r="AN101" s="2">
        <v>464868</v>
      </c>
      <c r="AO101" s="2">
        <v>464380</v>
      </c>
      <c r="AP101" s="2">
        <v>465252</v>
      </c>
      <c r="AQ101" s="2">
        <v>463785</v>
      </c>
      <c r="AR101" s="2">
        <v>463000</v>
      </c>
      <c r="AS101" s="2">
        <v>460000</v>
      </c>
      <c r="AT101" s="2">
        <v>460000</v>
      </c>
      <c r="AU101" s="2"/>
      <c r="AV101" s="554">
        <f>(Tableau913[[#This Row],[juin-24]]-Tableau913[[#This Row],[avr-24]])/Tableau913[[#This Row],[avr-24]]</f>
        <v>0</v>
      </c>
      <c r="AW101" s="548">
        <f>Tableau913[[#This Row],[juin-24]]-Tableau913[[#This Row],[avr-24]]</f>
        <v>0</v>
      </c>
    </row>
    <row r="102" spans="1:50" x14ac:dyDescent="0.3">
      <c r="A102" s="174">
        <v>30</v>
      </c>
      <c r="B102" s="171" t="s">
        <v>124</v>
      </c>
      <c r="C102" s="284"/>
      <c r="D102" s="284"/>
      <c r="E102" s="149"/>
      <c r="F102" s="149"/>
      <c r="G102" s="149"/>
      <c r="H102" s="149"/>
      <c r="I102" s="149"/>
      <c r="J102" s="149"/>
      <c r="K102" s="149"/>
      <c r="L102" s="149">
        <v>64852</v>
      </c>
      <c r="M102" s="149">
        <v>64984</v>
      </c>
      <c r="N102" s="149">
        <v>64942</v>
      </c>
      <c r="O102" s="149">
        <v>64881</v>
      </c>
      <c r="P102" s="149">
        <v>64942</v>
      </c>
      <c r="Q102" s="149">
        <v>65490</v>
      </c>
      <c r="R102" s="149">
        <v>65460</v>
      </c>
      <c r="S102" s="149">
        <v>65402</v>
      </c>
      <c r="T102" s="149">
        <v>65400</v>
      </c>
      <c r="U102" s="149">
        <v>65251</v>
      </c>
      <c r="V102" s="149">
        <v>65129</v>
      </c>
      <c r="W102" s="149">
        <v>65037</v>
      </c>
      <c r="X102" s="149">
        <v>64940</v>
      </c>
      <c r="Y102" s="149">
        <v>65150</v>
      </c>
      <c r="Z102" s="149">
        <v>65235</v>
      </c>
      <c r="AA102" s="284">
        <v>65272</v>
      </c>
      <c r="AB102" s="284">
        <v>65831</v>
      </c>
      <c r="AC102" s="284">
        <v>68358</v>
      </c>
      <c r="AD102" s="284">
        <v>69195</v>
      </c>
      <c r="AE102" s="284">
        <v>69363</v>
      </c>
      <c r="AF102" s="284">
        <v>69430</v>
      </c>
      <c r="AG102" s="284">
        <v>69530</v>
      </c>
      <c r="AH102" s="149">
        <v>69619</v>
      </c>
      <c r="AI102" s="209">
        <f>(Tableau913[[#This Row],[mars-20]]-Tableau913[[#This Row],[dec-19]])/Tableau913[[#This Row],[dec-19]]</f>
        <v>1.2800230116496475E-3</v>
      </c>
      <c r="AJ102" s="268">
        <f>Tableau913[[#This Row],[mars-20]]-Tableau913[[#This Row],[dec-19]]</f>
        <v>89</v>
      </c>
      <c r="AK102" s="2">
        <v>72225</v>
      </c>
      <c r="AL102" s="2">
        <v>72555</v>
      </c>
      <c r="AM102" s="2">
        <v>108000</v>
      </c>
      <c r="AN102" s="2">
        <v>107769</v>
      </c>
      <c r="AO102" s="2">
        <v>107879</v>
      </c>
      <c r="AP102" s="2">
        <v>110163</v>
      </c>
      <c r="AQ102" s="2">
        <v>110600</v>
      </c>
      <c r="AR102" s="2">
        <v>110006</v>
      </c>
      <c r="AS102" s="2">
        <v>109000</v>
      </c>
      <c r="AT102" s="2">
        <v>109000</v>
      </c>
      <c r="AU102" s="2"/>
      <c r="AV102" s="554">
        <f>(Tableau913[[#This Row],[juin-24]]-Tableau913[[#This Row],[avr-24]])/Tableau913[[#This Row],[avr-24]]</f>
        <v>0</v>
      </c>
      <c r="AW102" s="548">
        <f>Tableau913[[#This Row],[juin-24]]-Tableau913[[#This Row],[avr-24]]</f>
        <v>0</v>
      </c>
    </row>
    <row r="103" spans="1:50" x14ac:dyDescent="0.3">
      <c r="A103" s="362"/>
      <c r="B103" s="171" t="s">
        <v>178</v>
      </c>
      <c r="C103" s="151"/>
      <c r="D103" s="151"/>
      <c r="E103" s="580"/>
      <c r="F103" s="580"/>
      <c r="G103" s="580"/>
      <c r="H103" s="580"/>
      <c r="I103" s="580"/>
      <c r="J103" s="580"/>
      <c r="K103" s="580"/>
      <c r="L103" s="580"/>
      <c r="M103" s="580"/>
      <c r="N103" s="580"/>
      <c r="O103" s="580"/>
      <c r="P103" s="580"/>
      <c r="Q103" s="580"/>
      <c r="R103" s="580"/>
      <c r="S103" s="580"/>
      <c r="T103" s="580"/>
      <c r="U103" s="151"/>
      <c r="V103" s="151"/>
      <c r="W103" s="151">
        <v>0</v>
      </c>
      <c r="X103" s="151">
        <v>0</v>
      </c>
      <c r="Y103" s="151"/>
      <c r="Z103" s="151"/>
      <c r="AA103" s="151"/>
      <c r="AB103" s="151"/>
      <c r="AC103" s="151"/>
      <c r="AD103" s="151"/>
      <c r="AE103" s="582"/>
      <c r="AF103" s="582"/>
      <c r="AG103" s="582"/>
      <c r="AH103" s="175"/>
      <c r="AI103" s="209"/>
      <c r="AJ103" s="268"/>
      <c r="AM103" s="1"/>
      <c r="AN103" s="2">
        <v>26373</v>
      </c>
      <c r="AO103" s="2">
        <v>0</v>
      </c>
      <c r="AP103" s="2">
        <v>26281</v>
      </c>
      <c r="AQ103" s="2">
        <v>26150</v>
      </c>
      <c r="AR103" s="2">
        <v>27000</v>
      </c>
      <c r="AS103" s="2">
        <v>25855</v>
      </c>
      <c r="AT103" s="2">
        <v>25855</v>
      </c>
      <c r="AU103" s="2"/>
      <c r="AV103" s="554">
        <f>(Tableau913[[#This Row],[juin-24]]-Tableau913[[#This Row],[avr-24]])/Tableau913[[#This Row],[avr-24]]</f>
        <v>0</v>
      </c>
      <c r="AW103" s="548">
        <f>Tableau913[[#This Row],[juin-24]]-Tableau913[[#This Row],[avr-24]]</f>
        <v>0</v>
      </c>
    </row>
    <row r="104" spans="1:50" x14ac:dyDescent="0.3">
      <c r="A104" s="174">
        <v>24</v>
      </c>
      <c r="B104" s="171" t="s">
        <v>146</v>
      </c>
      <c r="C104" s="284"/>
      <c r="D104" s="284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>
        <v>49036</v>
      </c>
      <c r="R104" s="149">
        <v>49274</v>
      </c>
      <c r="S104" s="149">
        <v>49637</v>
      </c>
      <c r="T104" s="149">
        <v>49950</v>
      </c>
      <c r="U104" s="149">
        <v>50271</v>
      </c>
      <c r="V104" s="149">
        <v>50784</v>
      </c>
      <c r="W104" s="149">
        <v>51248</v>
      </c>
      <c r="X104" s="149">
        <v>51430</v>
      </c>
      <c r="Y104" s="149">
        <v>52550</v>
      </c>
      <c r="Z104" s="149">
        <v>54170</v>
      </c>
      <c r="AA104" s="151">
        <v>54361</v>
      </c>
      <c r="AB104" s="151">
        <v>55594</v>
      </c>
      <c r="AC104" s="151">
        <v>60470</v>
      </c>
      <c r="AD104" s="284">
        <v>61581</v>
      </c>
      <c r="AE104" s="284">
        <v>62013</v>
      </c>
      <c r="AF104" s="284">
        <v>62139</v>
      </c>
      <c r="AG104" s="284">
        <v>62450</v>
      </c>
      <c r="AH104" s="149">
        <v>64483</v>
      </c>
      <c r="AI104" s="209">
        <f>(Tableau913[[#This Row],[mars-20]]-Tableau913[[#This Row],[dec-19]])/Tableau913[[#This Row],[dec-19]]</f>
        <v>3.2554043234587673E-2</v>
      </c>
      <c r="AJ104" s="268">
        <f>Tableau913[[#This Row],[mars-20]]-Tableau913[[#This Row],[dec-19]]</f>
        <v>2033</v>
      </c>
      <c r="AK104" s="2">
        <v>71971</v>
      </c>
      <c r="AL104" s="2">
        <v>73505</v>
      </c>
      <c r="AM104" s="2">
        <v>141000</v>
      </c>
      <c r="AN104" s="2">
        <v>143217</v>
      </c>
      <c r="AO104" s="2">
        <v>143491</v>
      </c>
      <c r="AP104" s="2">
        <v>156277</v>
      </c>
      <c r="AQ104" s="2">
        <v>156469</v>
      </c>
      <c r="AR104" s="2">
        <v>165000</v>
      </c>
      <c r="AS104" s="2">
        <v>167000</v>
      </c>
      <c r="AT104" s="2">
        <v>167000</v>
      </c>
      <c r="AU104" s="2"/>
      <c r="AV104" s="554">
        <f>(Tableau913[[#This Row],[juin-24]]-Tableau913[[#This Row],[avr-24]])/Tableau913[[#This Row],[avr-24]]</f>
        <v>0</v>
      </c>
      <c r="AW104" s="548">
        <f>Tableau913[[#This Row],[juin-24]]-Tableau913[[#This Row],[avr-24]]</f>
        <v>0</v>
      </c>
    </row>
    <row r="105" spans="1:50" x14ac:dyDescent="0.3">
      <c r="A105" s="174"/>
      <c r="B105" s="296" t="s">
        <v>305</v>
      </c>
      <c r="C105" s="284"/>
      <c r="D105" s="284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285"/>
      <c r="V105" s="285"/>
      <c r="W105" s="285"/>
      <c r="X105" s="285"/>
      <c r="Y105" s="151"/>
      <c r="Z105" s="151"/>
      <c r="AA105" s="151"/>
      <c r="AB105" s="151"/>
      <c r="AC105" s="151"/>
      <c r="AD105" s="151"/>
      <c r="AE105" s="151"/>
      <c r="AF105" s="149"/>
      <c r="AG105" s="149"/>
      <c r="AH105" s="175"/>
      <c r="AI105" s="209"/>
      <c r="AJ105" s="268"/>
      <c r="AK105" s="2"/>
      <c r="AL105" s="2"/>
      <c r="AM105" s="2"/>
      <c r="AN105" s="2"/>
      <c r="AO105" s="2">
        <v>0</v>
      </c>
      <c r="AP105" s="2">
        <v>0</v>
      </c>
      <c r="AQ105" s="2">
        <v>0</v>
      </c>
      <c r="AR105" s="2">
        <v>1000</v>
      </c>
      <c r="AS105" s="2">
        <v>1100</v>
      </c>
      <c r="AT105" s="2">
        <v>1200</v>
      </c>
      <c r="AU105" s="2"/>
      <c r="AV105" s="554">
        <f>(Tableau913[[#This Row],[juin-24]]-Tableau913[[#This Row],[avr-24]])/Tableau913[[#This Row],[avr-24]]</f>
        <v>9.0909090909090912E-2</v>
      </c>
      <c r="AW105" s="548">
        <f>Tableau913[[#This Row],[juin-24]]-Tableau913[[#This Row],[avr-24]]</f>
        <v>100</v>
      </c>
    </row>
    <row r="106" spans="1:50" x14ac:dyDescent="0.3">
      <c r="A106" s="174">
        <v>41</v>
      </c>
      <c r="B106" s="171" t="s">
        <v>182</v>
      </c>
      <c r="C106" s="284"/>
      <c r="D106" s="284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51"/>
      <c r="V106" s="151"/>
      <c r="W106" s="151"/>
      <c r="X106" s="149">
        <v>85635</v>
      </c>
      <c r="Y106" s="149">
        <v>86320</v>
      </c>
      <c r="Z106" s="149">
        <v>86788</v>
      </c>
      <c r="AA106" s="149">
        <v>86793</v>
      </c>
      <c r="AB106" s="149">
        <v>86825</v>
      </c>
      <c r="AC106" s="149">
        <v>86858</v>
      </c>
      <c r="AD106" s="284">
        <v>86870</v>
      </c>
      <c r="AE106" s="284">
        <v>86799</v>
      </c>
      <c r="AF106" s="284">
        <v>86701</v>
      </c>
      <c r="AG106" s="284">
        <v>86634</v>
      </c>
      <c r="AH106" s="149">
        <v>86827</v>
      </c>
      <c r="AI106" s="209">
        <f>(Tableau913[[#This Row],[mars-20]]-Tableau913[[#This Row],[dec-19]])/Tableau913[[#This Row],[dec-19]]</f>
        <v>2.2277627721217995E-3</v>
      </c>
      <c r="AJ106" s="268">
        <f>Tableau913[[#This Row],[mars-20]]-Tableau913[[#This Row],[dec-19]]</f>
        <v>193</v>
      </c>
      <c r="AK106" s="2">
        <v>86869</v>
      </c>
      <c r="AL106" s="2">
        <v>86775</v>
      </c>
      <c r="AM106" s="2">
        <v>110000</v>
      </c>
      <c r="AN106" s="2">
        <v>113495</v>
      </c>
      <c r="AO106" s="2">
        <v>113921</v>
      </c>
      <c r="AP106" s="2">
        <v>117577</v>
      </c>
      <c r="AQ106" s="2">
        <v>117456</v>
      </c>
      <c r="AR106" s="2">
        <v>117000</v>
      </c>
      <c r="AS106" s="2">
        <v>117000</v>
      </c>
      <c r="AT106" s="2">
        <v>117000</v>
      </c>
      <c r="AU106" s="2"/>
      <c r="AV106" s="554">
        <f>(Tableau913[[#This Row],[juin-24]]-Tableau913[[#This Row],[avr-24]])/Tableau913[[#This Row],[avr-24]]</f>
        <v>0</v>
      </c>
      <c r="AW106" s="548">
        <f>Tableau913[[#This Row],[juin-24]]-Tableau913[[#This Row],[avr-24]]</f>
        <v>0</v>
      </c>
    </row>
    <row r="107" spans="1:50" x14ac:dyDescent="0.3">
      <c r="A107" s="174"/>
      <c r="B107" s="174"/>
      <c r="C107" s="284"/>
      <c r="D107" s="284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285"/>
      <c r="V107" s="260"/>
      <c r="W107" s="260"/>
      <c r="X107" s="260"/>
      <c r="Y107" s="262"/>
      <c r="Z107" s="262"/>
      <c r="AA107" s="262"/>
      <c r="AB107" s="262"/>
      <c r="AC107" s="262"/>
      <c r="AD107" s="262"/>
      <c r="AE107" s="262"/>
      <c r="AF107" s="2"/>
      <c r="AG107" s="2"/>
      <c r="AH107" s="1"/>
      <c r="AI107" s="264"/>
      <c r="AJ107" s="268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08"/>
      <c r="AW107" s="268"/>
    </row>
    <row r="108" spans="1:50" x14ac:dyDescent="0.3">
      <c r="A108" s="164"/>
      <c r="B108" s="164"/>
      <c r="C108" s="104"/>
      <c r="D108" s="104"/>
      <c r="E108" s="255"/>
      <c r="F108" s="255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118"/>
      <c r="V108" s="260"/>
      <c r="W108" s="260"/>
      <c r="X108" s="260"/>
      <c r="Y108" s="262"/>
      <c r="Z108" s="262"/>
      <c r="AA108" s="262"/>
      <c r="AB108" s="262"/>
      <c r="AC108" s="262"/>
      <c r="AD108" s="262"/>
      <c r="AE108" s="262"/>
      <c r="AF108" s="2"/>
      <c r="AG108" s="2"/>
      <c r="AH108" s="1"/>
      <c r="AI108" s="264"/>
      <c r="AJ108" s="268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19"/>
    </row>
    <row r="109" spans="1:50" x14ac:dyDescent="0.3">
      <c r="A109" s="164"/>
      <c r="B109" s="164"/>
      <c r="C109" s="104"/>
      <c r="D109" s="104"/>
      <c r="E109" s="255"/>
      <c r="F109" s="255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118"/>
      <c r="V109" s="260"/>
      <c r="W109" s="260"/>
      <c r="X109" s="260"/>
      <c r="Y109" s="262"/>
      <c r="Z109" s="262"/>
      <c r="AA109" s="262"/>
      <c r="AB109" s="262"/>
      <c r="AC109" s="262"/>
      <c r="AD109" s="262"/>
      <c r="AE109" s="262"/>
      <c r="AF109" s="2"/>
      <c r="AG109" s="2"/>
      <c r="AH109" s="1"/>
      <c r="AI109" s="264"/>
      <c r="AJ109" s="268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08"/>
      <c r="AW109" s="219"/>
    </row>
    <row r="110" spans="1:50" x14ac:dyDescent="0.3">
      <c r="A110" s="167" t="s">
        <v>185</v>
      </c>
      <c r="B110" s="168" t="s">
        <v>15</v>
      </c>
      <c r="C110" s="107" t="s">
        <v>86</v>
      </c>
      <c r="D110" s="19" t="s">
        <v>99</v>
      </c>
      <c r="E110" s="19" t="s">
        <v>101</v>
      </c>
      <c r="F110" s="19" t="s">
        <v>102</v>
      </c>
      <c r="G110" s="19" t="s">
        <v>105</v>
      </c>
      <c r="H110" s="19" t="s">
        <v>106</v>
      </c>
      <c r="I110" s="19" t="s">
        <v>108</v>
      </c>
      <c r="J110" s="19" t="s">
        <v>109</v>
      </c>
      <c r="K110" s="19" t="s">
        <v>110</v>
      </c>
      <c r="L110" s="19" t="s">
        <v>117</v>
      </c>
      <c r="M110" s="19" t="s">
        <v>127</v>
      </c>
      <c r="N110" s="19" t="s">
        <v>129</v>
      </c>
      <c r="O110" s="19" t="s">
        <v>131</v>
      </c>
      <c r="P110" s="19" t="s">
        <v>142</v>
      </c>
      <c r="Q110" s="19" t="s">
        <v>143</v>
      </c>
      <c r="R110" s="19" t="s">
        <v>151</v>
      </c>
      <c r="S110" s="19" t="s">
        <v>156</v>
      </c>
      <c r="T110" s="19" t="s">
        <v>157</v>
      </c>
      <c r="U110" s="19" t="s">
        <v>163</v>
      </c>
      <c r="V110" s="19" t="s">
        <v>164</v>
      </c>
      <c r="W110" s="19" t="s">
        <v>177</v>
      </c>
      <c r="X110" s="19" t="s">
        <v>179</v>
      </c>
      <c r="Y110" s="19" t="s">
        <v>183</v>
      </c>
      <c r="Z110" s="19" t="s">
        <v>184</v>
      </c>
      <c r="AA110" s="19" t="s">
        <v>186</v>
      </c>
      <c r="AB110" s="19" t="s">
        <v>188</v>
      </c>
      <c r="AC110" s="19" t="s">
        <v>200</v>
      </c>
      <c r="AD110" s="19" t="s">
        <v>201</v>
      </c>
      <c r="AE110" s="19" t="s">
        <v>203</v>
      </c>
      <c r="AF110" s="19" t="s">
        <v>207</v>
      </c>
      <c r="AG110" s="19" t="s">
        <v>208</v>
      </c>
      <c r="AH110" s="226" t="s">
        <v>209</v>
      </c>
      <c r="AI110" s="221" t="s">
        <v>103</v>
      </c>
      <c r="AJ110" s="220" t="s">
        <v>104</v>
      </c>
      <c r="AK110" s="248" t="s">
        <v>210</v>
      </c>
      <c r="AL110" s="248" t="s">
        <v>211</v>
      </c>
      <c r="AM110" s="248" t="s">
        <v>214</v>
      </c>
      <c r="AN110" s="248" t="s">
        <v>213</v>
      </c>
      <c r="AO110" s="248" t="s">
        <v>272</v>
      </c>
      <c r="AP110" s="248" t="s">
        <v>330</v>
      </c>
      <c r="AQ110" s="248" t="s">
        <v>331</v>
      </c>
      <c r="AR110" s="248" t="s">
        <v>333</v>
      </c>
      <c r="AS110" s="248" t="s">
        <v>389</v>
      </c>
      <c r="AT110" s="248" t="s">
        <v>405</v>
      </c>
      <c r="AU110" s="42"/>
      <c r="AV110" s="588" t="s">
        <v>235</v>
      </c>
      <c r="AW110" s="588" t="s">
        <v>236</v>
      </c>
    </row>
    <row r="111" spans="1:50" x14ac:dyDescent="0.3">
      <c r="A111" s="169"/>
      <c r="B111" s="163" t="s">
        <v>239</v>
      </c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217"/>
      <c r="AI111" s="208"/>
      <c r="AJ111" s="216"/>
      <c r="AM111" s="1"/>
      <c r="AN111" s="1">
        <v>32619</v>
      </c>
      <c r="AO111" s="2">
        <v>32505</v>
      </c>
      <c r="AP111" s="2">
        <v>32692</v>
      </c>
      <c r="AQ111" s="2">
        <v>32402</v>
      </c>
      <c r="AR111" s="2">
        <v>34600</v>
      </c>
      <c r="AS111" s="2">
        <v>34196</v>
      </c>
      <c r="AT111" s="2">
        <v>34228</v>
      </c>
      <c r="AU111" s="2"/>
      <c r="AV111" s="554">
        <f>(Tableau1014[[#This Row],[juin-24]]-Tableau1014[[#This Row],[avr-24]])/Tableau1014[[#This Row],[avr-24]]</f>
        <v>9.3578196280266702E-4</v>
      </c>
      <c r="AW111" s="548">
        <f>Tableau1014[[#This Row],[juin-24]]-Tableau1014[[#This Row],[avr-24]]</f>
        <v>32</v>
      </c>
    </row>
    <row r="112" spans="1:50" x14ac:dyDescent="0.3">
      <c r="A112" s="169"/>
      <c r="B112" s="164" t="s">
        <v>301</v>
      </c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148"/>
      <c r="AI112" s="208"/>
      <c r="AJ112" s="216"/>
      <c r="AK112" s="2"/>
      <c r="AL112" s="2"/>
      <c r="AM112" s="2"/>
      <c r="AN112" s="2"/>
      <c r="AO112" s="2">
        <v>0</v>
      </c>
      <c r="AP112" s="2">
        <v>9441</v>
      </c>
      <c r="AQ112" s="2">
        <v>9649</v>
      </c>
      <c r="AR112" s="2">
        <v>10500</v>
      </c>
      <c r="AS112" s="2">
        <v>10652</v>
      </c>
      <c r="AT112" s="2">
        <v>10716</v>
      </c>
      <c r="AU112" s="2"/>
      <c r="AV112" s="554">
        <f>(Tableau1014[[#This Row],[juin-24]]-Tableau1014[[#This Row],[avr-24]])/Tableau1014[[#This Row],[avr-24]]</f>
        <v>6.0082613593691325E-3</v>
      </c>
      <c r="AW112" s="548">
        <f>Tableau1014[[#This Row],[juin-24]]-Tableau1014[[#This Row],[avr-24]]</f>
        <v>64</v>
      </c>
      <c r="AX112" s="340"/>
    </row>
    <row r="113" spans="1:49" x14ac:dyDescent="0.3">
      <c r="A113" s="169">
        <v>2</v>
      </c>
      <c r="B113" s="163" t="s">
        <v>94</v>
      </c>
      <c r="C113" s="104">
        <v>1289839</v>
      </c>
      <c r="D113" s="104">
        <v>1310852</v>
      </c>
      <c r="E113" s="104">
        <v>1347303</v>
      </c>
      <c r="F113" s="104">
        <v>1390629</v>
      </c>
      <c r="G113" s="104">
        <v>1445963</v>
      </c>
      <c r="H113" s="104">
        <v>1473625</v>
      </c>
      <c r="I113" s="104">
        <v>1485962</v>
      </c>
      <c r="J113" s="104">
        <v>1507173</v>
      </c>
      <c r="K113" s="104">
        <v>1512836</v>
      </c>
      <c r="L113" s="104">
        <v>1520000</v>
      </c>
      <c r="M113" s="104">
        <v>1523467</v>
      </c>
      <c r="N113" s="104">
        <v>1529043</v>
      </c>
      <c r="O113" s="104">
        <v>1524949</v>
      </c>
      <c r="P113" s="104">
        <v>1523014</v>
      </c>
      <c r="Q113" s="104">
        <v>1493890</v>
      </c>
      <c r="R113" s="104">
        <v>1492334</v>
      </c>
      <c r="S113" s="104">
        <v>1491535</v>
      </c>
      <c r="T113" s="104">
        <v>1499355</v>
      </c>
      <c r="U113" s="104">
        <v>1487298</v>
      </c>
      <c r="V113" s="104">
        <v>1484934</v>
      </c>
      <c r="W113" s="104">
        <v>1482548</v>
      </c>
      <c r="X113" s="104">
        <v>1480400</v>
      </c>
      <c r="Y113" s="104">
        <v>1479055</v>
      </c>
      <c r="Z113" s="104">
        <v>1477623</v>
      </c>
      <c r="AA113" s="104">
        <v>1476662</v>
      </c>
      <c r="AB113" s="104">
        <v>1475559</v>
      </c>
      <c r="AC113" s="104">
        <v>1479992</v>
      </c>
      <c r="AD113" s="104">
        <v>1480528</v>
      </c>
      <c r="AE113" s="104">
        <v>1479743</v>
      </c>
      <c r="AF113" s="104"/>
      <c r="AG113" s="104"/>
      <c r="AH113" s="217"/>
      <c r="AI113" s="208"/>
      <c r="AJ113" s="216"/>
      <c r="AM113" s="1"/>
      <c r="AN113" s="2">
        <v>1415407</v>
      </c>
      <c r="AO113" s="2">
        <v>1413664</v>
      </c>
      <c r="AP113" s="2">
        <v>1410672</v>
      </c>
      <c r="AQ113" s="2">
        <v>1401805</v>
      </c>
      <c r="AR113" s="2">
        <v>1300000</v>
      </c>
      <c r="AS113" s="2">
        <v>1300000</v>
      </c>
      <c r="AT113" s="2">
        <v>1358775</v>
      </c>
      <c r="AU113" s="2"/>
      <c r="AV113" s="554">
        <f>(Tableau1014[[#This Row],[juin-24]]-Tableau1014[[#This Row],[avr-24]])/Tableau1014[[#This Row],[avr-24]]</f>
        <v>4.5211538461538463E-2</v>
      </c>
      <c r="AW113" s="548">
        <f>Tableau1014[[#This Row],[juin-24]]-Tableau1014[[#This Row],[avr-24]]</f>
        <v>58775</v>
      </c>
    </row>
    <row r="114" spans="1:49" x14ac:dyDescent="0.3">
      <c r="A114" s="169">
        <v>10</v>
      </c>
      <c r="B114" s="163" t="s">
        <v>116</v>
      </c>
      <c r="C114" s="88"/>
      <c r="D114" s="88"/>
      <c r="E114" s="88"/>
      <c r="F114" s="88"/>
      <c r="G114" s="88"/>
      <c r="H114" s="88"/>
      <c r="I114" s="88"/>
      <c r="J114" s="88"/>
      <c r="K114" s="88">
        <v>393080</v>
      </c>
      <c r="L114" s="88">
        <v>397767</v>
      </c>
      <c r="M114" s="88">
        <v>402214</v>
      </c>
      <c r="N114" s="88">
        <v>404692</v>
      </c>
      <c r="O114" s="88">
        <v>405022</v>
      </c>
      <c r="P114" s="88">
        <v>405635</v>
      </c>
      <c r="Q114" s="88">
        <v>408792</v>
      </c>
      <c r="R114" s="88">
        <v>411595</v>
      </c>
      <c r="S114" s="88">
        <v>421453</v>
      </c>
      <c r="T114" s="88">
        <v>426359</v>
      </c>
      <c r="U114" s="88">
        <v>426490</v>
      </c>
      <c r="V114" s="88">
        <v>427176</v>
      </c>
      <c r="W114" s="88">
        <v>427857</v>
      </c>
      <c r="X114" s="88">
        <v>429000</v>
      </c>
      <c r="Y114" s="88">
        <v>429915</v>
      </c>
      <c r="Z114" s="88">
        <v>430593</v>
      </c>
      <c r="AA114" s="88">
        <v>432262</v>
      </c>
      <c r="AB114" s="88">
        <v>433844</v>
      </c>
      <c r="AC114" s="88">
        <v>438876</v>
      </c>
      <c r="AD114" s="88">
        <v>443387</v>
      </c>
      <c r="AE114" s="88">
        <v>446331</v>
      </c>
      <c r="AF114" s="88">
        <v>446587</v>
      </c>
      <c r="AG114" s="88">
        <v>446630</v>
      </c>
      <c r="AH114" s="148">
        <v>446894</v>
      </c>
      <c r="AI114" s="208">
        <f>(Tableau1014[[#This Row],[mars-20]]-Tableau1014[[#This Row],[dec-19]])/Tableau1014[[#This Row],[dec-19]]</f>
        <v>5.9109329870362488E-4</v>
      </c>
      <c r="AJ114" s="216">
        <f>Tableau1014[[#This Row],[mars-20]]-Tableau1014[[#This Row],[dec-19]]</f>
        <v>264</v>
      </c>
      <c r="AK114" s="2">
        <v>455431</v>
      </c>
      <c r="AL114" s="2">
        <v>457675</v>
      </c>
      <c r="AM114" s="2">
        <v>465570</v>
      </c>
      <c r="AN114" s="2">
        <v>468259</v>
      </c>
      <c r="AO114" s="2">
        <v>469481</v>
      </c>
      <c r="AP114" s="2">
        <v>472723</v>
      </c>
      <c r="AQ114" s="2">
        <v>471503</v>
      </c>
      <c r="AR114" s="2">
        <v>466200</v>
      </c>
      <c r="AS114" s="2">
        <v>462161</v>
      </c>
      <c r="AT114" s="2">
        <v>461206</v>
      </c>
      <c r="AU114" s="2"/>
      <c r="AV114" s="554">
        <f>(Tableau1014[[#This Row],[juin-24]]-Tableau1014[[#This Row],[avr-24]])/Tableau1014[[#This Row],[avr-24]]</f>
        <v>-2.0663794651647372E-3</v>
      </c>
      <c r="AW114" s="548">
        <f>Tableau1014[[#This Row],[juin-24]]-Tableau1014[[#This Row],[avr-24]]</f>
        <v>-955</v>
      </c>
    </row>
    <row r="115" spans="1:49" x14ac:dyDescent="0.3">
      <c r="A115" s="169">
        <v>37</v>
      </c>
      <c r="B115" s="163" t="s">
        <v>119</v>
      </c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>
        <v>42713</v>
      </c>
      <c r="Q115" s="88">
        <v>43054</v>
      </c>
      <c r="R115" s="88">
        <v>43166</v>
      </c>
      <c r="S115" s="88">
        <v>43107</v>
      </c>
      <c r="T115" s="88">
        <v>43184</v>
      </c>
      <c r="U115" s="88">
        <v>43008</v>
      </c>
      <c r="V115" s="88">
        <v>42965</v>
      </c>
      <c r="W115" s="88">
        <v>42913</v>
      </c>
      <c r="X115" s="88">
        <v>42965</v>
      </c>
      <c r="Y115" s="88">
        <v>43175</v>
      </c>
      <c r="Z115" s="88">
        <v>43408</v>
      </c>
      <c r="AA115" s="88">
        <v>43405</v>
      </c>
      <c r="AB115" s="88">
        <v>43431</v>
      </c>
      <c r="AC115" s="88">
        <v>43590</v>
      </c>
      <c r="AD115" s="88">
        <v>43576</v>
      </c>
      <c r="AE115" s="88">
        <v>43582</v>
      </c>
      <c r="AF115" s="88">
        <v>43505</v>
      </c>
      <c r="AG115" s="88">
        <v>43408</v>
      </c>
      <c r="AH115" s="148">
        <v>43175</v>
      </c>
      <c r="AI115" s="208">
        <f>(Tableau1014[[#This Row],[mars-20]]-Tableau1014[[#This Row],[dec-19]])/Tableau1014[[#This Row],[dec-19]]</f>
        <v>-5.367674161444895E-3</v>
      </c>
      <c r="AJ115" s="216">
        <f>Tableau1014[[#This Row],[mars-20]]-Tableau1014[[#This Row],[dec-19]]</f>
        <v>-233</v>
      </c>
      <c r="AK115" s="2">
        <v>43364</v>
      </c>
      <c r="AL115" s="2">
        <v>43287</v>
      </c>
      <c r="AM115" s="2">
        <v>42310</v>
      </c>
      <c r="AN115" s="2">
        <v>42467</v>
      </c>
      <c r="AO115" s="2">
        <v>42801</v>
      </c>
      <c r="AP115" s="2">
        <v>42920</v>
      </c>
      <c r="AQ115" s="2">
        <v>42471</v>
      </c>
      <c r="AR115" s="2">
        <v>41500</v>
      </c>
      <c r="AS115" s="2">
        <v>40916</v>
      </c>
      <c r="AT115" s="2">
        <v>40793</v>
      </c>
      <c r="AU115" s="2"/>
      <c r="AV115" s="554">
        <f>(Tableau1014[[#This Row],[juin-24]]-Tableau1014[[#This Row],[avr-24]])/Tableau1014[[#This Row],[avr-24]]</f>
        <v>-3.0061589598201193E-3</v>
      </c>
      <c r="AW115" s="548">
        <f>Tableau1014[[#This Row],[juin-24]]-Tableau1014[[#This Row],[avr-24]]</f>
        <v>-123</v>
      </c>
    </row>
    <row r="116" spans="1:49" x14ac:dyDescent="0.3">
      <c r="A116" s="266"/>
      <c r="B116" s="164" t="s">
        <v>270</v>
      </c>
      <c r="C116" s="255"/>
      <c r="D116" s="255"/>
      <c r="E116" s="255"/>
      <c r="F116" s="255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267"/>
      <c r="AI116" s="208"/>
      <c r="AJ116" s="216"/>
      <c r="AM116" s="1"/>
      <c r="AN116" s="1"/>
      <c r="AO116" s="1">
        <v>0</v>
      </c>
      <c r="AP116" s="2">
        <v>2846</v>
      </c>
      <c r="AQ116" s="2">
        <v>2885</v>
      </c>
      <c r="AR116" s="2">
        <v>2968</v>
      </c>
      <c r="AS116" s="2">
        <v>2952</v>
      </c>
      <c r="AT116" s="2">
        <v>2977</v>
      </c>
      <c r="AU116" s="2"/>
      <c r="AV116" s="554">
        <f>(Tableau1014[[#This Row],[juin-24]]-Tableau1014[[#This Row],[avr-24]])/Tableau1014[[#This Row],[avr-24]]</f>
        <v>8.4688346883468827E-3</v>
      </c>
      <c r="AW116" s="548">
        <f>Tableau1014[[#This Row],[juin-24]]-Tableau1014[[#This Row],[avr-24]]</f>
        <v>25</v>
      </c>
    </row>
    <row r="117" spans="1:49" x14ac:dyDescent="0.3">
      <c r="A117" s="169">
        <v>40</v>
      </c>
      <c r="B117" s="163" t="s">
        <v>160</v>
      </c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>
        <v>8592</v>
      </c>
      <c r="U117" s="88">
        <v>8864</v>
      </c>
      <c r="V117" s="88">
        <v>9967</v>
      </c>
      <c r="W117" s="88">
        <v>9409</v>
      </c>
      <c r="X117" s="88">
        <v>10081</v>
      </c>
      <c r="Y117" s="88">
        <v>10185</v>
      </c>
      <c r="Z117" s="88">
        <v>10238</v>
      </c>
      <c r="AA117" s="88">
        <v>10300</v>
      </c>
      <c r="AB117" s="88">
        <v>10449</v>
      </c>
      <c r="AC117" s="88">
        <v>10695</v>
      </c>
      <c r="AD117" s="88">
        <v>11014</v>
      </c>
      <c r="AE117" s="88">
        <v>11603</v>
      </c>
      <c r="AF117" s="88">
        <v>11746</v>
      </c>
      <c r="AG117" s="88">
        <v>11710</v>
      </c>
      <c r="AH117" s="148">
        <v>11997</v>
      </c>
      <c r="AI117" s="208">
        <f>(Tableau1014[[#This Row],[mars-20]]-Tableau1014[[#This Row],[dec-19]])/Tableau1014[[#This Row],[dec-19]]</f>
        <v>2.4508966695132365E-2</v>
      </c>
      <c r="AJ117" s="216">
        <f>Tableau1014[[#This Row],[mars-20]]-Tableau1014[[#This Row],[dec-19]]</f>
        <v>287</v>
      </c>
      <c r="AK117" s="2">
        <v>12378</v>
      </c>
      <c r="AL117" s="2">
        <v>12747</v>
      </c>
      <c r="AM117" s="2">
        <v>12733</v>
      </c>
      <c r="AN117" s="2">
        <v>12613</v>
      </c>
      <c r="AO117" s="2">
        <v>12603</v>
      </c>
      <c r="AP117" s="2">
        <v>12528</v>
      </c>
      <c r="AQ117" s="2">
        <v>12404</v>
      </c>
      <c r="AR117" s="2">
        <v>12100</v>
      </c>
      <c r="AS117" s="2">
        <v>12070</v>
      </c>
      <c r="AT117" s="2">
        <v>12052</v>
      </c>
      <c r="AU117" s="2"/>
      <c r="AV117" s="554">
        <f>(Tableau1014[[#This Row],[juin-24]]-Tableau1014[[#This Row],[avr-24]])/Tableau1014[[#This Row],[avr-24]]</f>
        <v>-1.4913007456503729E-3</v>
      </c>
      <c r="AW117" s="548">
        <f>Tableau1014[[#This Row],[juin-24]]-Tableau1014[[#This Row],[avr-24]]</f>
        <v>-18</v>
      </c>
    </row>
    <row r="118" spans="1:49" x14ac:dyDescent="0.3">
      <c r="A118" s="169"/>
      <c r="B118" s="163" t="s">
        <v>304</v>
      </c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148"/>
      <c r="AI118" s="208"/>
      <c r="AJ118" s="216"/>
      <c r="AK118" s="2"/>
      <c r="AL118" s="2"/>
      <c r="AM118" s="2"/>
      <c r="AN118" s="2"/>
      <c r="AO118" s="2">
        <v>0</v>
      </c>
      <c r="AP118" s="2">
        <v>173907</v>
      </c>
      <c r="AQ118" s="2">
        <v>171489</v>
      </c>
      <c r="AR118" s="2">
        <v>167300</v>
      </c>
      <c r="AS118" s="2">
        <v>164766</v>
      </c>
      <c r="AT118" s="2">
        <v>164187</v>
      </c>
      <c r="AU118" s="2"/>
      <c r="AV118" s="554">
        <f>(Tableau1014[[#This Row],[juin-24]]-Tableau1014[[#This Row],[avr-24]])/Tableau1014[[#This Row],[avr-24]]</f>
        <v>-3.5140745056625759E-3</v>
      </c>
      <c r="AW118" s="548">
        <f>Tableau1014[[#This Row],[juin-24]]-Tableau1014[[#This Row],[avr-24]]</f>
        <v>-579</v>
      </c>
    </row>
    <row r="119" spans="1:49" x14ac:dyDescent="0.3">
      <c r="A119" s="169"/>
      <c r="B119" s="164" t="s">
        <v>189</v>
      </c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>
        <v>208055</v>
      </c>
      <c r="AC119" s="88">
        <v>209616</v>
      </c>
      <c r="AD119" s="88">
        <v>210319</v>
      </c>
      <c r="AE119" s="88">
        <v>210452</v>
      </c>
      <c r="AF119" s="88">
        <v>210260</v>
      </c>
      <c r="AG119" s="88">
        <v>210030</v>
      </c>
      <c r="AH119" s="148">
        <v>209984</v>
      </c>
      <c r="AI119" s="208">
        <f>(Tableau1014[[#This Row],[mars-20]]-Tableau1014[[#This Row],[dec-19]])/Tableau1014[[#This Row],[dec-19]]</f>
        <v>-2.1901633100033328E-4</v>
      </c>
      <c r="AJ119" s="216">
        <f>Tableau1014[[#This Row],[mars-20]]-Tableau1014[[#This Row],[dec-19]]</f>
        <v>-46</v>
      </c>
      <c r="AK119" s="2">
        <v>210728</v>
      </c>
      <c r="AL119" s="2">
        <v>214939</v>
      </c>
      <c r="AM119" s="2">
        <v>214511</v>
      </c>
      <c r="AN119" s="2">
        <v>214051</v>
      </c>
      <c r="AO119" s="2">
        <v>214267</v>
      </c>
      <c r="AP119" s="2">
        <v>214022</v>
      </c>
      <c r="AQ119" s="2">
        <v>213250</v>
      </c>
      <c r="AR119" s="2">
        <v>209700</v>
      </c>
      <c r="AS119" s="2">
        <v>208193</v>
      </c>
      <c r="AT119" s="2">
        <v>207777</v>
      </c>
      <c r="AU119" s="2"/>
      <c r="AV119" s="554">
        <f>(Tableau1014[[#This Row],[juin-24]]-Tableau1014[[#This Row],[avr-24]])/Tableau1014[[#This Row],[avr-24]]</f>
        <v>-1.9981459511126693E-3</v>
      </c>
      <c r="AW119" s="548">
        <f>Tableau1014[[#This Row],[juin-24]]-Tableau1014[[#This Row],[avr-24]]</f>
        <v>-416</v>
      </c>
    </row>
    <row r="120" spans="1:49" x14ac:dyDescent="0.3">
      <c r="A120" s="266"/>
      <c r="B120" s="266" t="s">
        <v>398</v>
      </c>
      <c r="C120" s="255"/>
      <c r="D120" s="255"/>
      <c r="E120" s="255"/>
      <c r="F120" s="255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267"/>
      <c r="AI120" s="208" t="e">
        <f>(Tableau1014[[#This Row],[mars-20]]-Tableau1014[[#This Row],[dec-19]])/Tableau1014[[#This Row],[dec-19]]</f>
        <v>#DIV/0!</v>
      </c>
      <c r="AJ120" s="216">
        <f>Tableau1014[[#This Row],[mars-20]]-Tableau1014[[#This Row],[dec-19]]</f>
        <v>0</v>
      </c>
      <c r="AK120" s="2"/>
      <c r="AL120" s="2"/>
      <c r="AM120" s="2"/>
      <c r="AN120" s="2"/>
      <c r="AO120" s="2">
        <v>0</v>
      </c>
      <c r="AP120" s="2">
        <v>0</v>
      </c>
      <c r="AQ120" s="2">
        <v>0</v>
      </c>
      <c r="AR120" s="2">
        <v>0</v>
      </c>
      <c r="AS120" s="2">
        <v>3200</v>
      </c>
      <c r="AT120" s="2">
        <v>3200</v>
      </c>
      <c r="AU120" s="2"/>
      <c r="AV120" s="554">
        <f>(Tableau1014[[#This Row],[juin-24]]-Tableau1014[[#This Row],[avr-24]])/Tableau1014[[#This Row],[avr-24]]</f>
        <v>0</v>
      </c>
      <c r="AW120" s="548">
        <f>Tableau1014[[#This Row],[juin-24]]-Tableau1014[[#This Row],[avr-24]]</f>
        <v>0</v>
      </c>
    </row>
    <row r="121" spans="1:49" x14ac:dyDescent="0.3">
      <c r="A121" s="169">
        <v>35</v>
      </c>
      <c r="B121" s="163" t="s">
        <v>130</v>
      </c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>
        <v>51243</v>
      </c>
      <c r="O121" s="88">
        <v>51280</v>
      </c>
      <c r="P121" s="88">
        <v>51549</v>
      </c>
      <c r="Q121" s="88">
        <v>53432</v>
      </c>
      <c r="R121" s="88">
        <v>53930</v>
      </c>
      <c r="S121" s="88">
        <v>54181</v>
      </c>
      <c r="T121" s="88">
        <v>54469</v>
      </c>
      <c r="U121" s="88">
        <v>54335</v>
      </c>
      <c r="V121" s="88">
        <v>54419</v>
      </c>
      <c r="W121" s="88">
        <v>54423</v>
      </c>
      <c r="X121" s="88">
        <v>54490</v>
      </c>
      <c r="Y121" s="88">
        <v>54735</v>
      </c>
      <c r="Z121" s="88">
        <v>54938</v>
      </c>
      <c r="AA121" s="88">
        <v>55506</v>
      </c>
      <c r="AB121" s="88">
        <v>55799</v>
      </c>
      <c r="AC121" s="88">
        <v>57412</v>
      </c>
      <c r="AD121" s="88">
        <v>58008</v>
      </c>
      <c r="AE121" s="88">
        <v>58089</v>
      </c>
      <c r="AF121" s="88">
        <v>58100</v>
      </c>
      <c r="AG121" s="88">
        <v>58009</v>
      </c>
      <c r="AH121" s="148">
        <v>57913</v>
      </c>
      <c r="AI121" s="208">
        <f>(Tableau1014[[#This Row],[mars-20]]-Tableau1014[[#This Row],[dec-19]])/Tableau1014[[#This Row],[dec-19]]</f>
        <v>-1.6549156165422607E-3</v>
      </c>
      <c r="AJ121" s="216">
        <f>Tableau1014[[#This Row],[mars-20]]-Tableau1014[[#This Row],[dec-19]]</f>
        <v>-96</v>
      </c>
      <c r="AK121" s="2">
        <v>59758</v>
      </c>
      <c r="AL121" s="2">
        <v>61468</v>
      </c>
      <c r="AM121" s="2">
        <v>61892</v>
      </c>
      <c r="AN121" s="2">
        <v>62657</v>
      </c>
      <c r="AO121" s="2">
        <v>62664</v>
      </c>
      <c r="AP121" s="2">
        <v>63542</v>
      </c>
      <c r="AQ121" s="2">
        <v>63276</v>
      </c>
      <c r="AR121" s="2">
        <v>62900</v>
      </c>
      <c r="AS121" s="2">
        <v>62070</v>
      </c>
      <c r="AT121" s="2">
        <v>61837</v>
      </c>
      <c r="AU121" s="2"/>
      <c r="AV121" s="554">
        <f>(Tableau1014[[#This Row],[juin-24]]-Tableau1014[[#This Row],[avr-24]])/Tableau1014[[#This Row],[avr-24]]</f>
        <v>-3.7538263251168037E-3</v>
      </c>
      <c r="AW121" s="548">
        <f>Tableau1014[[#This Row],[juin-24]]-Tableau1014[[#This Row],[avr-24]]</f>
        <v>-233</v>
      </c>
    </row>
    <row r="122" spans="1:49" x14ac:dyDescent="0.3">
      <c r="A122" s="169">
        <v>18</v>
      </c>
      <c r="B122" s="163" t="s">
        <v>147</v>
      </c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>
        <v>186003</v>
      </c>
      <c r="R122" s="88">
        <v>185953</v>
      </c>
      <c r="S122" s="88">
        <v>186500</v>
      </c>
      <c r="T122" s="88">
        <v>186762</v>
      </c>
      <c r="U122" s="88">
        <v>186047</v>
      </c>
      <c r="V122" s="88">
        <v>185848</v>
      </c>
      <c r="W122" s="88">
        <v>185344</v>
      </c>
      <c r="X122" s="88">
        <v>185170</v>
      </c>
      <c r="Y122" s="88">
        <v>185115</v>
      </c>
      <c r="Z122" s="88">
        <v>185346</v>
      </c>
      <c r="AA122" s="88">
        <v>186701</v>
      </c>
      <c r="AB122" s="88">
        <v>187179</v>
      </c>
      <c r="AC122" s="88">
        <v>188357</v>
      </c>
      <c r="AD122" s="88">
        <v>188471</v>
      </c>
      <c r="AE122" s="88">
        <v>188567</v>
      </c>
      <c r="AF122" s="88">
        <v>189360</v>
      </c>
      <c r="AG122" s="88">
        <v>189158</v>
      </c>
      <c r="AH122" s="148">
        <v>188708</v>
      </c>
      <c r="AI122" s="208">
        <f>(Tableau1014[[#This Row],[mars-20]]-Tableau1014[[#This Row],[dec-19]])/Tableau1014[[#This Row],[dec-19]]</f>
        <v>-2.3789636177164062E-3</v>
      </c>
      <c r="AJ122" s="216">
        <f>Tableau1014[[#This Row],[mars-20]]-Tableau1014[[#This Row],[dec-19]]</f>
        <v>-450</v>
      </c>
      <c r="AK122" s="2">
        <v>189045</v>
      </c>
      <c r="AL122" s="2">
        <v>189344</v>
      </c>
      <c r="AM122" s="2">
        <v>189733</v>
      </c>
      <c r="AN122" s="2">
        <v>189212</v>
      </c>
      <c r="AO122" s="2">
        <v>189020</v>
      </c>
      <c r="AP122" s="2">
        <v>190622</v>
      </c>
      <c r="AQ122" s="2">
        <v>189138</v>
      </c>
      <c r="AR122" s="2">
        <v>185100</v>
      </c>
      <c r="AS122" s="2">
        <v>182271</v>
      </c>
      <c r="AT122" s="2">
        <v>181724</v>
      </c>
      <c r="AU122" s="2"/>
      <c r="AV122" s="554">
        <f>(Tableau1014[[#This Row],[juin-24]]-Tableau1014[[#This Row],[avr-24]])/Tableau1014[[#This Row],[avr-24]]</f>
        <v>-3.0010259448842659E-3</v>
      </c>
      <c r="AW122" s="548">
        <f>Tableau1014[[#This Row],[juin-24]]-Tableau1014[[#This Row],[avr-24]]</f>
        <v>-547</v>
      </c>
    </row>
    <row r="123" spans="1:49" x14ac:dyDescent="0.3">
      <c r="A123" s="169"/>
      <c r="B123" s="163" t="s">
        <v>255</v>
      </c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48"/>
      <c r="AI123" s="208"/>
      <c r="AJ123" s="216"/>
      <c r="AK123" s="2"/>
      <c r="AL123" s="2"/>
      <c r="AM123" s="2"/>
      <c r="AN123" s="2">
        <v>6637</v>
      </c>
      <c r="AO123" s="2">
        <v>6660</v>
      </c>
      <c r="AP123" s="2">
        <v>7643</v>
      </c>
      <c r="AQ123" s="2">
        <v>7641</v>
      </c>
      <c r="AR123" s="2">
        <v>8086</v>
      </c>
      <c r="AS123" s="2">
        <v>8198</v>
      </c>
      <c r="AT123" s="2">
        <v>8385</v>
      </c>
      <c r="AU123" s="2"/>
      <c r="AV123" s="554">
        <f>(Tableau1014[[#This Row],[juin-24]]-Tableau1014[[#This Row],[avr-24]])/Tableau1014[[#This Row],[avr-24]]</f>
        <v>2.2810441571114906E-2</v>
      </c>
      <c r="AW123" s="548">
        <f>Tableau1014[[#This Row],[juin-24]]-Tableau1014[[#This Row],[avr-24]]</f>
        <v>187</v>
      </c>
    </row>
    <row r="124" spans="1:49" x14ac:dyDescent="0.3">
      <c r="A124" s="169"/>
      <c r="B124" s="163" t="s">
        <v>269</v>
      </c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148"/>
      <c r="AI124" s="208"/>
      <c r="AJ124" s="216"/>
      <c r="AK124" s="2"/>
      <c r="AL124" s="2"/>
      <c r="AM124" s="2"/>
      <c r="AN124" s="2">
        <v>11061</v>
      </c>
      <c r="AO124" s="2">
        <v>14407</v>
      </c>
      <c r="AP124" s="2">
        <v>27800</v>
      </c>
      <c r="AQ124" s="2">
        <v>28291</v>
      </c>
      <c r="AR124" s="2">
        <v>30600</v>
      </c>
      <c r="AS124" s="2">
        <v>30925</v>
      </c>
      <c r="AT124" s="2">
        <v>31044</v>
      </c>
      <c r="AU124" s="2"/>
      <c r="AV124" s="554">
        <f>(Tableau1014[[#This Row],[juin-24]]-Tableau1014[[#This Row],[avr-24]])/Tableau1014[[#This Row],[avr-24]]</f>
        <v>3.8480194017784962E-3</v>
      </c>
      <c r="AW124" s="548">
        <f>Tableau1014[[#This Row],[juin-24]]-Tableau1014[[#This Row],[avr-24]]</f>
        <v>119</v>
      </c>
    </row>
    <row r="125" spans="1:49" x14ac:dyDescent="0.3">
      <c r="A125" s="169">
        <v>42</v>
      </c>
      <c r="B125" s="163" t="s">
        <v>181</v>
      </c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>
        <v>25475</v>
      </c>
      <c r="Y125" s="88">
        <v>25995</v>
      </c>
      <c r="Z125" s="88">
        <v>26739</v>
      </c>
      <c r="AA125" s="88">
        <v>27328</v>
      </c>
      <c r="AB125" s="88">
        <v>27379</v>
      </c>
      <c r="AC125" s="88">
        <v>27948</v>
      </c>
      <c r="AD125" s="88">
        <v>28243</v>
      </c>
      <c r="AE125" s="88">
        <v>28374</v>
      </c>
      <c r="AF125" s="88">
        <v>28392</v>
      </c>
      <c r="AG125" s="88">
        <v>28315</v>
      </c>
      <c r="AH125" s="148">
        <v>28873</v>
      </c>
      <c r="AI125" s="208">
        <f>(Tableau1014[[#This Row],[mars-20]]-Tableau1014[[#This Row],[dec-19]])/Tableau1014[[#This Row],[dec-19]]</f>
        <v>1.9706869150626877E-2</v>
      </c>
      <c r="AJ125" s="216">
        <f>Tableau1014[[#This Row],[mars-20]]-Tableau1014[[#This Row],[dec-19]]</f>
        <v>558</v>
      </c>
      <c r="AK125" s="2">
        <v>31287</v>
      </c>
      <c r="AL125" s="2">
        <v>31461</v>
      </c>
      <c r="AM125" s="2">
        <v>31962</v>
      </c>
      <c r="AN125" s="2">
        <v>32238</v>
      </c>
      <c r="AO125" s="2">
        <v>32181</v>
      </c>
      <c r="AP125" s="2">
        <v>33521</v>
      </c>
      <c r="AQ125" s="2">
        <v>33560</v>
      </c>
      <c r="AR125" s="2">
        <v>33500</v>
      </c>
      <c r="AS125" s="2">
        <v>32367</v>
      </c>
      <c r="AT125" s="2">
        <v>33136</v>
      </c>
      <c r="AU125" s="2"/>
      <c r="AV125" s="554">
        <f>(Tableau1014[[#This Row],[juin-24]]-Tableau1014[[#This Row],[avr-24]])/Tableau1014[[#This Row],[avr-24]]</f>
        <v>2.3758766645039699E-2</v>
      </c>
      <c r="AW125" s="548">
        <f>Tableau1014[[#This Row],[juin-24]]-Tableau1014[[#This Row],[avr-24]]</f>
        <v>769</v>
      </c>
    </row>
    <row r="126" spans="1:49" x14ac:dyDescent="0.3">
      <c r="A126" s="169"/>
      <c r="B126" s="163" t="s">
        <v>263</v>
      </c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48"/>
      <c r="AI126" s="208"/>
      <c r="AJ126" s="216"/>
      <c r="AK126" s="2"/>
      <c r="AL126" s="2"/>
      <c r="AM126" s="2"/>
      <c r="AN126" s="2">
        <v>2353</v>
      </c>
      <c r="AO126" s="2">
        <v>2365</v>
      </c>
      <c r="AP126" s="2">
        <v>3038</v>
      </c>
      <c r="AQ126" s="2">
        <v>3052</v>
      </c>
      <c r="AR126" s="2">
        <v>3217</v>
      </c>
      <c r="AS126" s="2">
        <v>3434</v>
      </c>
      <c r="AT126" s="2">
        <v>3422</v>
      </c>
      <c r="AU126" s="2"/>
      <c r="AV126" s="554">
        <f>(Tableau1014[[#This Row],[juin-24]]-Tableau1014[[#This Row],[avr-24]])/Tableau1014[[#This Row],[avr-24]]</f>
        <v>-3.4944670937682005E-3</v>
      </c>
      <c r="AW126" s="548">
        <f>Tableau1014[[#This Row],[juin-24]]-Tableau1014[[#This Row],[avr-24]]</f>
        <v>-12</v>
      </c>
    </row>
    <row r="127" spans="1:49" x14ac:dyDescent="0.3">
      <c r="A127" s="169"/>
      <c r="B127" s="164" t="s">
        <v>197</v>
      </c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>
        <v>19749</v>
      </c>
      <c r="AC127" s="88">
        <v>24900</v>
      </c>
      <c r="AD127" s="88">
        <v>26155</v>
      </c>
      <c r="AE127" s="88">
        <v>26333</v>
      </c>
      <c r="AF127" s="88">
        <v>26449</v>
      </c>
      <c r="AG127" s="88">
        <v>26478</v>
      </c>
      <c r="AH127" s="148">
        <v>27205</v>
      </c>
      <c r="AI127" s="208">
        <f>(Tableau1014[[#This Row],[mars-20]]-Tableau1014[[#This Row],[dec-19]])/Tableau1014[[#This Row],[dec-19]]</f>
        <v>2.7456756552609714E-2</v>
      </c>
      <c r="AJ127" s="216">
        <f>Tableau1014[[#This Row],[mars-20]]-Tableau1014[[#This Row],[dec-19]]</f>
        <v>727</v>
      </c>
      <c r="AK127" s="2">
        <v>32520</v>
      </c>
      <c r="AL127" s="2">
        <v>32920</v>
      </c>
      <c r="AM127" s="2">
        <v>37363</v>
      </c>
      <c r="AN127" s="2">
        <v>37996</v>
      </c>
      <c r="AO127" s="2">
        <v>38200</v>
      </c>
      <c r="AP127" s="2">
        <v>41213</v>
      </c>
      <c r="AQ127" s="2">
        <v>40945</v>
      </c>
      <c r="AR127" s="2">
        <v>41100</v>
      </c>
      <c r="AS127" s="2">
        <v>40621</v>
      </c>
      <c r="AT127" s="2">
        <v>40559</v>
      </c>
      <c r="AU127" s="2"/>
      <c r="AV127" s="554">
        <f>(Tableau1014[[#This Row],[juin-24]]-Tableau1014[[#This Row],[avr-24]])/Tableau1014[[#This Row],[avr-24]]</f>
        <v>-1.5263041284064892E-3</v>
      </c>
      <c r="AW127" s="548">
        <f>Tableau1014[[#This Row],[juin-24]]-Tableau1014[[#This Row],[avr-24]]</f>
        <v>-62</v>
      </c>
    </row>
    <row r="128" spans="1:49" x14ac:dyDescent="0.3">
      <c r="A128" s="266"/>
      <c r="B128" s="266" t="s">
        <v>401</v>
      </c>
      <c r="C128" s="255"/>
      <c r="D128" s="255"/>
      <c r="E128" s="255"/>
      <c r="F128" s="255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267"/>
      <c r="AI128" s="208" t="e">
        <f>(Tableau1014[[#This Row],[mars-20]]-Tableau1014[[#This Row],[dec-19]])/Tableau1014[[#This Row],[dec-19]]</f>
        <v>#DIV/0!</v>
      </c>
      <c r="AJ128" s="216">
        <f>Tableau1014[[#This Row],[mars-20]]-Tableau1014[[#This Row],[dec-19]]</f>
        <v>0</v>
      </c>
      <c r="AK128" s="2"/>
      <c r="AL128" s="2"/>
      <c r="AM128" s="2"/>
      <c r="AN128" s="2"/>
      <c r="AO128" s="2">
        <v>0</v>
      </c>
      <c r="AP128" s="2">
        <v>0</v>
      </c>
      <c r="AQ128" s="2">
        <v>0</v>
      </c>
      <c r="AR128" s="2">
        <v>0</v>
      </c>
      <c r="AS128" s="2">
        <v>19803</v>
      </c>
      <c r="AT128" s="2">
        <v>20029</v>
      </c>
      <c r="AU128" s="2"/>
      <c r="AV128" s="554">
        <f>(Tableau1014[[#This Row],[juin-24]]-Tableau1014[[#This Row],[avr-24]])/Tableau1014[[#This Row],[avr-24]]</f>
        <v>1.141241226076857E-2</v>
      </c>
      <c r="AW128" s="548">
        <f>Tableau1014[[#This Row],[juin-24]]-Tableau1014[[#This Row],[avr-24]]</f>
        <v>226</v>
      </c>
    </row>
    <row r="129" spans="1:49" x14ac:dyDescent="0.3">
      <c r="A129" s="169">
        <v>6</v>
      </c>
      <c r="B129" s="163" t="s">
        <v>87</v>
      </c>
      <c r="C129" s="104">
        <v>1279452</v>
      </c>
      <c r="D129" s="104">
        <v>1303698</v>
      </c>
      <c r="E129" s="104">
        <v>1350143</v>
      </c>
      <c r="F129" s="104">
        <v>1378343</v>
      </c>
      <c r="G129" s="104">
        <v>1413025</v>
      </c>
      <c r="H129" s="104">
        <v>1426370</v>
      </c>
      <c r="I129" s="104">
        <v>1431662</v>
      </c>
      <c r="J129" s="104">
        <v>1449068</v>
      </c>
      <c r="K129" s="104">
        <v>1452552</v>
      </c>
      <c r="L129" s="104">
        <v>1458820</v>
      </c>
      <c r="M129" s="104">
        <v>1461681</v>
      </c>
      <c r="N129" s="104">
        <v>1466138</v>
      </c>
      <c r="O129" s="104">
        <v>1469130</v>
      </c>
      <c r="P129" s="104">
        <v>1473396</v>
      </c>
      <c r="Q129" s="104">
        <v>1487614</v>
      </c>
      <c r="R129" s="104">
        <v>1493135</v>
      </c>
      <c r="S129" s="104">
        <v>1495822</v>
      </c>
      <c r="T129" s="104">
        <v>1499122</v>
      </c>
      <c r="U129" s="104">
        <v>1503204</v>
      </c>
      <c r="V129" s="104">
        <v>1504132</v>
      </c>
      <c r="W129" s="104">
        <v>1504695</v>
      </c>
      <c r="X129" s="104">
        <v>1506355</v>
      </c>
      <c r="Y129" s="104">
        <v>1507160</v>
      </c>
      <c r="Z129" s="104">
        <v>1507804</v>
      </c>
      <c r="AA129" s="104">
        <v>1510287</v>
      </c>
      <c r="AB129" s="104">
        <v>1520720</v>
      </c>
      <c r="AC129" s="104">
        <v>1539269</v>
      </c>
      <c r="AD129" s="104">
        <v>1543657</v>
      </c>
      <c r="AE129" s="104">
        <v>1544555</v>
      </c>
      <c r="AF129" s="104">
        <v>1545148</v>
      </c>
      <c r="AG129" s="104">
        <v>1544614</v>
      </c>
      <c r="AH129" s="148">
        <v>1541941</v>
      </c>
      <c r="AI129" s="208">
        <f>(Tableau1014[[#This Row],[mars-20]]-Tableau1014[[#This Row],[dec-19]])/Tableau1014[[#This Row],[dec-19]]</f>
        <v>-1.7305294397176253E-3</v>
      </c>
      <c r="AJ129" s="216">
        <f>Tableau1014[[#This Row],[mars-20]]-Tableau1014[[#This Row],[dec-19]]</f>
        <v>-2673</v>
      </c>
      <c r="AK129" s="2">
        <v>1546760</v>
      </c>
      <c r="AL129" s="2">
        <v>1553342</v>
      </c>
      <c r="AM129" s="2">
        <v>1545254</v>
      </c>
      <c r="AN129" s="2">
        <v>1540810</v>
      </c>
      <c r="AO129" s="2">
        <v>1539602</v>
      </c>
      <c r="AP129" s="2">
        <v>1545951</v>
      </c>
      <c r="AQ129" s="514">
        <v>1535681</v>
      </c>
      <c r="AR129" s="514">
        <v>1500000</v>
      </c>
      <c r="AS129" s="514">
        <v>1494701</v>
      </c>
      <c r="AT129" s="514">
        <v>1490750</v>
      </c>
      <c r="AU129" s="514"/>
      <c r="AV129" s="554">
        <f>(Tableau1014[[#This Row],[juin-24]]-Tableau1014[[#This Row],[avr-24]])/Tableau1014[[#This Row],[avr-24]]</f>
        <v>-2.6433380321549261E-3</v>
      </c>
      <c r="AW129" s="548">
        <f>Tableau1014[[#This Row],[juin-24]]-Tableau1014[[#This Row],[avr-24]]</f>
        <v>-3951</v>
      </c>
    </row>
    <row r="130" spans="1:49" x14ac:dyDescent="0.3">
      <c r="A130" s="266"/>
      <c r="B130" s="266" t="s">
        <v>404</v>
      </c>
      <c r="C130" s="255"/>
      <c r="D130" s="255"/>
      <c r="E130" s="255"/>
      <c r="F130" s="255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267"/>
      <c r="AI130" s="208" t="e">
        <f>(Tableau1014[[#This Row],[mars-20]]-Tableau1014[[#This Row],[dec-19]])/Tableau1014[[#This Row],[dec-19]]</f>
        <v>#DIV/0!</v>
      </c>
      <c r="AJ130" s="216">
        <f>Tableau1014[[#This Row],[mars-20]]-Tableau1014[[#This Row],[dec-19]]</f>
        <v>0</v>
      </c>
      <c r="AK130" s="2"/>
      <c r="AL130" s="2"/>
      <c r="AM130" s="2"/>
      <c r="AN130" s="2"/>
      <c r="AO130" s="2">
        <v>0</v>
      </c>
      <c r="AP130" s="2">
        <v>0</v>
      </c>
      <c r="AQ130" s="2">
        <v>0</v>
      </c>
      <c r="AR130" s="2">
        <v>0</v>
      </c>
      <c r="AS130" s="2">
        <v>787</v>
      </c>
      <c r="AT130" s="2">
        <v>874</v>
      </c>
      <c r="AU130" s="2"/>
      <c r="AV130" s="554">
        <f>(Tableau1014[[#This Row],[juin-24]]-Tableau1014[[#This Row],[avr-24]])/Tableau1014[[#This Row],[avr-24]]</f>
        <v>0.11054637865311309</v>
      </c>
      <c r="AW130" s="548">
        <f>Tableau1014[[#This Row],[juin-24]]-Tableau1014[[#This Row],[avr-24]]</f>
        <v>87</v>
      </c>
    </row>
    <row r="131" spans="1:49" x14ac:dyDescent="0.3">
      <c r="A131" s="169"/>
      <c r="B131" s="164" t="s">
        <v>298</v>
      </c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148"/>
      <c r="AI131" s="208"/>
      <c r="AJ131" s="216"/>
      <c r="AK131" s="2"/>
      <c r="AL131" s="2"/>
      <c r="AM131" s="2"/>
      <c r="AN131" s="2"/>
      <c r="AO131" s="2">
        <v>0</v>
      </c>
      <c r="AP131" s="2">
        <v>138213</v>
      </c>
      <c r="AQ131" s="2">
        <v>136905</v>
      </c>
      <c r="AR131" s="2">
        <v>134100</v>
      </c>
      <c r="AS131" s="2">
        <v>132263</v>
      </c>
      <c r="AT131" s="2">
        <v>131842</v>
      </c>
      <c r="AU131" s="2"/>
      <c r="AV131" s="554">
        <f>(Tableau1014[[#This Row],[juin-24]]-Tableau1014[[#This Row],[avr-24]])/Tableau1014[[#This Row],[avr-24]]</f>
        <v>-3.1830519495248105E-3</v>
      </c>
      <c r="AW131" s="548">
        <f>Tableau1014[[#This Row],[juin-24]]-Tableau1014[[#This Row],[avr-24]]</f>
        <v>-421</v>
      </c>
    </row>
    <row r="132" spans="1:49" x14ac:dyDescent="0.3">
      <c r="A132" s="169"/>
      <c r="B132" s="163" t="s">
        <v>253</v>
      </c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48"/>
      <c r="AI132" s="208"/>
      <c r="AJ132" s="216"/>
      <c r="AK132" s="2"/>
      <c r="AL132" s="2"/>
      <c r="AM132" s="2"/>
      <c r="AN132" s="2">
        <v>45381</v>
      </c>
      <c r="AO132" s="2">
        <v>48081</v>
      </c>
      <c r="AP132" s="2">
        <v>53424</v>
      </c>
      <c r="AQ132" s="2">
        <v>54113</v>
      </c>
      <c r="AR132" s="2">
        <v>53800</v>
      </c>
      <c r="AS132" s="2">
        <v>53339</v>
      </c>
      <c r="AT132" s="2">
        <v>53723</v>
      </c>
      <c r="AU132" s="2"/>
      <c r="AV132" s="554">
        <f>(Tableau1014[[#This Row],[juin-24]]-Tableau1014[[#This Row],[avr-24]])/Tableau1014[[#This Row],[avr-24]]</f>
        <v>7.1992350812726145E-3</v>
      </c>
      <c r="AW132" s="548">
        <f>Tableau1014[[#This Row],[juin-24]]-Tableau1014[[#This Row],[avr-24]]</f>
        <v>384</v>
      </c>
    </row>
    <row r="133" spans="1:49" x14ac:dyDescent="0.3">
      <c r="A133" s="169"/>
      <c r="B133" s="163" t="s">
        <v>250</v>
      </c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148"/>
      <c r="AI133" s="208"/>
      <c r="AJ133" s="216"/>
      <c r="AK133" s="2"/>
      <c r="AL133" s="2"/>
      <c r="AM133" s="2"/>
      <c r="AN133" s="2">
        <v>26407</v>
      </c>
      <c r="AO133" s="2">
        <v>26419</v>
      </c>
      <c r="AP133" s="2">
        <v>29600</v>
      </c>
      <c r="AQ133" s="2">
        <v>29353</v>
      </c>
      <c r="AR133" s="2">
        <v>29300</v>
      </c>
      <c r="AS133" s="2">
        <v>28856</v>
      </c>
      <c r="AT133" s="2">
        <v>28732</v>
      </c>
      <c r="AU133" s="2"/>
      <c r="AV133" s="554">
        <f>(Tableau1014[[#This Row],[juin-24]]-Tableau1014[[#This Row],[avr-24]])/Tableau1014[[#This Row],[avr-24]]</f>
        <v>-4.297199889104519E-3</v>
      </c>
      <c r="AW133" s="548">
        <f>Tableau1014[[#This Row],[juin-24]]-Tableau1014[[#This Row],[avr-24]]</f>
        <v>-124</v>
      </c>
    </row>
    <row r="134" spans="1:49" x14ac:dyDescent="0.3">
      <c r="A134" s="169">
        <v>28</v>
      </c>
      <c r="B134" s="163" t="s">
        <v>161</v>
      </c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>
        <v>18353</v>
      </c>
      <c r="U134" s="88">
        <v>18356</v>
      </c>
      <c r="V134" s="88">
        <v>18448</v>
      </c>
      <c r="W134" s="88">
        <v>18545</v>
      </c>
      <c r="X134" s="88">
        <v>18880</v>
      </c>
      <c r="Y134" s="88">
        <v>20040</v>
      </c>
      <c r="Z134" s="88">
        <v>20354</v>
      </c>
      <c r="AA134" s="88">
        <v>20983</v>
      </c>
      <c r="AB134" s="88">
        <v>21468</v>
      </c>
      <c r="AC134" s="88">
        <v>26477</v>
      </c>
      <c r="AD134" s="88">
        <v>27641</v>
      </c>
      <c r="AE134" s="88">
        <v>28233</v>
      </c>
      <c r="AF134" s="88">
        <v>28638</v>
      </c>
      <c r="AG134" s="88">
        <v>28748</v>
      </c>
      <c r="AH134" s="148">
        <v>29411</v>
      </c>
      <c r="AI134" s="208">
        <f>(Tableau1014[[#This Row],[mars-20]]-Tableau1014[[#This Row],[dec-19]])/Tableau1014[[#This Row],[dec-19]]</f>
        <v>2.3062473911228606E-2</v>
      </c>
      <c r="AJ134" s="216">
        <f>Tableau1014[[#This Row],[mars-20]]-Tableau1014[[#This Row],[dec-19]]</f>
        <v>663</v>
      </c>
      <c r="AK134" s="2">
        <v>34650</v>
      </c>
      <c r="AL134" s="2">
        <v>34634</v>
      </c>
      <c r="AM134" s="2">
        <v>37656</v>
      </c>
      <c r="AN134" s="2">
        <v>37653</v>
      </c>
      <c r="AO134" s="2">
        <v>37604</v>
      </c>
      <c r="AP134" s="2">
        <v>38412</v>
      </c>
      <c r="AQ134" s="2">
        <v>38313</v>
      </c>
      <c r="AR134" s="2">
        <v>37700</v>
      </c>
      <c r="AS134" s="2">
        <v>37035</v>
      </c>
      <c r="AT134" s="2">
        <v>36908</v>
      </c>
      <c r="AU134" s="2"/>
      <c r="AV134" s="554">
        <f>(Tableau1014[[#This Row],[juin-24]]-Tableau1014[[#This Row],[avr-24]])/Tableau1014[[#This Row],[avr-24]]</f>
        <v>-3.4291886053732954E-3</v>
      </c>
      <c r="AW134" s="548">
        <f>Tableau1014[[#This Row],[juin-24]]-Tableau1014[[#This Row],[avr-24]]</f>
        <v>-127</v>
      </c>
    </row>
    <row r="135" spans="1:49" x14ac:dyDescent="0.3">
      <c r="A135" s="169"/>
      <c r="B135" s="164" t="s">
        <v>274</v>
      </c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148"/>
      <c r="AI135" s="208"/>
      <c r="AJ135" s="216"/>
      <c r="AK135" s="2"/>
      <c r="AL135" s="2"/>
      <c r="AM135" s="2"/>
      <c r="AN135" s="2">
        <v>13849</v>
      </c>
      <c r="AO135" s="2">
        <v>15475</v>
      </c>
      <c r="AP135" s="2">
        <v>16200</v>
      </c>
      <c r="AQ135" s="2">
        <v>16120</v>
      </c>
      <c r="AR135" s="2">
        <v>17200</v>
      </c>
      <c r="AS135" s="2">
        <v>17271</v>
      </c>
      <c r="AT135" s="2">
        <v>17258</v>
      </c>
      <c r="AU135" s="2"/>
      <c r="AV135" s="554">
        <f>(Tableau1014[[#This Row],[juin-24]]-Tableau1014[[#This Row],[avr-24]])/Tableau1014[[#This Row],[avr-24]]</f>
        <v>-7.5270684963233163E-4</v>
      </c>
      <c r="AW135" s="548">
        <f>Tableau1014[[#This Row],[juin-24]]-Tableau1014[[#This Row],[avr-24]]</f>
        <v>-13</v>
      </c>
    </row>
    <row r="136" spans="1:49" x14ac:dyDescent="0.3">
      <c r="A136" s="169">
        <v>31</v>
      </c>
      <c r="B136" s="163" t="s">
        <v>150</v>
      </c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>
        <v>42157</v>
      </c>
      <c r="R136" s="88">
        <v>51950</v>
      </c>
      <c r="S136" s="88">
        <v>55253</v>
      </c>
      <c r="T136" s="88">
        <v>56199</v>
      </c>
      <c r="U136" s="88">
        <v>57219</v>
      </c>
      <c r="V136" s="88">
        <v>57906</v>
      </c>
      <c r="W136" s="88">
        <v>58752</v>
      </c>
      <c r="X136" s="88">
        <v>60685</v>
      </c>
      <c r="Y136" s="88">
        <v>63920</v>
      </c>
      <c r="Z136" s="88">
        <v>64381</v>
      </c>
      <c r="AA136" s="88">
        <v>65567</v>
      </c>
      <c r="AB136" s="88">
        <v>68550</v>
      </c>
      <c r="AC136" s="88">
        <v>137841</v>
      </c>
      <c r="AD136" s="88">
        <v>182039</v>
      </c>
      <c r="AE136" s="88">
        <v>187478</v>
      </c>
      <c r="AF136" s="88">
        <v>191438</v>
      </c>
      <c r="AG136" s="88">
        <v>195897</v>
      </c>
      <c r="AH136" s="148">
        <v>204097</v>
      </c>
      <c r="AI136" s="208">
        <f>(Tableau1014[[#This Row],[mars-20]]-Tableau1014[[#This Row],[dec-19]])/Tableau1014[[#This Row],[dec-19]]</f>
        <v>4.1858731884612831E-2</v>
      </c>
      <c r="AJ136" s="216">
        <f>Tableau1014[[#This Row],[mars-20]]-Tableau1014[[#This Row],[dec-19]]</f>
        <v>8200</v>
      </c>
      <c r="AK136" s="2">
        <v>265206</v>
      </c>
      <c r="AL136" s="2">
        <v>275243</v>
      </c>
      <c r="AM136" s="2">
        <v>357094</v>
      </c>
      <c r="AN136" s="2">
        <v>396136</v>
      </c>
      <c r="AO136" s="2">
        <v>428445</v>
      </c>
      <c r="AP136" s="2">
        <v>464412</v>
      </c>
      <c r="AQ136" s="2">
        <v>465505</v>
      </c>
      <c r="AR136" s="2">
        <v>463300</v>
      </c>
      <c r="AS136" s="2">
        <v>459870</v>
      </c>
      <c r="AT136" s="2">
        <v>459666</v>
      </c>
      <c r="AU136" s="2"/>
      <c r="AV136" s="554">
        <f>(Tableau1014[[#This Row],[juin-24]]-Tableau1014[[#This Row],[avr-24]])/Tableau1014[[#This Row],[avr-24]]</f>
        <v>-4.4360362711200993E-4</v>
      </c>
      <c r="AW136" s="548">
        <f>Tableau1014[[#This Row],[juin-24]]-Tableau1014[[#This Row],[avr-24]]</f>
        <v>-204</v>
      </c>
    </row>
    <row r="137" spans="1:49" x14ac:dyDescent="0.3">
      <c r="A137" s="169">
        <v>32</v>
      </c>
      <c r="B137" s="163" t="s">
        <v>136</v>
      </c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>
        <v>46953</v>
      </c>
      <c r="Q137" s="88">
        <v>46942</v>
      </c>
      <c r="R137" s="88">
        <v>47459</v>
      </c>
      <c r="S137" s="88">
        <v>48026</v>
      </c>
      <c r="T137" s="88">
        <v>48405</v>
      </c>
      <c r="U137" s="88">
        <v>48416</v>
      </c>
      <c r="V137" s="88">
        <v>48642</v>
      </c>
      <c r="W137" s="88">
        <v>49196</v>
      </c>
      <c r="X137" s="88">
        <v>49530</v>
      </c>
      <c r="Y137" s="88">
        <v>50230</v>
      </c>
      <c r="Z137" s="88">
        <v>50608</v>
      </c>
      <c r="AA137" s="88">
        <v>52215</v>
      </c>
      <c r="AB137" s="88">
        <v>53026</v>
      </c>
      <c r="AC137" s="88">
        <v>55989</v>
      </c>
      <c r="AD137" s="88">
        <v>57755</v>
      </c>
      <c r="AE137" s="88">
        <v>58209</v>
      </c>
      <c r="AF137" s="88">
        <v>58801</v>
      </c>
      <c r="AG137" s="88">
        <v>59027</v>
      </c>
      <c r="AH137" s="148">
        <v>60115</v>
      </c>
      <c r="AI137" s="208">
        <f>(Tableau1014[[#This Row],[mars-20]]-Tableau1014[[#This Row],[dec-19]])/Tableau1014[[#This Row],[dec-19]]</f>
        <v>1.8432242871906077E-2</v>
      </c>
      <c r="AJ137" s="216">
        <f>Tableau1014[[#This Row],[mars-20]]-Tableau1014[[#This Row],[dec-19]]</f>
        <v>1088</v>
      </c>
      <c r="AK137" s="2">
        <v>62071</v>
      </c>
      <c r="AL137" s="2">
        <v>62502</v>
      </c>
      <c r="AM137" s="2">
        <v>63882</v>
      </c>
      <c r="AN137" s="2">
        <v>65460</v>
      </c>
      <c r="AO137" s="2">
        <v>65760</v>
      </c>
      <c r="AP137" s="2">
        <v>66264</v>
      </c>
      <c r="AQ137" s="2">
        <v>66407</v>
      </c>
      <c r="AR137" s="2">
        <v>65800</v>
      </c>
      <c r="AS137" s="2">
        <v>64987</v>
      </c>
      <c r="AT137" s="2">
        <v>64872</v>
      </c>
      <c r="AU137" s="2"/>
      <c r="AV137" s="554">
        <f>(Tableau1014[[#This Row],[juin-24]]-Tableau1014[[#This Row],[avr-24]])/Tableau1014[[#This Row],[avr-24]]</f>
        <v>-1.7695846861680029E-3</v>
      </c>
      <c r="AW137" s="548">
        <f>Tableau1014[[#This Row],[juin-24]]-Tableau1014[[#This Row],[avr-24]]</f>
        <v>-115</v>
      </c>
    </row>
    <row r="138" spans="1:49" x14ac:dyDescent="0.3">
      <c r="A138" s="169"/>
      <c r="B138" s="164" t="s">
        <v>198</v>
      </c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>
        <v>20528</v>
      </c>
      <c r="AC138" s="88">
        <v>22900</v>
      </c>
      <c r="AD138" s="88">
        <v>23579</v>
      </c>
      <c r="AE138" s="88">
        <v>23704</v>
      </c>
      <c r="AF138" s="88">
        <v>23837</v>
      </c>
      <c r="AG138" s="88">
        <v>23882</v>
      </c>
      <c r="AH138" s="148">
        <v>24083</v>
      </c>
      <c r="AI138" s="208">
        <f>(Tableau1014[[#This Row],[mars-20]]-Tableau1014[[#This Row],[dec-19]])/Tableau1014[[#This Row],[dec-19]]</f>
        <v>8.4163805376434135E-3</v>
      </c>
      <c r="AJ138" s="216">
        <f>Tableau1014[[#This Row],[mars-20]]-Tableau1014[[#This Row],[dec-19]]</f>
        <v>201</v>
      </c>
      <c r="AK138" s="2">
        <v>26910</v>
      </c>
      <c r="AL138" s="2">
        <v>28409</v>
      </c>
      <c r="AM138" s="2">
        <v>32934</v>
      </c>
      <c r="AN138" s="2">
        <v>33349</v>
      </c>
      <c r="AO138" s="2">
        <v>33964</v>
      </c>
      <c r="AP138" s="2">
        <v>36400</v>
      </c>
      <c r="AQ138" s="2">
        <v>37027</v>
      </c>
      <c r="AR138" s="2">
        <v>39100</v>
      </c>
      <c r="AS138" s="2">
        <v>38691</v>
      </c>
      <c r="AT138" s="2">
        <v>38538</v>
      </c>
      <c r="AU138" s="2"/>
      <c r="AV138" s="554">
        <f>(Tableau1014[[#This Row],[juin-24]]-Tableau1014[[#This Row],[avr-24]])/Tableau1014[[#This Row],[avr-24]]</f>
        <v>-3.9544080018608981E-3</v>
      </c>
      <c r="AW138" s="548">
        <f>Tableau1014[[#This Row],[juin-24]]-Tableau1014[[#This Row],[avr-24]]</f>
        <v>-153</v>
      </c>
    </row>
    <row r="139" spans="1:49" x14ac:dyDescent="0.3">
      <c r="A139" s="169">
        <v>14</v>
      </c>
      <c r="B139" s="163" t="s">
        <v>128</v>
      </c>
      <c r="C139" s="93"/>
      <c r="D139" s="93"/>
      <c r="E139" s="93"/>
      <c r="F139" s="93"/>
      <c r="G139" s="88"/>
      <c r="H139" s="88"/>
      <c r="I139" s="88"/>
      <c r="J139" s="88"/>
      <c r="K139" s="88"/>
      <c r="L139" s="88"/>
      <c r="M139" s="88">
        <v>193474</v>
      </c>
      <c r="N139" s="88">
        <v>195323</v>
      </c>
      <c r="O139" s="88">
        <v>204368</v>
      </c>
      <c r="P139" s="88">
        <v>206374</v>
      </c>
      <c r="Q139" s="88">
        <v>214287</v>
      </c>
      <c r="R139" s="88">
        <v>217474</v>
      </c>
      <c r="S139" s="88">
        <v>221073</v>
      </c>
      <c r="T139" s="88">
        <v>222136</v>
      </c>
      <c r="U139" s="88">
        <v>223554</v>
      </c>
      <c r="V139" s="88">
        <v>224618</v>
      </c>
      <c r="W139" s="88">
        <v>226118</v>
      </c>
      <c r="X139" s="88">
        <v>228295</v>
      </c>
      <c r="Y139" s="88">
        <v>230005</v>
      </c>
      <c r="Z139" s="88">
        <v>231060</v>
      </c>
      <c r="AA139" s="88">
        <v>236374</v>
      </c>
      <c r="AB139" s="88">
        <v>237954</v>
      </c>
      <c r="AC139" s="88">
        <v>247093</v>
      </c>
      <c r="AD139" s="88">
        <v>255574</v>
      </c>
      <c r="AE139" s="88">
        <v>258622</v>
      </c>
      <c r="AF139" s="88">
        <v>260015</v>
      </c>
      <c r="AG139" s="88">
        <v>261848</v>
      </c>
      <c r="AH139" s="148">
        <v>265961</v>
      </c>
      <c r="AI139" s="208">
        <f>(Tableau1014[[#This Row],[mars-20]]-Tableau1014[[#This Row],[dec-19]])/Tableau1014[[#This Row],[dec-19]]</f>
        <v>1.5707586080474168E-2</v>
      </c>
      <c r="AJ139" s="216">
        <f>Tableau1014[[#This Row],[mars-20]]-Tableau1014[[#This Row],[dec-19]]</f>
        <v>4113</v>
      </c>
      <c r="AK139" s="2">
        <v>287936</v>
      </c>
      <c r="AL139" s="2">
        <v>292202</v>
      </c>
      <c r="AM139" s="2">
        <v>299055</v>
      </c>
      <c r="AN139" s="2">
        <v>299989</v>
      </c>
      <c r="AO139" s="2">
        <v>300318</v>
      </c>
      <c r="AP139" s="2">
        <v>301860</v>
      </c>
      <c r="AQ139" s="2">
        <v>301256</v>
      </c>
      <c r="AR139" s="2">
        <v>296000</v>
      </c>
      <c r="AS139" s="2">
        <v>293293</v>
      </c>
      <c r="AT139" s="2">
        <v>292604</v>
      </c>
      <c r="AU139" s="2"/>
      <c r="AV139" s="554">
        <f>(Tableau1014[[#This Row],[juin-24]]-Tableau1014[[#This Row],[avr-24]])/Tableau1014[[#This Row],[avr-24]]</f>
        <v>-2.3491866495279463E-3</v>
      </c>
      <c r="AW139" s="548">
        <f>Tableau1014[[#This Row],[juin-24]]-Tableau1014[[#This Row],[avr-24]]</f>
        <v>-689</v>
      </c>
    </row>
    <row r="140" spans="1:49" x14ac:dyDescent="0.3">
      <c r="A140" s="169">
        <v>19</v>
      </c>
      <c r="B140" s="163" t="s">
        <v>121</v>
      </c>
      <c r="C140" s="88"/>
      <c r="D140" s="88"/>
      <c r="E140" s="88"/>
      <c r="F140" s="88"/>
      <c r="G140" s="88"/>
      <c r="H140" s="88"/>
      <c r="I140" s="88"/>
      <c r="J140" s="88"/>
      <c r="K140" s="88"/>
      <c r="L140" s="88">
        <v>81956</v>
      </c>
      <c r="M140" s="88">
        <v>85259</v>
      </c>
      <c r="N140" s="88">
        <v>86797</v>
      </c>
      <c r="O140" s="88">
        <v>91746</v>
      </c>
      <c r="P140" s="88">
        <v>93357</v>
      </c>
      <c r="Q140" s="88">
        <v>113438</v>
      </c>
      <c r="R140" s="88">
        <v>117586</v>
      </c>
      <c r="S140" s="88">
        <v>121873</v>
      </c>
      <c r="T140" s="88">
        <v>123604</v>
      </c>
      <c r="U140" s="88">
        <v>125576</v>
      </c>
      <c r="V140" s="88">
        <v>126955</v>
      </c>
      <c r="W140" s="88">
        <v>129214</v>
      </c>
      <c r="X140" s="88">
        <v>132450</v>
      </c>
      <c r="Y140" s="88">
        <v>134625</v>
      </c>
      <c r="Z140" s="88">
        <v>135788</v>
      </c>
      <c r="AA140" s="88">
        <v>139714</v>
      </c>
      <c r="AB140" s="88">
        <v>140661</v>
      </c>
      <c r="AC140" s="88">
        <v>151672</v>
      </c>
      <c r="AD140" s="88">
        <v>162057</v>
      </c>
      <c r="AE140" s="88">
        <v>164875</v>
      </c>
      <c r="AF140" s="88">
        <v>166203</v>
      </c>
      <c r="AG140" s="88">
        <v>166355</v>
      </c>
      <c r="AH140" s="148">
        <v>168913</v>
      </c>
      <c r="AI140" s="208">
        <f>(Tableau1014[[#This Row],[mars-20]]-Tableau1014[[#This Row],[dec-19]])/Tableau1014[[#This Row],[dec-19]]</f>
        <v>1.537675453097292E-2</v>
      </c>
      <c r="AJ140" s="216">
        <f>Tableau1014[[#This Row],[mars-20]]-Tableau1014[[#This Row],[dec-19]]</f>
        <v>2558</v>
      </c>
      <c r="AK140" s="2">
        <v>185674</v>
      </c>
      <c r="AL140" s="2">
        <v>188314</v>
      </c>
      <c r="AM140" s="2">
        <v>198299</v>
      </c>
      <c r="AN140" s="2">
        <v>199842</v>
      </c>
      <c r="AO140" s="2">
        <v>200254</v>
      </c>
      <c r="AP140" s="2">
        <v>203377</v>
      </c>
      <c r="AQ140" s="2">
        <v>203288</v>
      </c>
      <c r="AR140" s="2">
        <v>202500</v>
      </c>
      <c r="AS140" s="2">
        <v>200899</v>
      </c>
      <c r="AT140" s="2">
        <v>200498</v>
      </c>
      <c r="AU140" s="2"/>
      <c r="AV140" s="554">
        <f>(Tableau1014[[#This Row],[juin-24]]-Tableau1014[[#This Row],[avr-24]])/Tableau1014[[#This Row],[avr-24]]</f>
        <v>-1.9960278547927067E-3</v>
      </c>
      <c r="AW140" s="548">
        <f>Tableau1014[[#This Row],[juin-24]]-Tableau1014[[#This Row],[avr-24]]</f>
        <v>-401</v>
      </c>
    </row>
    <row r="141" spans="1:49" x14ac:dyDescent="0.3">
      <c r="A141" s="169"/>
      <c r="B141" s="163" t="s">
        <v>268</v>
      </c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48"/>
      <c r="AI141" s="208"/>
      <c r="AJ141" s="216"/>
      <c r="AK141" s="2"/>
      <c r="AL141" s="2"/>
      <c r="AM141" s="2"/>
      <c r="AN141" s="2">
        <v>24507</v>
      </c>
      <c r="AO141" s="2">
        <v>25466</v>
      </c>
      <c r="AP141" s="2">
        <v>29100</v>
      </c>
      <c r="AQ141" s="2">
        <v>32232</v>
      </c>
      <c r="AR141" s="2">
        <v>35900</v>
      </c>
      <c r="AS141" s="2">
        <v>35684</v>
      </c>
      <c r="AT141" s="2">
        <v>35941</v>
      </c>
      <c r="AU141" s="2"/>
      <c r="AV141" s="554">
        <f>(Tableau1014[[#This Row],[juin-24]]-Tableau1014[[#This Row],[avr-24]])/Tableau1014[[#This Row],[avr-24]]</f>
        <v>7.2021073870642306E-3</v>
      </c>
      <c r="AW141" s="548">
        <f>Tableau1014[[#This Row],[juin-24]]-Tableau1014[[#This Row],[avr-24]]</f>
        <v>257</v>
      </c>
    </row>
    <row r="142" spans="1:49" x14ac:dyDescent="0.3">
      <c r="A142" s="169">
        <v>8</v>
      </c>
      <c r="B142" s="163" t="s">
        <v>123</v>
      </c>
      <c r="C142" s="88"/>
      <c r="D142" s="88"/>
      <c r="E142" s="88"/>
      <c r="F142" s="88"/>
      <c r="G142" s="88"/>
      <c r="H142" s="88"/>
      <c r="I142" s="88"/>
      <c r="J142" s="88"/>
      <c r="K142" s="88"/>
      <c r="L142" s="88">
        <v>353735</v>
      </c>
      <c r="M142" s="88">
        <v>354944</v>
      </c>
      <c r="N142" s="88">
        <v>355982</v>
      </c>
      <c r="O142" s="88">
        <v>355949</v>
      </c>
      <c r="P142" s="88">
        <v>357186</v>
      </c>
      <c r="Q142" s="88">
        <v>398403</v>
      </c>
      <c r="R142" s="88">
        <v>405423</v>
      </c>
      <c r="S142" s="88">
        <v>408282</v>
      </c>
      <c r="T142" s="88">
        <v>410172</v>
      </c>
      <c r="U142" s="88">
        <v>410188</v>
      </c>
      <c r="V142" s="88">
        <v>414618</v>
      </c>
      <c r="W142" s="88">
        <v>415137</v>
      </c>
      <c r="X142" s="88">
        <v>415863</v>
      </c>
      <c r="Y142" s="88">
        <v>416860</v>
      </c>
      <c r="Z142" s="88">
        <v>417779</v>
      </c>
      <c r="AA142" s="88">
        <v>419645</v>
      </c>
      <c r="AB142" s="88">
        <v>424027</v>
      </c>
      <c r="AC142" s="88">
        <v>445986</v>
      </c>
      <c r="AD142" s="88">
        <v>450470</v>
      </c>
      <c r="AE142" s="88">
        <v>451274</v>
      </c>
      <c r="AF142" s="88">
        <v>451867</v>
      </c>
      <c r="AG142" s="88">
        <v>451490</v>
      </c>
      <c r="AH142" s="148">
        <v>452944</v>
      </c>
      <c r="AI142" s="208">
        <f>(Tableau1014[[#This Row],[mars-20]]-Tableau1014[[#This Row],[dec-19]])/Tableau1014[[#This Row],[dec-19]]</f>
        <v>3.2204478504507298E-3</v>
      </c>
      <c r="AJ142" s="216">
        <f>Tableau1014[[#This Row],[mars-20]]-Tableau1014[[#This Row],[dec-19]]</f>
        <v>1454</v>
      </c>
      <c r="AK142" s="2">
        <v>468468</v>
      </c>
      <c r="AL142" s="2">
        <v>473864</v>
      </c>
      <c r="AM142" s="2">
        <v>486604</v>
      </c>
      <c r="AN142" s="2">
        <v>490316</v>
      </c>
      <c r="AO142" s="2">
        <v>491919</v>
      </c>
      <c r="AP142" s="2">
        <v>511956</v>
      </c>
      <c r="AQ142" s="2">
        <v>508048</v>
      </c>
      <c r="AR142" s="2">
        <v>525600</v>
      </c>
      <c r="AS142" s="2">
        <v>523936</v>
      </c>
      <c r="AT142" s="2">
        <v>527062</v>
      </c>
      <c r="AU142" s="2"/>
      <c r="AV142" s="554">
        <f>(Tableau1014[[#This Row],[juin-24]]-Tableau1014[[#This Row],[avr-24]])/Tableau1014[[#This Row],[avr-24]]</f>
        <v>5.9663775728333234E-3</v>
      </c>
      <c r="AW142" s="548">
        <f>Tableau1014[[#This Row],[juin-24]]-Tableau1014[[#This Row],[avr-24]]</f>
        <v>3126</v>
      </c>
    </row>
    <row r="143" spans="1:49" x14ac:dyDescent="0.3">
      <c r="A143" s="169"/>
      <c r="B143" s="163" t="s">
        <v>299</v>
      </c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148"/>
      <c r="AI143" s="208"/>
      <c r="AJ143" s="216"/>
      <c r="AK143" s="2"/>
      <c r="AL143" s="2"/>
      <c r="AM143" s="2"/>
      <c r="AN143" s="2"/>
      <c r="AO143" s="2">
        <v>0</v>
      </c>
      <c r="AP143" s="2">
        <v>9628</v>
      </c>
      <c r="AQ143" s="2">
        <v>9844</v>
      </c>
      <c r="AR143" s="2">
        <v>12500</v>
      </c>
      <c r="AS143" s="2">
        <v>12313</v>
      </c>
      <c r="AT143" s="2">
        <v>12312</v>
      </c>
      <c r="AU143" s="2"/>
      <c r="AV143" s="554">
        <f>(Tableau1014[[#This Row],[juin-24]]-Tableau1014[[#This Row],[avr-24]])/Tableau1014[[#This Row],[avr-24]]</f>
        <v>-8.1214976041582069E-5</v>
      </c>
      <c r="AW143" s="548">
        <f>Tableau1014[[#This Row],[juin-24]]-Tableau1014[[#This Row],[avr-24]]</f>
        <v>-1</v>
      </c>
    </row>
    <row r="144" spans="1:49" x14ac:dyDescent="0.3">
      <c r="A144" s="169">
        <v>16</v>
      </c>
      <c r="B144" s="163" t="s">
        <v>93</v>
      </c>
      <c r="C144" s="104">
        <v>84325</v>
      </c>
      <c r="D144" s="104">
        <v>86488</v>
      </c>
      <c r="E144" s="104">
        <v>95443</v>
      </c>
      <c r="F144" s="104">
        <v>100917</v>
      </c>
      <c r="G144" s="104">
        <v>103350</v>
      </c>
      <c r="H144" s="104">
        <v>103996</v>
      </c>
      <c r="I144" s="104">
        <v>104378</v>
      </c>
      <c r="J144" s="104">
        <v>107746</v>
      </c>
      <c r="K144" s="104">
        <v>107235</v>
      </c>
      <c r="L144" s="104">
        <v>108656</v>
      </c>
      <c r="M144" s="104">
        <v>110443</v>
      </c>
      <c r="N144" s="104">
        <v>112109</v>
      </c>
      <c r="O144" s="104">
        <v>112601</v>
      </c>
      <c r="P144" s="104">
        <v>112795</v>
      </c>
      <c r="Q144" s="104">
        <v>116062</v>
      </c>
      <c r="R144" s="104">
        <v>116723</v>
      </c>
      <c r="S144" s="104">
        <v>116998</v>
      </c>
      <c r="T144" s="104">
        <v>117570</v>
      </c>
      <c r="U144" s="104">
        <v>117567</v>
      </c>
      <c r="V144" s="104">
        <v>117794</v>
      </c>
      <c r="W144" s="104">
        <v>118006</v>
      </c>
      <c r="X144" s="104">
        <v>118350</v>
      </c>
      <c r="Y144" s="104">
        <v>118955</v>
      </c>
      <c r="Z144" s="104">
        <v>119828</v>
      </c>
      <c r="AA144" s="104">
        <v>120255</v>
      </c>
      <c r="AB144" s="104">
        <v>120826</v>
      </c>
      <c r="AC144" s="104">
        <v>123674</v>
      </c>
      <c r="AD144" s="104">
        <v>124772</v>
      </c>
      <c r="AE144" s="104">
        <v>125189</v>
      </c>
      <c r="AF144" s="104">
        <v>125192</v>
      </c>
      <c r="AG144" s="104">
        <v>125329</v>
      </c>
      <c r="AH144" s="148">
        <v>125739</v>
      </c>
      <c r="AI144" s="208">
        <f>(Tableau1014[[#This Row],[mars-20]]-Tableau1014[[#This Row],[dec-19]])/Tableau1014[[#This Row],[dec-19]]</f>
        <v>3.2713897023035369E-3</v>
      </c>
      <c r="AJ144" s="216">
        <f>Tableau1014[[#This Row],[mars-20]]-Tableau1014[[#This Row],[dec-19]]</f>
        <v>410</v>
      </c>
      <c r="AK144" s="2">
        <v>130490</v>
      </c>
      <c r="AL144" s="2">
        <v>131381</v>
      </c>
      <c r="AM144" s="2">
        <v>134625</v>
      </c>
      <c r="AN144" s="2">
        <v>134977</v>
      </c>
      <c r="AO144" s="2">
        <v>135295</v>
      </c>
      <c r="AP144" s="2">
        <v>135887</v>
      </c>
      <c r="AQ144" s="2">
        <v>135244</v>
      </c>
      <c r="AR144" s="2">
        <v>134200</v>
      </c>
      <c r="AS144" s="2">
        <v>132888</v>
      </c>
      <c r="AT144" s="2">
        <v>132662</v>
      </c>
      <c r="AU144" s="2"/>
      <c r="AV144" s="554">
        <f>(Tableau1014[[#This Row],[juin-24]]-Tableau1014[[#This Row],[avr-24]])/Tableau1014[[#This Row],[avr-24]]</f>
        <v>-1.7006802721088435E-3</v>
      </c>
      <c r="AW144" s="548">
        <f>Tableau1014[[#This Row],[juin-24]]-Tableau1014[[#This Row],[avr-24]]</f>
        <v>-226</v>
      </c>
    </row>
    <row r="145" spans="1:49" x14ac:dyDescent="0.3">
      <c r="A145" s="170"/>
      <c r="B145" s="163" t="s">
        <v>309</v>
      </c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148"/>
      <c r="AI145" s="208"/>
      <c r="AJ145" s="216"/>
      <c r="AK145" s="2"/>
      <c r="AL145" s="2"/>
      <c r="AM145" s="2"/>
      <c r="AN145" s="2"/>
      <c r="AO145" s="2">
        <v>0</v>
      </c>
      <c r="AP145" s="2">
        <v>4366</v>
      </c>
      <c r="AQ145" s="2">
        <v>4371</v>
      </c>
      <c r="AR145" s="2">
        <v>5553</v>
      </c>
      <c r="AS145" s="2">
        <v>5447</v>
      </c>
      <c r="AT145" s="2">
        <v>5457</v>
      </c>
      <c r="AU145" s="2"/>
      <c r="AV145" s="554">
        <f>(Tableau1014[[#This Row],[juin-24]]-Tableau1014[[#This Row],[avr-24]])/Tableau1014[[#This Row],[avr-24]]</f>
        <v>1.8358729575913347E-3</v>
      </c>
      <c r="AW145" s="548">
        <f>Tableau1014[[#This Row],[juin-24]]-Tableau1014[[#This Row],[avr-24]]</f>
        <v>10</v>
      </c>
    </row>
    <row r="146" spans="1:49" x14ac:dyDescent="0.3">
      <c r="A146" s="170"/>
      <c r="B146" s="174" t="s">
        <v>191</v>
      </c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>
        <v>66889</v>
      </c>
      <c r="AC146" s="149">
        <v>68300</v>
      </c>
      <c r="AD146" s="149">
        <v>68386</v>
      </c>
      <c r="AE146" s="149">
        <v>68583</v>
      </c>
      <c r="AF146" s="149">
        <v>68615</v>
      </c>
      <c r="AG146" s="149">
        <v>68477</v>
      </c>
      <c r="AH146" s="148">
        <v>68563</v>
      </c>
      <c r="AI146" s="208">
        <f>(Tableau1014[[#This Row],[mars-20]]-Tableau1014[[#This Row],[dec-19]])/Tableau1014[[#This Row],[dec-19]]</f>
        <v>1.2558961403098851E-3</v>
      </c>
      <c r="AJ146" s="216">
        <f>Tableau1014[[#This Row],[mars-20]]-Tableau1014[[#This Row],[dec-19]]</f>
        <v>86</v>
      </c>
      <c r="AK146" s="2">
        <v>68529</v>
      </c>
      <c r="AL146" s="2">
        <v>68665</v>
      </c>
      <c r="AM146" s="2">
        <v>66934</v>
      </c>
      <c r="AN146" s="2">
        <v>66451</v>
      </c>
      <c r="AO146" s="2">
        <v>66352</v>
      </c>
      <c r="AP146" s="2">
        <v>66448</v>
      </c>
      <c r="AQ146" s="2">
        <v>65757</v>
      </c>
      <c r="AR146" s="2">
        <v>64100</v>
      </c>
      <c r="AS146" s="2">
        <v>63128</v>
      </c>
      <c r="AT146" s="2">
        <v>62912</v>
      </c>
      <c r="AU146" s="2"/>
      <c r="AV146" s="554">
        <f>(Tableau1014[[#This Row],[juin-24]]-Tableau1014[[#This Row],[avr-24]])/Tableau1014[[#This Row],[avr-24]]</f>
        <v>-3.4216195665948551E-3</v>
      </c>
      <c r="AW146" s="548">
        <f>Tableau1014[[#This Row],[juin-24]]-Tableau1014[[#This Row],[avr-24]]</f>
        <v>-216</v>
      </c>
    </row>
    <row r="147" spans="1:49" x14ac:dyDescent="0.3">
      <c r="A147" s="169"/>
      <c r="B147" s="163" t="s">
        <v>262</v>
      </c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148"/>
      <c r="AI147" s="208"/>
      <c r="AJ147" s="216"/>
      <c r="AK147" s="2"/>
      <c r="AL147" s="2"/>
      <c r="AM147" s="2"/>
      <c r="AN147" s="2">
        <v>8702</v>
      </c>
      <c r="AO147" s="2">
        <v>9022</v>
      </c>
      <c r="AP147" s="2">
        <v>15100</v>
      </c>
      <c r="AQ147" s="2">
        <v>15287</v>
      </c>
      <c r="AR147" s="2">
        <v>24500</v>
      </c>
      <c r="AS147" s="2">
        <v>26736</v>
      </c>
      <c r="AT147" s="2">
        <v>27517</v>
      </c>
      <c r="AU147" s="2"/>
      <c r="AV147" s="554">
        <f>(Tableau1014[[#This Row],[juin-24]]-Tableau1014[[#This Row],[avr-24]])/Tableau1014[[#This Row],[avr-24]]</f>
        <v>2.9211549970077799E-2</v>
      </c>
      <c r="AW147" s="548">
        <f>Tableau1014[[#This Row],[juin-24]]-Tableau1014[[#This Row],[avr-24]]</f>
        <v>781</v>
      </c>
    </row>
    <row r="148" spans="1:49" x14ac:dyDescent="0.3">
      <c r="A148" s="169"/>
      <c r="B148" s="164" t="s">
        <v>199</v>
      </c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>
        <v>20549</v>
      </c>
      <c r="AC148" s="88">
        <v>20800</v>
      </c>
      <c r="AD148" s="88">
        <v>21043</v>
      </c>
      <c r="AE148" s="88">
        <v>21199</v>
      </c>
      <c r="AF148" s="88">
        <v>21191</v>
      </c>
      <c r="AG148" s="88">
        <v>21143</v>
      </c>
      <c r="AH148" s="148">
        <v>21087</v>
      </c>
      <c r="AI148" s="208">
        <f>(Tableau1014[[#This Row],[mars-20]]-Tableau1014[[#This Row],[dec-19]])/Tableau1014[[#This Row],[dec-19]]</f>
        <v>-2.6486307524949157E-3</v>
      </c>
      <c r="AJ148" s="216">
        <f>Tableau1014[[#This Row],[mars-20]]-Tableau1014[[#This Row],[dec-19]]</f>
        <v>-56</v>
      </c>
      <c r="AK148" s="2">
        <v>21615</v>
      </c>
      <c r="AL148" s="2">
        <v>21667</v>
      </c>
      <c r="AM148" s="2">
        <v>23843</v>
      </c>
      <c r="AN148" s="2">
        <v>24456</v>
      </c>
      <c r="AO148" s="2">
        <v>24662</v>
      </c>
      <c r="AP148" s="2">
        <v>25141</v>
      </c>
      <c r="AQ148" s="2">
        <v>25200</v>
      </c>
      <c r="AR148" s="2">
        <v>25700</v>
      </c>
      <c r="AS148" s="2">
        <v>26207</v>
      </c>
      <c r="AT148" s="2">
        <v>26264</v>
      </c>
      <c r="AU148" s="2"/>
      <c r="AV148" s="554">
        <f>(Tableau1014[[#This Row],[juin-24]]-Tableau1014[[#This Row],[avr-24]])/Tableau1014[[#This Row],[avr-24]]</f>
        <v>2.1749914145075743E-3</v>
      </c>
      <c r="AW148" s="548">
        <f>Tableau1014[[#This Row],[juin-24]]-Tableau1014[[#This Row],[avr-24]]</f>
        <v>57</v>
      </c>
    </row>
    <row r="149" spans="1:49" x14ac:dyDescent="0.3">
      <c r="A149" s="266"/>
      <c r="B149" s="164" t="s">
        <v>248</v>
      </c>
      <c r="C149" s="255"/>
      <c r="D149" s="255"/>
      <c r="E149" s="255"/>
      <c r="F149" s="255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267"/>
      <c r="AI149" s="208"/>
      <c r="AJ149" s="216"/>
      <c r="AK149" s="2"/>
      <c r="AL149" s="2"/>
      <c r="AM149" s="2"/>
      <c r="AN149" s="2">
        <v>19891</v>
      </c>
      <c r="AO149" s="2">
        <v>19958</v>
      </c>
      <c r="AP149" s="2">
        <v>24100</v>
      </c>
      <c r="AQ149" s="2">
        <v>24234</v>
      </c>
      <c r="AR149" s="2">
        <v>26900</v>
      </c>
      <c r="AS149" s="2">
        <v>26609</v>
      </c>
      <c r="AT149" s="2">
        <v>26749</v>
      </c>
      <c r="AU149" s="2"/>
      <c r="AV149" s="554">
        <f>(Tableau1014[[#This Row],[juin-24]]-Tableau1014[[#This Row],[avr-24]])/Tableau1014[[#This Row],[avr-24]]</f>
        <v>5.2613777293396974E-3</v>
      </c>
      <c r="AW149" s="548">
        <f>Tableau1014[[#This Row],[juin-24]]-Tableau1014[[#This Row],[avr-24]]</f>
        <v>140</v>
      </c>
    </row>
    <row r="150" spans="1:49" x14ac:dyDescent="0.3">
      <c r="A150" s="169">
        <v>26</v>
      </c>
      <c r="B150" s="163" t="s">
        <v>97</v>
      </c>
      <c r="C150" s="104">
        <v>57630</v>
      </c>
      <c r="D150" s="104">
        <v>58368</v>
      </c>
      <c r="E150" s="104">
        <v>60764</v>
      </c>
      <c r="F150" s="104">
        <v>61183</v>
      </c>
      <c r="G150" s="104">
        <v>61490</v>
      </c>
      <c r="H150" s="104">
        <v>61549</v>
      </c>
      <c r="I150" s="104">
        <v>61608</v>
      </c>
      <c r="J150" s="104">
        <v>61666</v>
      </c>
      <c r="K150" s="104">
        <v>61874</v>
      </c>
      <c r="L150" s="104">
        <v>62026</v>
      </c>
      <c r="M150" s="104">
        <v>62185</v>
      </c>
      <c r="N150" s="104">
        <v>62527</v>
      </c>
      <c r="O150" s="104">
        <v>62479</v>
      </c>
      <c r="P150" s="104">
        <v>62425</v>
      </c>
      <c r="Q150" s="104">
        <v>64656</v>
      </c>
      <c r="R150" s="104">
        <v>64815</v>
      </c>
      <c r="S150" s="104">
        <v>64787</v>
      </c>
      <c r="T150" s="104">
        <v>64954</v>
      </c>
      <c r="U150" s="104">
        <v>64726</v>
      </c>
      <c r="V150" s="104">
        <v>64728</v>
      </c>
      <c r="W150" s="104">
        <v>64718</v>
      </c>
      <c r="X150" s="104">
        <v>64715</v>
      </c>
      <c r="Y150" s="104">
        <v>64785</v>
      </c>
      <c r="Z150" s="104">
        <v>65051</v>
      </c>
      <c r="AA150" s="104">
        <v>65240</v>
      </c>
      <c r="AB150" s="104">
        <v>65259</v>
      </c>
      <c r="AC150" s="104">
        <v>65591</v>
      </c>
      <c r="AD150" s="104">
        <v>65799</v>
      </c>
      <c r="AE150" s="104">
        <v>65800</v>
      </c>
      <c r="AF150" s="104">
        <v>65712</v>
      </c>
      <c r="AG150" s="104">
        <v>65568</v>
      </c>
      <c r="AH150" s="148">
        <v>65107</v>
      </c>
      <c r="AI150" s="208">
        <f>(Tableau1014[[#This Row],[mars-20]]-Tableau1014[[#This Row],[dec-19]])/Tableau1014[[#This Row],[dec-19]]</f>
        <v>-7.0308687164470475E-3</v>
      </c>
      <c r="AJ150" s="216">
        <f>Tableau1014[[#This Row],[mars-20]]-Tableau1014[[#This Row],[dec-19]]</f>
        <v>-461</v>
      </c>
      <c r="AK150" s="2">
        <v>64710</v>
      </c>
      <c r="AL150" s="2">
        <v>64676</v>
      </c>
      <c r="AM150" s="2">
        <v>63300</v>
      </c>
      <c r="AN150" s="2">
        <v>62941</v>
      </c>
      <c r="AO150" s="2">
        <v>63079</v>
      </c>
      <c r="AP150" s="2">
        <v>63399</v>
      </c>
      <c r="AQ150" s="2">
        <v>62444</v>
      </c>
      <c r="AR150" s="2">
        <v>61700</v>
      </c>
      <c r="AS150" s="2">
        <v>60826</v>
      </c>
      <c r="AT150" s="2">
        <v>60630</v>
      </c>
      <c r="AU150" s="2"/>
      <c r="AV150" s="554">
        <f>(Tableau1014[[#This Row],[juin-24]]-Tableau1014[[#This Row],[avr-24]])/Tableau1014[[#This Row],[avr-24]]</f>
        <v>-3.2223062506165127E-3</v>
      </c>
      <c r="AW150" s="548">
        <f>Tableau1014[[#This Row],[juin-24]]-Tableau1014[[#This Row],[avr-24]]</f>
        <v>-196</v>
      </c>
    </row>
    <row r="151" spans="1:49" x14ac:dyDescent="0.3">
      <c r="A151" s="266"/>
      <c r="B151" s="266" t="s">
        <v>402</v>
      </c>
      <c r="C151" s="255"/>
      <c r="D151" s="255"/>
      <c r="E151" s="255"/>
      <c r="F151" s="255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267"/>
      <c r="AI151" s="208" t="e">
        <f>(Tableau1014[[#This Row],[mars-20]]-Tableau1014[[#This Row],[dec-19]])/Tableau1014[[#This Row],[dec-19]]</f>
        <v>#DIV/0!</v>
      </c>
      <c r="AJ151" s="216">
        <f>Tableau1014[[#This Row],[mars-20]]-Tableau1014[[#This Row],[dec-19]]</f>
        <v>0</v>
      </c>
      <c r="AK151" s="2"/>
      <c r="AL151" s="2"/>
      <c r="AM151" s="2"/>
      <c r="AN151" s="2"/>
      <c r="AO151" s="2">
        <v>0</v>
      </c>
      <c r="AP151" s="2">
        <v>0</v>
      </c>
      <c r="AQ151" s="2">
        <v>0</v>
      </c>
      <c r="AR151" s="2">
        <v>0</v>
      </c>
      <c r="AS151" s="2">
        <v>1186</v>
      </c>
      <c r="AT151" s="2">
        <v>1539</v>
      </c>
      <c r="AU151" s="2"/>
      <c r="AV151" s="554">
        <f>(Tableau1014[[#This Row],[juin-24]]-Tableau1014[[#This Row],[avr-24]])/Tableau1014[[#This Row],[avr-24]]</f>
        <v>0.29763912310286678</v>
      </c>
      <c r="AW151" s="548">
        <f>Tableau1014[[#This Row],[juin-24]]-Tableau1014[[#This Row],[avr-24]]</f>
        <v>353</v>
      </c>
    </row>
    <row r="152" spans="1:49" x14ac:dyDescent="0.3">
      <c r="A152" s="266"/>
      <c r="B152" s="164" t="s">
        <v>396</v>
      </c>
      <c r="C152" s="255"/>
      <c r="D152" s="255"/>
      <c r="E152" s="255"/>
      <c r="F152" s="255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267"/>
      <c r="AI152" s="208"/>
      <c r="AJ152" s="216"/>
      <c r="AK152" s="2"/>
      <c r="AL152" s="2"/>
      <c r="AM152" s="2"/>
      <c r="AN152" s="2"/>
      <c r="AO152" s="2">
        <v>0</v>
      </c>
      <c r="AP152" s="2">
        <v>0</v>
      </c>
      <c r="AQ152" s="2">
        <v>0</v>
      </c>
      <c r="AR152" s="2">
        <v>0</v>
      </c>
      <c r="AS152" s="2">
        <v>24800</v>
      </c>
      <c r="AT152" s="2">
        <v>24998</v>
      </c>
      <c r="AU152" s="2"/>
      <c r="AV152" s="554">
        <f>(Tableau1014[[#This Row],[juin-24]]-Tableau1014[[#This Row],[avr-24]])/Tableau1014[[#This Row],[avr-24]]</f>
        <v>7.9838709677419357E-3</v>
      </c>
      <c r="AW152" s="548">
        <f>Tableau1014[[#This Row],[juin-24]]-Tableau1014[[#This Row],[avr-24]]</f>
        <v>198</v>
      </c>
    </row>
    <row r="153" spans="1:49" x14ac:dyDescent="0.3">
      <c r="A153" s="169">
        <v>23</v>
      </c>
      <c r="B153" s="163" t="s">
        <v>120</v>
      </c>
      <c r="C153" s="88"/>
      <c r="D153" s="88"/>
      <c r="E153" s="88"/>
      <c r="F153" s="88"/>
      <c r="G153" s="88"/>
      <c r="H153" s="88"/>
      <c r="I153" s="88"/>
      <c r="J153" s="88"/>
      <c r="K153" s="88"/>
      <c r="L153" s="88">
        <v>42110</v>
      </c>
      <c r="M153" s="88">
        <v>42805</v>
      </c>
      <c r="N153" s="88">
        <v>45085</v>
      </c>
      <c r="O153" s="88">
        <v>45326</v>
      </c>
      <c r="P153" s="88">
        <v>46061</v>
      </c>
      <c r="Q153" s="88">
        <v>57094</v>
      </c>
      <c r="R153" s="88">
        <v>59166</v>
      </c>
      <c r="S153" s="88">
        <v>61384</v>
      </c>
      <c r="T153" s="88">
        <v>61954</v>
      </c>
      <c r="U153" s="88">
        <v>62470</v>
      </c>
      <c r="V153" s="88">
        <v>63213</v>
      </c>
      <c r="W153" s="88">
        <v>63970</v>
      </c>
      <c r="X153" s="88">
        <v>65640</v>
      </c>
      <c r="Y153" s="88">
        <v>69945</v>
      </c>
      <c r="Z153" s="88">
        <v>71191</v>
      </c>
      <c r="AA153" s="88">
        <v>71130</v>
      </c>
      <c r="AB153" s="88">
        <v>71056</v>
      </c>
      <c r="AC153" s="88">
        <v>78358</v>
      </c>
      <c r="AD153" s="88">
        <v>78234</v>
      </c>
      <c r="AE153" s="88">
        <v>78044</v>
      </c>
      <c r="AF153" s="88">
        <v>77802</v>
      </c>
      <c r="AG153" s="88">
        <v>77525</v>
      </c>
      <c r="AH153" s="148">
        <v>77174</v>
      </c>
      <c r="AI153" s="208">
        <f>(Tableau1014[[#This Row],[mars-20]]-Tableau1014[[#This Row],[dec-19]])/Tableau1014[[#This Row],[dec-19]]</f>
        <v>-4.5275717510480486E-3</v>
      </c>
      <c r="AJ153" s="216">
        <f>Tableau1014[[#This Row],[mars-20]]-Tableau1014[[#This Row],[dec-19]]</f>
        <v>-351</v>
      </c>
      <c r="AK153" s="2">
        <v>77443</v>
      </c>
      <c r="AL153" s="2">
        <v>77571</v>
      </c>
      <c r="AM153" s="2">
        <v>125961</v>
      </c>
      <c r="AN153" s="2">
        <v>136137</v>
      </c>
      <c r="AO153" s="2">
        <v>139356</v>
      </c>
      <c r="AP153" s="2">
        <v>149700</v>
      </c>
      <c r="AQ153" s="2">
        <v>149355</v>
      </c>
      <c r="AR153" s="2">
        <v>154000</v>
      </c>
      <c r="AS153" s="2">
        <v>153255</v>
      </c>
      <c r="AT153" s="2">
        <v>154481</v>
      </c>
      <c r="AU153" s="2"/>
      <c r="AV153" s="554">
        <f>(Tableau1014[[#This Row],[juin-24]]-Tableau1014[[#This Row],[avr-24]])/Tableau1014[[#This Row],[avr-24]]</f>
        <v>7.9997389970963423E-3</v>
      </c>
      <c r="AW153" s="548">
        <f>Tableau1014[[#This Row],[juin-24]]-Tableau1014[[#This Row],[avr-24]]</f>
        <v>1226</v>
      </c>
    </row>
    <row r="154" spans="1:49" x14ac:dyDescent="0.3">
      <c r="A154" s="266"/>
      <c r="B154" s="266" t="s">
        <v>399</v>
      </c>
      <c r="C154" s="255"/>
      <c r="D154" s="255"/>
      <c r="E154" s="255"/>
      <c r="F154" s="255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267"/>
      <c r="AI154" s="208" t="e">
        <f>(Tableau1014[[#This Row],[mars-20]]-Tableau1014[[#This Row],[dec-19]])/Tableau1014[[#This Row],[dec-19]]</f>
        <v>#DIV/0!</v>
      </c>
      <c r="AJ154" s="216">
        <f>Tableau1014[[#This Row],[mars-20]]-Tableau1014[[#This Row],[dec-19]]</f>
        <v>0</v>
      </c>
      <c r="AK154" s="88"/>
      <c r="AL154" s="212"/>
      <c r="AM154" s="212"/>
      <c r="AN154" s="212"/>
      <c r="AO154" s="212">
        <v>0</v>
      </c>
      <c r="AP154" s="212">
        <v>0</v>
      </c>
      <c r="AQ154" s="212">
        <v>0</v>
      </c>
      <c r="AR154" s="212">
        <v>0</v>
      </c>
      <c r="AS154" s="212">
        <v>4008</v>
      </c>
      <c r="AT154" s="212">
        <v>4050</v>
      </c>
      <c r="AU154" s="212"/>
      <c r="AV154" s="554">
        <f>(Tableau1014[[#This Row],[juin-24]]-Tableau1014[[#This Row],[avr-24]])/Tableau1014[[#This Row],[avr-24]]</f>
        <v>1.0479041916167664E-2</v>
      </c>
      <c r="AW154" s="548">
        <f>Tableau1014[[#This Row],[juin-24]]-Tableau1014[[#This Row],[avr-24]]</f>
        <v>42</v>
      </c>
    </row>
    <row r="155" spans="1:49" x14ac:dyDescent="0.3">
      <c r="A155" s="169"/>
      <c r="B155" s="164" t="s">
        <v>303</v>
      </c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148"/>
      <c r="AI155" s="208"/>
      <c r="AJ155" s="216"/>
      <c r="AK155" s="2"/>
      <c r="AL155" s="2"/>
      <c r="AM155" s="2"/>
      <c r="AN155" s="2"/>
      <c r="AO155" s="2">
        <v>0</v>
      </c>
      <c r="AP155" s="2">
        <v>93151</v>
      </c>
      <c r="AQ155" s="2">
        <v>92590</v>
      </c>
      <c r="AR155" s="2">
        <v>93500</v>
      </c>
      <c r="AS155" s="2">
        <v>92721</v>
      </c>
      <c r="AT155" s="2">
        <v>92801</v>
      </c>
      <c r="AU155" s="2"/>
      <c r="AV155" s="554">
        <f>(Tableau1014[[#This Row],[juin-24]]-Tableau1014[[#This Row],[avr-24]])/Tableau1014[[#This Row],[avr-24]]</f>
        <v>8.6280346415590857E-4</v>
      </c>
      <c r="AW155" s="548">
        <f>Tableau1014[[#This Row],[juin-24]]-Tableau1014[[#This Row],[avr-24]]</f>
        <v>80</v>
      </c>
    </row>
    <row r="156" spans="1:49" x14ac:dyDescent="0.3">
      <c r="A156" s="183"/>
      <c r="B156" s="164" t="s">
        <v>205</v>
      </c>
      <c r="C156" s="184"/>
      <c r="D156" s="184"/>
      <c r="E156" s="184"/>
      <c r="F156" s="184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>
        <v>9142</v>
      </c>
      <c r="AF156" s="88"/>
      <c r="AG156" s="88"/>
      <c r="AH156" s="217"/>
      <c r="AI156" s="208"/>
      <c r="AJ156" s="216"/>
      <c r="AM156" s="1">
        <v>14573</v>
      </c>
      <c r="AN156" s="1">
        <v>15220</v>
      </c>
      <c r="AO156" s="1">
        <v>16473</v>
      </c>
      <c r="AP156" s="2">
        <v>23300</v>
      </c>
      <c r="AQ156" s="2">
        <v>23503</v>
      </c>
      <c r="AR156" s="2">
        <v>30200</v>
      </c>
      <c r="AS156" s="2">
        <v>31336</v>
      </c>
      <c r="AT156" s="2">
        <v>31486</v>
      </c>
      <c r="AU156" s="2"/>
      <c r="AV156" s="554">
        <f>(Tableau1014[[#This Row],[juin-24]]-Tableau1014[[#This Row],[avr-24]])/Tableau1014[[#This Row],[avr-24]]</f>
        <v>4.7868266530508045E-3</v>
      </c>
      <c r="AW156" s="548">
        <f>Tableau1014[[#This Row],[juin-24]]-Tableau1014[[#This Row],[avr-24]]</f>
        <v>150</v>
      </c>
    </row>
    <row r="157" spans="1:49" x14ac:dyDescent="0.3">
      <c r="A157" s="169"/>
      <c r="B157" s="164" t="s">
        <v>267</v>
      </c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148"/>
      <c r="AI157" s="208"/>
      <c r="AJ157" s="216"/>
      <c r="AK157" s="2"/>
      <c r="AL157" s="2"/>
      <c r="AM157" s="2"/>
      <c r="AN157" s="2">
        <v>15908</v>
      </c>
      <c r="AO157" s="2">
        <v>16350</v>
      </c>
      <c r="AP157" s="2">
        <v>17067</v>
      </c>
      <c r="AQ157" s="2">
        <v>16776</v>
      </c>
      <c r="AR157" s="2">
        <v>16600</v>
      </c>
      <c r="AS157" s="2">
        <v>16396</v>
      </c>
      <c r="AT157" s="2">
        <v>16333</v>
      </c>
      <c r="AU157" s="2"/>
      <c r="AV157" s="554">
        <f>(Tableau1014[[#This Row],[juin-24]]-Tableau1014[[#This Row],[avr-24]])/Tableau1014[[#This Row],[avr-24]]</f>
        <v>-3.8424005855086608E-3</v>
      </c>
      <c r="AW157" s="548">
        <f>Tableau1014[[#This Row],[juin-24]]-Tableau1014[[#This Row],[avr-24]]</f>
        <v>-63</v>
      </c>
    </row>
    <row r="158" spans="1:49" x14ac:dyDescent="0.3">
      <c r="A158" s="169">
        <v>4</v>
      </c>
      <c r="B158" s="163" t="s">
        <v>90</v>
      </c>
      <c r="C158" s="104">
        <v>1328587</v>
      </c>
      <c r="D158" s="104">
        <v>1343709</v>
      </c>
      <c r="E158" s="104">
        <v>1385846</v>
      </c>
      <c r="F158" s="104">
        <v>1398855</v>
      </c>
      <c r="G158" s="104">
        <v>1411481</v>
      </c>
      <c r="H158" s="104">
        <v>1419911</v>
      </c>
      <c r="I158" s="104">
        <v>1420819</v>
      </c>
      <c r="J158" s="104">
        <v>1430518</v>
      </c>
      <c r="K158" s="104">
        <v>1431419</v>
      </c>
      <c r="L158" s="104">
        <v>1434176</v>
      </c>
      <c r="M158" s="104">
        <v>1436956</v>
      </c>
      <c r="N158" s="104">
        <v>1440734</v>
      </c>
      <c r="O158" s="104">
        <v>1439677</v>
      </c>
      <c r="P158" s="104">
        <v>1439185</v>
      </c>
      <c r="Q158" s="104">
        <v>1423392</v>
      </c>
      <c r="R158" s="104">
        <v>1423485</v>
      </c>
      <c r="S158" s="104">
        <v>1423496</v>
      </c>
      <c r="T158" s="104">
        <v>1429224</v>
      </c>
      <c r="U158" s="104">
        <v>1419267</v>
      </c>
      <c r="V158" s="104">
        <v>1417328</v>
      </c>
      <c r="W158" s="104">
        <v>1414632</v>
      </c>
      <c r="X158" s="104">
        <v>1412050</v>
      </c>
      <c r="Y158" s="104">
        <v>1410845</v>
      </c>
      <c r="Z158" s="104">
        <v>1409858</v>
      </c>
      <c r="AA158" s="104">
        <v>1408111</v>
      </c>
      <c r="AB158" s="104">
        <v>1407495</v>
      </c>
      <c r="AC158" s="104">
        <v>1413152</v>
      </c>
      <c r="AD158" s="104">
        <v>1412119</v>
      </c>
      <c r="AE158" s="104">
        <v>1410540</v>
      </c>
      <c r="AF158" s="104">
        <v>1409270</v>
      </c>
      <c r="AG158" s="104">
        <v>1406888</v>
      </c>
      <c r="AH158" s="148">
        <v>1398924</v>
      </c>
      <c r="AI158" s="208">
        <f>(Tableau1014[[#This Row],[mars-20]]-Tableau1014[[#This Row],[dec-19]])/Tableau1014[[#This Row],[dec-19]]</f>
        <v>-5.6607206828119937E-3</v>
      </c>
      <c r="AJ158" s="216">
        <f>Tableau1014[[#This Row],[mars-20]]-Tableau1014[[#This Row],[dec-19]]</f>
        <v>-7964</v>
      </c>
      <c r="AK158" s="2">
        <v>1379451</v>
      </c>
      <c r="AL158" s="2">
        <v>1379003</v>
      </c>
      <c r="AM158" s="2">
        <v>1371237</v>
      </c>
      <c r="AN158" s="2">
        <v>1369565</v>
      </c>
      <c r="AO158" s="2">
        <v>1368383</v>
      </c>
      <c r="AP158" s="2">
        <v>1371512</v>
      </c>
      <c r="AQ158" s="2">
        <v>1358568</v>
      </c>
      <c r="AR158" s="2">
        <v>1334470</v>
      </c>
      <c r="AS158" s="2">
        <v>1318000</v>
      </c>
      <c r="AT158" s="2">
        <v>1315062</v>
      </c>
      <c r="AU158" s="2"/>
      <c r="AV158" s="554">
        <f>(Tableau1014[[#This Row],[juin-24]]-Tableau1014[[#This Row],[avr-24]])/Tableau1014[[#This Row],[avr-24]]</f>
        <v>-2.2291350531107737E-3</v>
      </c>
      <c r="AW158" s="548">
        <f>Tableau1014[[#This Row],[juin-24]]-Tableau1014[[#This Row],[avr-24]]</f>
        <v>-2938</v>
      </c>
    </row>
    <row r="159" spans="1:49" ht="15" customHeight="1" x14ac:dyDescent="0.3">
      <c r="A159" s="169"/>
      <c r="B159" s="171" t="s">
        <v>260</v>
      </c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148"/>
      <c r="AI159" s="208"/>
      <c r="AJ159" s="216"/>
      <c r="AK159" s="2"/>
      <c r="AL159" s="2"/>
      <c r="AM159" s="2"/>
      <c r="AN159" s="2">
        <v>17640</v>
      </c>
      <c r="AO159" s="2">
        <v>18621</v>
      </c>
      <c r="AP159" s="2">
        <v>20263</v>
      </c>
      <c r="AQ159" s="2">
        <v>20534</v>
      </c>
      <c r="AR159" s="2">
        <v>28700</v>
      </c>
      <c r="AS159" s="2">
        <v>28500</v>
      </c>
      <c r="AT159" s="2">
        <v>28590</v>
      </c>
      <c r="AU159" s="2"/>
      <c r="AV159" s="554">
        <f>(Tableau1014[[#This Row],[juin-24]]-Tableau1014[[#This Row],[avr-24]])/Tableau1014[[#This Row],[avr-24]]</f>
        <v>3.1578947368421052E-3</v>
      </c>
      <c r="AW159" s="548">
        <f>Tableau1014[[#This Row],[juin-24]]-Tableau1014[[#This Row],[avr-24]]</f>
        <v>90</v>
      </c>
    </row>
    <row r="160" spans="1:49" x14ac:dyDescent="0.3">
      <c r="A160" s="169">
        <v>22</v>
      </c>
      <c r="B160" s="163" t="s">
        <v>145</v>
      </c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>
        <v>67466</v>
      </c>
      <c r="R160" s="88">
        <v>68440</v>
      </c>
      <c r="S160" s="88">
        <v>68878</v>
      </c>
      <c r="T160" s="88">
        <v>69391</v>
      </c>
      <c r="U160" s="88">
        <v>69946</v>
      </c>
      <c r="V160" s="88">
        <v>70780</v>
      </c>
      <c r="W160" s="88">
        <v>72287</v>
      </c>
      <c r="X160" s="88">
        <v>73215</v>
      </c>
      <c r="Y160" s="88">
        <v>73790</v>
      </c>
      <c r="Z160" s="88">
        <v>89029</v>
      </c>
      <c r="AA160" s="88">
        <v>91798</v>
      </c>
      <c r="AB160" s="88">
        <v>93506</v>
      </c>
      <c r="AC160" s="88">
        <v>96074</v>
      </c>
      <c r="AD160" s="88">
        <v>98497</v>
      </c>
      <c r="AE160" s="88">
        <v>100720</v>
      </c>
      <c r="AF160" s="88">
        <v>101055</v>
      </c>
      <c r="AG160" s="88">
        <v>103840</v>
      </c>
      <c r="AH160" s="148">
        <v>107842</v>
      </c>
      <c r="AI160" s="208">
        <f>(Tableau1014[[#This Row],[mars-20]]-Tableau1014[[#This Row],[dec-19]])/Tableau1014[[#This Row],[dec-19]]</f>
        <v>3.8540061633281969E-2</v>
      </c>
      <c r="AJ160" s="216">
        <f>Tableau1014[[#This Row],[mars-20]]-Tableau1014[[#This Row],[dec-19]]</f>
        <v>4002</v>
      </c>
      <c r="AK160" s="2">
        <v>114995</v>
      </c>
      <c r="AL160" s="2">
        <v>120215</v>
      </c>
      <c r="AM160" s="2">
        <v>174211</v>
      </c>
      <c r="AN160" s="2">
        <v>179634</v>
      </c>
      <c r="AO160" s="2">
        <v>184195</v>
      </c>
      <c r="AP160" s="2">
        <v>205008</v>
      </c>
      <c r="AQ160" s="2">
        <v>205441</v>
      </c>
      <c r="AR160" s="2">
        <v>220300</v>
      </c>
      <c r="AS160" s="2">
        <v>226585</v>
      </c>
      <c r="AT160" s="2">
        <v>228241</v>
      </c>
      <c r="AU160" s="2"/>
      <c r="AV160" s="554">
        <f>(Tableau1014[[#This Row],[juin-24]]-Tableau1014[[#This Row],[avr-24]])/Tableau1014[[#This Row],[avr-24]]</f>
        <v>7.3085155681090978E-3</v>
      </c>
      <c r="AW160" s="548">
        <f>Tableau1014[[#This Row],[juin-24]]-Tableau1014[[#This Row],[avr-24]]</f>
        <v>1656</v>
      </c>
    </row>
    <row r="161" spans="1:49" x14ac:dyDescent="0.3">
      <c r="A161" s="183"/>
      <c r="B161" s="164" t="s">
        <v>308</v>
      </c>
      <c r="C161" s="184"/>
      <c r="D161" s="184"/>
      <c r="E161" s="184"/>
      <c r="F161" s="184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217"/>
      <c r="AI161" s="208"/>
      <c r="AJ161" s="216"/>
      <c r="AM161" s="1"/>
      <c r="AN161" s="1"/>
      <c r="AO161" s="1">
        <v>0</v>
      </c>
      <c r="AP161" s="2">
        <v>45000</v>
      </c>
      <c r="AQ161" s="2">
        <v>44992</v>
      </c>
      <c r="AR161" s="2">
        <v>45500</v>
      </c>
      <c r="AS161" s="2">
        <v>45384</v>
      </c>
      <c r="AT161" s="2">
        <v>45514</v>
      </c>
      <c r="AU161" s="2"/>
      <c r="AV161" s="554">
        <f>(Tableau1014[[#This Row],[juin-24]]-Tableau1014[[#This Row],[avr-24]])/Tableau1014[[#This Row],[avr-24]]</f>
        <v>2.8644456196016219E-3</v>
      </c>
      <c r="AW161" s="548">
        <f>Tableau1014[[#This Row],[juin-24]]-Tableau1014[[#This Row],[avr-24]]</f>
        <v>130</v>
      </c>
    </row>
    <row r="162" spans="1:49" x14ac:dyDescent="0.3">
      <c r="A162" s="266"/>
      <c r="B162" s="266" t="s">
        <v>397</v>
      </c>
      <c r="C162" s="255"/>
      <c r="D162" s="255"/>
      <c r="E162" s="255"/>
      <c r="F162" s="255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536"/>
      <c r="AI162" s="208" t="e">
        <f>(Tableau1014[[#This Row],[mars-20]]-Tableau1014[[#This Row],[dec-19]])/Tableau1014[[#This Row],[dec-19]]</f>
        <v>#DIV/0!</v>
      </c>
      <c r="AJ162" s="216">
        <f>Tableau1014[[#This Row],[mars-20]]-Tableau1014[[#This Row],[dec-19]]</f>
        <v>0</v>
      </c>
      <c r="AK162" s="2"/>
      <c r="AL162" s="2"/>
      <c r="AM162" s="2"/>
      <c r="AN162" s="2"/>
      <c r="AO162" s="2">
        <v>0</v>
      </c>
      <c r="AP162" s="2">
        <v>0</v>
      </c>
      <c r="AQ162" s="2">
        <v>0</v>
      </c>
      <c r="AR162" s="2">
        <v>0</v>
      </c>
      <c r="AS162" s="2">
        <v>7322</v>
      </c>
      <c r="AT162" s="2">
        <v>7441</v>
      </c>
      <c r="AU162" s="2"/>
      <c r="AV162" s="554">
        <f>(Tableau1014[[#This Row],[juin-24]]-Tableau1014[[#This Row],[avr-24]])/Tableau1014[[#This Row],[avr-24]]</f>
        <v>1.6252390057361378E-2</v>
      </c>
      <c r="AW162" s="548">
        <f>Tableau1014[[#This Row],[juin-24]]-Tableau1014[[#This Row],[avr-24]]</f>
        <v>119</v>
      </c>
    </row>
    <row r="163" spans="1:49" x14ac:dyDescent="0.3">
      <c r="A163" s="169">
        <v>12</v>
      </c>
      <c r="B163" s="163" t="s">
        <v>114</v>
      </c>
      <c r="C163" s="88"/>
      <c r="D163" s="88"/>
      <c r="E163" s="88"/>
      <c r="F163" s="88"/>
      <c r="G163" s="88"/>
      <c r="H163" s="88"/>
      <c r="I163" s="88"/>
      <c r="J163" s="88"/>
      <c r="K163" s="88">
        <v>108987</v>
      </c>
      <c r="L163" s="88">
        <v>110324</v>
      </c>
      <c r="M163" s="88">
        <v>112076</v>
      </c>
      <c r="N163" s="88">
        <v>113103</v>
      </c>
      <c r="O163" s="88">
        <v>113595</v>
      </c>
      <c r="P163" s="88">
        <v>114625</v>
      </c>
      <c r="Q163" s="88">
        <v>119191</v>
      </c>
      <c r="R163" s="88">
        <v>121676</v>
      </c>
      <c r="S163" s="88">
        <v>122956</v>
      </c>
      <c r="T163" s="88">
        <v>123494</v>
      </c>
      <c r="U163" s="88">
        <v>123496</v>
      </c>
      <c r="V163" s="88">
        <v>123741</v>
      </c>
      <c r="W163" s="88">
        <v>123698</v>
      </c>
      <c r="X163" s="88">
        <v>123825</v>
      </c>
      <c r="Y163" s="88">
        <v>124700</v>
      </c>
      <c r="Z163" s="88">
        <v>125392</v>
      </c>
      <c r="AA163" s="88">
        <v>125989</v>
      </c>
      <c r="AB163" s="88">
        <v>127106</v>
      </c>
      <c r="AC163" s="88">
        <v>130831</v>
      </c>
      <c r="AD163" s="88">
        <v>131943</v>
      </c>
      <c r="AE163" s="88">
        <v>132174</v>
      </c>
      <c r="AF163" s="88">
        <v>132535</v>
      </c>
      <c r="AG163" s="88">
        <v>132445</v>
      </c>
      <c r="AH163" s="148">
        <v>131939</v>
      </c>
      <c r="AI163" s="179">
        <f>(Tableau1014[[#This Row],[mars-20]]-Tableau1014[[#This Row],[dec-19]])/Tableau1014[[#This Row],[dec-19]]</f>
        <v>-3.8204537732643741E-3</v>
      </c>
      <c r="AJ163" s="148">
        <f>Tableau1014[[#This Row],[mars-20]]-Tableau1014[[#This Row],[dec-19]]</f>
        <v>-506</v>
      </c>
      <c r="AK163" s="2">
        <v>142491</v>
      </c>
      <c r="AL163" s="2">
        <v>144736</v>
      </c>
      <c r="AM163" s="2">
        <v>153421</v>
      </c>
      <c r="AN163" s="2">
        <v>154344</v>
      </c>
      <c r="AO163" s="2">
        <v>156389</v>
      </c>
      <c r="AP163" s="2">
        <v>158758</v>
      </c>
      <c r="AQ163" s="2">
        <v>157079</v>
      </c>
      <c r="AR163" s="2">
        <v>159000</v>
      </c>
      <c r="AS163" s="2">
        <v>157711</v>
      </c>
      <c r="AT163" s="2">
        <v>157550</v>
      </c>
      <c r="AU163" s="2"/>
      <c r="AV163" s="554">
        <f>(Tableau1014[[#This Row],[juin-24]]-Tableau1014[[#This Row],[avr-24]])/Tableau1014[[#This Row],[avr-24]]</f>
        <v>-1.0208546011375237E-3</v>
      </c>
      <c r="AW163" s="548">
        <f>Tableau1014[[#This Row],[juin-24]]-Tableau1014[[#This Row],[avr-24]]</f>
        <v>-161</v>
      </c>
    </row>
    <row r="164" spans="1:49" x14ac:dyDescent="0.3">
      <c r="A164" s="169">
        <v>33</v>
      </c>
      <c r="B164" s="163" t="s">
        <v>159</v>
      </c>
      <c r="C164" s="110"/>
      <c r="D164" s="110"/>
      <c r="E164" s="110"/>
      <c r="F164" s="110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>
        <v>72008</v>
      </c>
      <c r="U164" s="88">
        <v>73264</v>
      </c>
      <c r="V164" s="88">
        <v>74058</v>
      </c>
      <c r="W164" s="88">
        <v>75098</v>
      </c>
      <c r="X164" s="88">
        <v>78100</v>
      </c>
      <c r="Y164" s="88">
        <v>80565</v>
      </c>
      <c r="Z164" s="88">
        <v>82015</v>
      </c>
      <c r="AA164" s="88">
        <v>89057</v>
      </c>
      <c r="AB164" s="88">
        <v>91086</v>
      </c>
      <c r="AC164" s="88">
        <v>99851</v>
      </c>
      <c r="AD164" s="88">
        <v>103951</v>
      </c>
      <c r="AE164" s="88">
        <v>109112</v>
      </c>
      <c r="AF164" s="88">
        <v>109631</v>
      </c>
      <c r="AG164" s="88">
        <v>109862</v>
      </c>
      <c r="AH164" s="148">
        <v>109758</v>
      </c>
      <c r="AI164" s="179">
        <f>(Tableau1014[[#This Row],[mars-20]]-Tableau1014[[#This Row],[dec-19]])/Tableau1014[[#This Row],[dec-19]]</f>
        <v>-9.4664215106224174E-4</v>
      </c>
      <c r="AJ164" s="148">
        <f>Tableau1014[[#This Row],[mars-20]]-Tableau1014[[#This Row],[dec-19]]</f>
        <v>-104</v>
      </c>
      <c r="AK164" s="2">
        <v>126631</v>
      </c>
      <c r="AL164" s="2">
        <v>129416</v>
      </c>
      <c r="AM164" s="2">
        <v>149426</v>
      </c>
      <c r="AN164" s="2">
        <v>154080</v>
      </c>
      <c r="AO164" s="2">
        <v>155769</v>
      </c>
      <c r="AP164" s="2">
        <v>159705</v>
      </c>
      <c r="AQ164" s="2">
        <v>160051</v>
      </c>
      <c r="AR164" s="2">
        <v>160700</v>
      </c>
      <c r="AS164" s="2">
        <v>159723</v>
      </c>
      <c r="AT164" s="2">
        <v>159598</v>
      </c>
      <c r="AU164" s="2"/>
      <c r="AV164" s="554">
        <f>(Tableau1014[[#This Row],[juin-24]]-Tableau1014[[#This Row],[avr-24]])/Tableau1014[[#This Row],[avr-24]]</f>
        <v>-7.8260488470664844E-4</v>
      </c>
      <c r="AW164" s="548">
        <f>Tableau1014[[#This Row],[juin-24]]-Tableau1014[[#This Row],[avr-24]]</f>
        <v>-125</v>
      </c>
    </row>
    <row r="165" spans="1:49" x14ac:dyDescent="0.3">
      <c r="A165" s="169"/>
      <c r="B165" s="163" t="s">
        <v>312</v>
      </c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217"/>
      <c r="AI165" s="179"/>
      <c r="AJ165" s="148"/>
      <c r="AM165" s="1"/>
      <c r="AN165" s="1"/>
      <c r="AO165" s="1"/>
      <c r="AP165" s="2">
        <v>68229</v>
      </c>
      <c r="AQ165" s="2">
        <v>67616</v>
      </c>
      <c r="AR165" s="2">
        <v>67900</v>
      </c>
      <c r="AS165" s="2">
        <v>67966</v>
      </c>
      <c r="AT165" s="2">
        <v>67554</v>
      </c>
      <c r="AU165" s="2"/>
      <c r="AV165" s="554">
        <f>(Tableau1014[[#This Row],[juin-24]]-Tableau1014[[#This Row],[avr-24]])/Tableau1014[[#This Row],[avr-24]]</f>
        <v>-6.0618544566400845E-3</v>
      </c>
      <c r="AW165" s="548">
        <f>Tableau1014[[#This Row],[juin-24]]-Tableau1014[[#This Row],[avr-24]]</f>
        <v>-412</v>
      </c>
    </row>
    <row r="166" spans="1:49" x14ac:dyDescent="0.3">
      <c r="A166" s="266"/>
      <c r="B166" s="164" t="s">
        <v>315</v>
      </c>
      <c r="C166" s="255"/>
      <c r="D166" s="255"/>
      <c r="E166" s="255"/>
      <c r="F166" s="255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267"/>
      <c r="AI166" s="179"/>
      <c r="AJ166" s="148"/>
      <c r="AM166" s="1"/>
      <c r="AN166" s="1"/>
      <c r="AO166" s="1"/>
      <c r="AP166" s="2">
        <v>42199</v>
      </c>
      <c r="AQ166" s="2">
        <v>41763</v>
      </c>
      <c r="AR166" s="2">
        <v>40700</v>
      </c>
      <c r="AS166" s="2">
        <v>40074</v>
      </c>
      <c r="AT166" s="2">
        <v>39937</v>
      </c>
      <c r="AU166" s="2"/>
      <c r="AV166" s="554">
        <f>(Tableau1014[[#This Row],[juin-24]]-Tableau1014[[#This Row],[avr-24]])/Tableau1014[[#This Row],[avr-24]]</f>
        <v>-3.418675450416729E-3</v>
      </c>
      <c r="AW166" s="548">
        <f>Tableau1014[[#This Row],[juin-24]]-Tableau1014[[#This Row],[avr-24]]</f>
        <v>-137</v>
      </c>
    </row>
    <row r="167" spans="1:49" x14ac:dyDescent="0.3">
      <c r="A167" s="169">
        <v>3</v>
      </c>
      <c r="B167" s="163" t="s">
        <v>89</v>
      </c>
      <c r="C167" s="104">
        <v>778184</v>
      </c>
      <c r="D167" s="104">
        <v>799861</v>
      </c>
      <c r="E167" s="104">
        <v>865913</v>
      </c>
      <c r="F167" s="104">
        <v>874849</v>
      </c>
      <c r="G167" s="104">
        <v>881265</v>
      </c>
      <c r="H167" s="104">
        <v>886228</v>
      </c>
      <c r="I167" s="104">
        <v>888978</v>
      </c>
      <c r="J167" s="104">
        <v>892777</v>
      </c>
      <c r="K167" s="104">
        <v>895823</v>
      </c>
      <c r="L167" s="104">
        <v>904128</v>
      </c>
      <c r="M167" s="104">
        <v>912728</v>
      </c>
      <c r="N167" s="104">
        <v>919588</v>
      </c>
      <c r="O167" s="104">
        <v>947348</v>
      </c>
      <c r="P167" s="104">
        <v>957471</v>
      </c>
      <c r="Q167" s="104">
        <v>984443</v>
      </c>
      <c r="R167" s="104">
        <v>999323</v>
      </c>
      <c r="S167" s="104">
        <v>1017884</v>
      </c>
      <c r="T167" s="104">
        <v>1028984</v>
      </c>
      <c r="U167" s="104">
        <v>1036176</v>
      </c>
      <c r="V167" s="104">
        <v>1041643</v>
      </c>
      <c r="W167" s="104">
        <v>1050724</v>
      </c>
      <c r="X167" s="104">
        <v>1065245</v>
      </c>
      <c r="Y167" s="104">
        <v>1072200</v>
      </c>
      <c r="Z167" s="104">
        <v>1074582</v>
      </c>
      <c r="AA167" s="104">
        <v>1081080</v>
      </c>
      <c r="AB167" s="104">
        <v>1086777</v>
      </c>
      <c r="AC167" s="104">
        <v>1114191</v>
      </c>
      <c r="AD167" s="104">
        <v>1144370</v>
      </c>
      <c r="AE167" s="104">
        <v>1158317</v>
      </c>
      <c r="AF167" s="104">
        <v>1163397</v>
      </c>
      <c r="AG167" s="104">
        <v>1168756</v>
      </c>
      <c r="AH167" s="148">
        <v>1179791</v>
      </c>
      <c r="AI167" s="179">
        <f>(Tableau1014[[#This Row],[mars-20]]-Tableau1014[[#This Row],[dec-19]])/Tableau1014[[#This Row],[dec-19]]</f>
        <v>9.4416627593783484E-3</v>
      </c>
      <c r="AJ167" s="148">
        <f>Tableau1014[[#This Row],[mars-20]]-Tableau1014[[#This Row],[dec-19]]</f>
        <v>11035</v>
      </c>
      <c r="AK167" s="2">
        <v>1244218</v>
      </c>
      <c r="AL167" s="2">
        <v>1251902</v>
      </c>
      <c r="AM167" s="2">
        <v>1273981</v>
      </c>
      <c r="AN167" s="2">
        <v>1284980</v>
      </c>
      <c r="AO167" s="2">
        <v>1289875</v>
      </c>
      <c r="AP167" s="2">
        <v>1310923</v>
      </c>
      <c r="AQ167" s="2">
        <v>1314460</v>
      </c>
      <c r="AR167" s="2">
        <v>1200000</v>
      </c>
      <c r="AS167" s="2">
        <v>1296700</v>
      </c>
      <c r="AT167" s="2">
        <v>1286438</v>
      </c>
      <c r="AU167" s="2"/>
      <c r="AV167" s="554">
        <f>(Tableau1014[[#This Row],[juin-24]]-Tableau1014[[#This Row],[avr-24]])/Tableau1014[[#This Row],[avr-24]]</f>
        <v>-7.9139353744119689E-3</v>
      </c>
      <c r="AW167" s="548">
        <f>Tableau1014[[#This Row],[juin-24]]-Tableau1014[[#This Row],[avr-24]]</f>
        <v>-10262</v>
      </c>
    </row>
    <row r="168" spans="1:49" x14ac:dyDescent="0.3">
      <c r="A168" s="169">
        <v>20</v>
      </c>
      <c r="B168" s="163" t="s">
        <v>122</v>
      </c>
      <c r="C168" s="88"/>
      <c r="D168" s="88"/>
      <c r="E168" s="88"/>
      <c r="F168" s="88"/>
      <c r="G168" s="88"/>
      <c r="H168" s="88"/>
      <c r="I168" s="88"/>
      <c r="J168" s="88"/>
      <c r="K168" s="88"/>
      <c r="L168" s="88">
        <v>102302</v>
      </c>
      <c r="M168" s="88">
        <v>103020</v>
      </c>
      <c r="N168" s="88">
        <v>106230</v>
      </c>
      <c r="O168" s="88">
        <v>106078</v>
      </c>
      <c r="P168" s="88">
        <v>106260</v>
      </c>
      <c r="Q168" s="88">
        <v>107338</v>
      </c>
      <c r="R168" s="88">
        <v>107894</v>
      </c>
      <c r="S168" s="88">
        <v>108069</v>
      </c>
      <c r="T168" s="88">
        <v>108438</v>
      </c>
      <c r="U168" s="88">
        <v>108153</v>
      </c>
      <c r="V168" s="88">
        <v>108295</v>
      </c>
      <c r="W168" s="88">
        <v>108294</v>
      </c>
      <c r="X168" s="88">
        <v>108404</v>
      </c>
      <c r="Y168" s="88">
        <v>108580</v>
      </c>
      <c r="Z168" s="88">
        <v>109601</v>
      </c>
      <c r="AA168" s="88">
        <v>109782</v>
      </c>
      <c r="AB168" s="88">
        <v>109863</v>
      </c>
      <c r="AC168" s="88">
        <v>110458</v>
      </c>
      <c r="AD168" s="88">
        <v>110588</v>
      </c>
      <c r="AE168" s="88">
        <v>110578</v>
      </c>
      <c r="AF168" s="88">
        <v>110492</v>
      </c>
      <c r="AG168" s="88">
        <v>110327</v>
      </c>
      <c r="AH168" s="148">
        <v>109901</v>
      </c>
      <c r="AI168" s="179">
        <f>(Tableau1014[[#This Row],[mars-20]]-Tableau1014[[#This Row],[dec-19]])/Tableau1014[[#This Row],[dec-19]]</f>
        <v>-3.8612488330145838E-3</v>
      </c>
      <c r="AJ168" s="148">
        <f>Tableau1014[[#This Row],[mars-20]]-Tableau1014[[#This Row],[dec-19]]</f>
        <v>-426</v>
      </c>
      <c r="AK168" s="2">
        <v>109819</v>
      </c>
      <c r="AL168" s="2">
        <v>109905</v>
      </c>
      <c r="AM168" s="2">
        <v>107917</v>
      </c>
      <c r="AN168" s="2">
        <v>107369</v>
      </c>
      <c r="AO168" s="2">
        <v>107333</v>
      </c>
      <c r="AP168" s="2">
        <v>107267</v>
      </c>
      <c r="AQ168" s="2">
        <v>106125</v>
      </c>
      <c r="AR168" s="2">
        <v>103800</v>
      </c>
      <c r="AS168" s="2">
        <v>102046</v>
      </c>
      <c r="AT168" s="2">
        <v>101750</v>
      </c>
      <c r="AU168" s="2"/>
      <c r="AV168" s="554">
        <f>(Tableau1014[[#This Row],[juin-24]]-Tableau1014[[#This Row],[avr-24]])/Tableau1014[[#This Row],[avr-24]]</f>
        <v>-2.9006526468455403E-3</v>
      </c>
      <c r="AW168" s="548">
        <f>Tableau1014[[#This Row],[juin-24]]-Tableau1014[[#This Row],[avr-24]]</f>
        <v>-296</v>
      </c>
    </row>
    <row r="169" spans="1:49" x14ac:dyDescent="0.3">
      <c r="A169" s="169"/>
      <c r="B169" s="163" t="s">
        <v>311</v>
      </c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217"/>
      <c r="AI169" s="179"/>
      <c r="AJ169" s="148"/>
      <c r="AM169" s="1"/>
      <c r="AN169" s="1"/>
      <c r="AO169" s="1"/>
      <c r="AP169" s="2">
        <v>13549</v>
      </c>
      <c r="AQ169" s="2">
        <v>13682</v>
      </c>
      <c r="AR169" s="2">
        <v>17000</v>
      </c>
      <c r="AS169" s="2">
        <v>17500</v>
      </c>
      <c r="AT169" s="2">
        <v>17696</v>
      </c>
      <c r="AU169" s="2"/>
      <c r="AV169" s="554">
        <f>(Tableau1014[[#This Row],[juin-24]]-Tableau1014[[#This Row],[avr-24]])/Tableau1014[[#This Row],[avr-24]]</f>
        <v>1.12E-2</v>
      </c>
      <c r="AW169" s="548">
        <f>Tableau1014[[#This Row],[juin-24]]-Tableau1014[[#This Row],[avr-24]]</f>
        <v>196</v>
      </c>
    </row>
    <row r="170" spans="1:49" ht="18" customHeight="1" x14ac:dyDescent="0.3">
      <c r="A170" s="169">
        <v>1</v>
      </c>
      <c r="B170" s="163" t="s">
        <v>88</v>
      </c>
      <c r="C170" s="104">
        <v>653238</v>
      </c>
      <c r="D170" s="104">
        <v>673599</v>
      </c>
      <c r="E170" s="104">
        <v>728536</v>
      </c>
      <c r="F170" s="104">
        <v>750201</v>
      </c>
      <c r="G170" s="104">
        <v>770530</v>
      </c>
      <c r="H170" s="104">
        <v>790426</v>
      </c>
      <c r="I170" s="104">
        <v>800770</v>
      </c>
      <c r="J170" s="104">
        <v>819385</v>
      </c>
      <c r="K170" s="104">
        <v>828173</v>
      </c>
      <c r="L170" s="104">
        <v>836838</v>
      </c>
      <c r="M170" s="88">
        <v>845741</v>
      </c>
      <c r="N170" s="88">
        <v>859575</v>
      </c>
      <c r="O170" s="88">
        <v>856978</v>
      </c>
      <c r="P170" s="88">
        <v>859725</v>
      </c>
      <c r="Q170" s="88">
        <v>881392</v>
      </c>
      <c r="R170" s="88">
        <v>885892</v>
      </c>
      <c r="S170" s="88">
        <v>889922</v>
      </c>
      <c r="T170" s="88">
        <v>892555</v>
      </c>
      <c r="U170" s="88">
        <v>890369</v>
      </c>
      <c r="V170" s="88">
        <v>891500</v>
      </c>
      <c r="W170" s="88">
        <v>891881</v>
      </c>
      <c r="X170" s="88">
        <v>892200</v>
      </c>
      <c r="Y170" s="88">
        <v>893085</v>
      </c>
      <c r="Z170" s="88">
        <v>895161</v>
      </c>
      <c r="AA170" s="88">
        <v>896893</v>
      </c>
      <c r="AB170" s="88">
        <v>899727</v>
      </c>
      <c r="AC170" s="88">
        <v>921954</v>
      </c>
      <c r="AD170" s="88">
        <v>927459</v>
      </c>
      <c r="AE170" s="88">
        <v>928770</v>
      </c>
      <c r="AF170" s="88">
        <v>929089</v>
      </c>
      <c r="AG170" s="88">
        <v>928972</v>
      </c>
      <c r="AH170" s="148">
        <v>928272</v>
      </c>
      <c r="AI170" s="208">
        <f>(Tableau1014[[#This Row],[mars-20]]-Tableau1014[[#This Row],[dec-19]])/Tableau1014[[#This Row],[dec-19]]</f>
        <v>-7.5352109643778283E-4</v>
      </c>
      <c r="AJ170" s="216">
        <f>Tableau1014[[#This Row],[mars-20]]-Tableau1014[[#This Row],[dec-19]]</f>
        <v>-700</v>
      </c>
      <c r="AK170" s="2">
        <v>939464</v>
      </c>
      <c r="AL170" s="2">
        <v>944915</v>
      </c>
      <c r="AM170" s="2">
        <v>944477</v>
      </c>
      <c r="AN170" s="2">
        <v>945159</v>
      </c>
      <c r="AO170" s="2">
        <v>944908</v>
      </c>
      <c r="AP170" s="2">
        <v>951980</v>
      </c>
      <c r="AQ170" s="2">
        <v>945107</v>
      </c>
      <c r="AR170" s="2">
        <v>937392</v>
      </c>
      <c r="AS170" s="2">
        <v>927700</v>
      </c>
      <c r="AT170" s="2">
        <v>926528</v>
      </c>
      <c r="AU170" s="2"/>
      <c r="AV170" s="554">
        <f>(Tableau1014[[#This Row],[juin-24]]-Tableau1014[[#This Row],[avr-24]])/Tableau1014[[#This Row],[avr-24]]</f>
        <v>-1.2633394416298371E-3</v>
      </c>
      <c r="AW170" s="548">
        <f>Tableau1014[[#This Row],[juin-24]]-Tableau1014[[#This Row],[avr-24]]</f>
        <v>-1172</v>
      </c>
    </row>
    <row r="171" spans="1:49" ht="18" customHeight="1" x14ac:dyDescent="0.3">
      <c r="A171" s="169">
        <v>11</v>
      </c>
      <c r="B171" s="163" t="s">
        <v>113</v>
      </c>
      <c r="C171" s="88"/>
      <c r="D171" s="88"/>
      <c r="E171" s="88"/>
      <c r="F171" s="88"/>
      <c r="G171" s="88"/>
      <c r="H171" s="88"/>
      <c r="I171" s="88"/>
      <c r="J171" s="88"/>
      <c r="K171" s="88">
        <v>216878</v>
      </c>
      <c r="L171" s="88">
        <v>219865</v>
      </c>
      <c r="M171" s="88">
        <v>222956</v>
      </c>
      <c r="N171" s="88">
        <v>225872</v>
      </c>
      <c r="O171" s="88">
        <v>226118</v>
      </c>
      <c r="P171" s="88">
        <v>226119</v>
      </c>
      <c r="Q171" s="88">
        <v>231197</v>
      </c>
      <c r="R171" s="88">
        <v>231905</v>
      </c>
      <c r="S171" s="88">
        <v>232547</v>
      </c>
      <c r="T171" s="88">
        <v>233674</v>
      </c>
      <c r="U171" s="88">
        <v>233873</v>
      </c>
      <c r="V171" s="88">
        <v>233435</v>
      </c>
      <c r="W171" s="88">
        <v>233604</v>
      </c>
      <c r="X171" s="88">
        <v>233685</v>
      </c>
      <c r="Y171" s="88">
        <v>234245</v>
      </c>
      <c r="Z171" s="88">
        <v>237013</v>
      </c>
      <c r="AA171" s="88">
        <v>237549</v>
      </c>
      <c r="AB171" s="88">
        <v>237939</v>
      </c>
      <c r="AC171" s="88">
        <v>239462</v>
      </c>
      <c r="AD171" s="88">
        <v>240771</v>
      </c>
      <c r="AE171" s="88">
        <v>242385</v>
      </c>
      <c r="AF171" s="88">
        <v>242856</v>
      </c>
      <c r="AG171" s="88">
        <v>242882</v>
      </c>
      <c r="AH171" s="148">
        <v>243034</v>
      </c>
      <c r="AI171" s="208">
        <f>(Tableau1014[[#This Row],[mars-20]]-Tableau1014[[#This Row],[dec-19]])/Tableau1014[[#This Row],[dec-19]]</f>
        <v>6.2581829859767295E-4</v>
      </c>
      <c r="AJ171" s="216">
        <f>Tableau1014[[#This Row],[mars-20]]-Tableau1014[[#This Row],[dec-19]]</f>
        <v>152</v>
      </c>
      <c r="AK171" s="2">
        <v>245719</v>
      </c>
      <c r="AL171" s="2">
        <v>246353</v>
      </c>
      <c r="AM171" s="2">
        <v>245602</v>
      </c>
      <c r="AN171" s="2">
        <v>245834</v>
      </c>
      <c r="AO171" s="2">
        <v>246669</v>
      </c>
      <c r="AP171" s="2">
        <v>249517</v>
      </c>
      <c r="AQ171" s="2">
        <v>248601</v>
      </c>
      <c r="AR171" s="2">
        <v>249500</v>
      </c>
      <c r="AS171" s="2">
        <v>247585</v>
      </c>
      <c r="AT171" s="2">
        <v>247397</v>
      </c>
      <c r="AU171" s="2"/>
      <c r="AV171" s="554">
        <f>(Tableau1014[[#This Row],[juin-24]]-Tableau1014[[#This Row],[avr-24]])/Tableau1014[[#This Row],[avr-24]]</f>
        <v>-7.5933517781771919E-4</v>
      </c>
      <c r="AW171" s="548">
        <f>Tableau1014[[#This Row],[juin-24]]-Tableau1014[[#This Row],[avr-24]]</f>
        <v>-188</v>
      </c>
    </row>
    <row r="172" spans="1:49" ht="18" customHeight="1" x14ac:dyDescent="0.3">
      <c r="A172" s="169">
        <v>36</v>
      </c>
      <c r="B172" s="163" t="s">
        <v>148</v>
      </c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>
        <v>27967</v>
      </c>
      <c r="U172" s="88">
        <v>27996</v>
      </c>
      <c r="V172" s="88">
        <v>28070</v>
      </c>
      <c r="W172" s="88">
        <v>28126</v>
      </c>
      <c r="X172" s="88">
        <v>28195</v>
      </c>
      <c r="Y172" s="88">
        <v>28250</v>
      </c>
      <c r="Z172" s="88">
        <v>28315</v>
      </c>
      <c r="AA172" s="88">
        <v>28411</v>
      </c>
      <c r="AB172" s="88">
        <v>28529</v>
      </c>
      <c r="AC172" s="88">
        <v>29062</v>
      </c>
      <c r="AD172" s="88">
        <v>29216</v>
      </c>
      <c r="AE172" s="88">
        <v>29217</v>
      </c>
      <c r="AF172" s="88">
        <v>29213</v>
      </c>
      <c r="AG172" s="88">
        <v>29185</v>
      </c>
      <c r="AH172" s="148">
        <v>29161</v>
      </c>
      <c r="AI172" s="208">
        <f>(Tableau1014[[#This Row],[mars-20]]-Tableau1014[[#This Row],[dec-19]])/Tableau1014[[#This Row],[dec-19]]</f>
        <v>-8.2234024327565533E-4</v>
      </c>
      <c r="AJ172" s="216">
        <f>Tableau1014[[#This Row],[mars-20]]-Tableau1014[[#This Row],[dec-19]]</f>
        <v>-24</v>
      </c>
      <c r="AK172" s="2">
        <v>31195</v>
      </c>
      <c r="AL172" s="2">
        <v>31321</v>
      </c>
      <c r="AM172" s="2">
        <v>33356</v>
      </c>
      <c r="AN172" s="2">
        <v>33785</v>
      </c>
      <c r="AO172" s="2">
        <v>33958</v>
      </c>
      <c r="AP172" s="2">
        <v>35962</v>
      </c>
      <c r="AQ172" s="2">
        <v>35807</v>
      </c>
      <c r="AR172" s="2">
        <v>40500</v>
      </c>
      <c r="AS172" s="2">
        <v>40947</v>
      </c>
      <c r="AT172" s="2">
        <v>41335</v>
      </c>
      <c r="AU172" s="2"/>
      <c r="AV172" s="554">
        <f>(Tableau1014[[#This Row],[juin-24]]-Tableau1014[[#This Row],[avr-24]])/Tableau1014[[#This Row],[avr-24]]</f>
        <v>9.4756636627835976E-3</v>
      </c>
      <c r="AW172" s="548">
        <f>Tableau1014[[#This Row],[juin-24]]-Tableau1014[[#This Row],[avr-24]]</f>
        <v>388</v>
      </c>
    </row>
    <row r="173" spans="1:49" ht="18" customHeight="1" x14ac:dyDescent="0.3">
      <c r="A173" s="183"/>
      <c r="B173" s="164" t="s">
        <v>202</v>
      </c>
      <c r="C173" s="184"/>
      <c r="D173" s="184"/>
      <c r="E173" s="184"/>
      <c r="F173" s="184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>
        <v>21760</v>
      </c>
      <c r="AD173" s="88">
        <v>24392</v>
      </c>
      <c r="AE173" s="88">
        <v>27433</v>
      </c>
      <c r="AF173" s="88">
        <v>27865</v>
      </c>
      <c r="AG173" s="88">
        <v>27941</v>
      </c>
      <c r="AH173" s="148">
        <v>28637</v>
      </c>
      <c r="AI173" s="208">
        <f>(Tableau1014[[#This Row],[mars-20]]-Tableau1014[[#This Row],[dec-19]])/Tableau1014[[#This Row],[dec-19]]</f>
        <v>2.4909631008195841E-2</v>
      </c>
      <c r="AJ173" s="216">
        <f>Tableau1014[[#This Row],[mars-20]]-Tableau1014[[#This Row],[dec-19]]</f>
        <v>696</v>
      </c>
      <c r="AK173" s="263">
        <v>49242</v>
      </c>
      <c r="AL173" s="263">
        <v>58636</v>
      </c>
      <c r="AM173" s="263">
        <v>95148</v>
      </c>
      <c r="AN173" s="263">
        <v>103552</v>
      </c>
      <c r="AO173" s="263">
        <v>106401</v>
      </c>
      <c r="AP173" s="263">
        <v>125400</v>
      </c>
      <c r="AQ173" s="263">
        <v>126397</v>
      </c>
      <c r="AR173" s="263">
        <v>19800</v>
      </c>
      <c r="AS173" s="263">
        <v>22421</v>
      </c>
      <c r="AT173" s="263">
        <v>23213</v>
      </c>
      <c r="AU173" s="263"/>
      <c r="AV173" s="554">
        <f>(Tableau1014[[#This Row],[juin-24]]-Tableau1014[[#This Row],[avr-24]])/Tableau1014[[#This Row],[avr-24]]</f>
        <v>3.5324026582222022E-2</v>
      </c>
      <c r="AW173" s="548">
        <f>Tableau1014[[#This Row],[juin-24]]-Tableau1014[[#This Row],[avr-24]]</f>
        <v>792</v>
      </c>
    </row>
    <row r="174" spans="1:49" ht="18" customHeight="1" x14ac:dyDescent="0.3">
      <c r="A174" s="169">
        <v>34</v>
      </c>
      <c r="B174" s="163" t="s">
        <v>144</v>
      </c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>
        <v>28333</v>
      </c>
      <c r="U174" s="88">
        <v>28320</v>
      </c>
      <c r="V174" s="88">
        <v>28403</v>
      </c>
      <c r="W174" s="88">
        <v>28460</v>
      </c>
      <c r="X174" s="88">
        <v>28490</v>
      </c>
      <c r="Y174" s="88">
        <v>28420</v>
      </c>
      <c r="Z174" s="88">
        <v>28398</v>
      </c>
      <c r="AA174" s="88">
        <v>29199</v>
      </c>
      <c r="AB174" s="88">
        <v>29598</v>
      </c>
      <c r="AC174" s="88">
        <v>29841</v>
      </c>
      <c r="AD174" s="88">
        <v>30700</v>
      </c>
      <c r="AE174" s="88">
        <v>31064</v>
      </c>
      <c r="AF174" s="88">
        <v>31052</v>
      </c>
      <c r="AG174" s="88">
        <v>31016</v>
      </c>
      <c r="AH174" s="148">
        <v>31228</v>
      </c>
      <c r="AI174" s="208">
        <f>(Tableau1014[[#This Row],[mars-20]]-Tableau1014[[#This Row],[dec-19]])/Tableau1014[[#This Row],[dec-19]]</f>
        <v>6.8351818416301268E-3</v>
      </c>
      <c r="AJ174" s="216">
        <f>Tableau1014[[#This Row],[mars-20]]-Tableau1014[[#This Row],[dec-19]]</f>
        <v>212</v>
      </c>
      <c r="AK174" s="2">
        <v>31804</v>
      </c>
      <c r="AL174" s="2">
        <v>32213</v>
      </c>
      <c r="AM174" s="2">
        <v>33732</v>
      </c>
      <c r="AN174" s="2">
        <v>33979</v>
      </c>
      <c r="AO174" s="2">
        <v>34056</v>
      </c>
      <c r="AP174" s="2">
        <v>35939</v>
      </c>
      <c r="AQ174" s="2">
        <v>35834</v>
      </c>
      <c r="AR174" s="2">
        <v>37300</v>
      </c>
      <c r="AS174" s="2">
        <v>36963</v>
      </c>
      <c r="AT174" s="2">
        <v>37779</v>
      </c>
      <c r="AU174" s="2"/>
      <c r="AV174" s="554">
        <f>(Tableau1014[[#This Row],[juin-24]]-Tableau1014[[#This Row],[avr-24]])/Tableau1014[[#This Row],[avr-24]]</f>
        <v>2.2076130184238291E-2</v>
      </c>
      <c r="AW174" s="548">
        <f>Tableau1014[[#This Row],[juin-24]]-Tableau1014[[#This Row],[avr-24]]</f>
        <v>816</v>
      </c>
    </row>
    <row r="175" spans="1:49" ht="18" customHeight="1" x14ac:dyDescent="0.3">
      <c r="A175" s="169">
        <v>39</v>
      </c>
      <c r="B175" s="163" t="s">
        <v>162</v>
      </c>
      <c r="C175" s="110"/>
      <c r="D175" s="110"/>
      <c r="E175" s="110"/>
      <c r="F175" s="110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>
        <v>11686</v>
      </c>
      <c r="U175" s="88">
        <v>11844</v>
      </c>
      <c r="V175" s="88">
        <v>12585</v>
      </c>
      <c r="W175" s="88">
        <v>14625</v>
      </c>
      <c r="X175" s="88">
        <v>15131</v>
      </c>
      <c r="Y175" s="88">
        <v>15350</v>
      </c>
      <c r="Z175" s="88">
        <v>15652</v>
      </c>
      <c r="AA175" s="88">
        <v>16133</v>
      </c>
      <c r="AB175" s="88">
        <v>17790</v>
      </c>
      <c r="AC175" s="88">
        <v>18732</v>
      </c>
      <c r="AD175" s="88">
        <v>27984</v>
      </c>
      <c r="AE175" s="88">
        <v>31012</v>
      </c>
      <c r="AF175" s="88">
        <v>31647</v>
      </c>
      <c r="AG175" s="88">
        <v>32249</v>
      </c>
      <c r="AH175" s="148">
        <v>36237</v>
      </c>
      <c r="AI175" s="208">
        <f>(Tableau1014[[#This Row],[mars-20]]-Tableau1014[[#This Row],[dec-19]])/Tableau1014[[#This Row],[dec-19]]</f>
        <v>0.12366274923253434</v>
      </c>
      <c r="AJ175" s="216">
        <f>Tableau1014[[#This Row],[mars-20]]-Tableau1014[[#This Row],[dec-19]]</f>
        <v>3988</v>
      </c>
      <c r="AK175" s="2">
        <v>60343</v>
      </c>
      <c r="AL175" s="2">
        <v>66161</v>
      </c>
      <c r="AM175" s="2">
        <v>86740</v>
      </c>
      <c r="AN175" s="2">
        <v>94276</v>
      </c>
      <c r="AO175" s="2">
        <v>97880</v>
      </c>
      <c r="AP175" s="2">
        <v>116800</v>
      </c>
      <c r="AQ175" s="2">
        <v>121457</v>
      </c>
      <c r="AR175" s="2">
        <v>158900</v>
      </c>
      <c r="AS175" s="2">
        <v>164236</v>
      </c>
      <c r="AT175" s="2">
        <v>166184</v>
      </c>
      <c r="AU175" s="2"/>
      <c r="AV175" s="554">
        <f>(Tableau1014[[#This Row],[juin-24]]-Tableau1014[[#This Row],[avr-24]])/Tableau1014[[#This Row],[avr-24]]</f>
        <v>1.1860980540198251E-2</v>
      </c>
      <c r="AW175" s="548">
        <f>Tableau1014[[#This Row],[juin-24]]-Tableau1014[[#This Row],[avr-24]]</f>
        <v>1948</v>
      </c>
    </row>
    <row r="176" spans="1:49" ht="18" customHeight="1" x14ac:dyDescent="0.3">
      <c r="A176" s="54">
        <v>44</v>
      </c>
      <c r="B176" s="164" t="s">
        <v>187</v>
      </c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>
        <v>62140</v>
      </c>
      <c r="AB176" s="88">
        <v>77288</v>
      </c>
      <c r="AC176" s="88">
        <v>78083</v>
      </c>
      <c r="AD176" s="88">
        <v>81100</v>
      </c>
      <c r="AE176" s="88">
        <v>81793</v>
      </c>
      <c r="AF176" s="88">
        <v>82062</v>
      </c>
      <c r="AG176" s="88">
        <v>82118</v>
      </c>
      <c r="AH176" s="148">
        <v>83925</v>
      </c>
      <c r="AI176" s="208">
        <f>(Tableau1014[[#This Row],[mars-20]]-Tableau1014[[#This Row],[dec-19]])/Tableau1014[[#This Row],[dec-19]]</f>
        <v>2.2004919749628583E-2</v>
      </c>
      <c r="AJ176" s="216">
        <f>Tableau1014[[#This Row],[mars-20]]-Tableau1014[[#This Row],[dec-19]]</f>
        <v>1807</v>
      </c>
      <c r="AK176" s="2">
        <v>132685</v>
      </c>
      <c r="AL176" s="2">
        <v>166902</v>
      </c>
      <c r="AM176" s="2">
        <v>278303</v>
      </c>
      <c r="AN176" s="2">
        <v>289756</v>
      </c>
      <c r="AO176" s="2">
        <v>293198</v>
      </c>
      <c r="AP176" s="2">
        <v>314208</v>
      </c>
      <c r="AQ176" s="2">
        <v>316657</v>
      </c>
      <c r="AR176" s="2">
        <v>317000</v>
      </c>
      <c r="AS176" s="2">
        <v>316328</v>
      </c>
      <c r="AT176" s="2">
        <v>317191</v>
      </c>
      <c r="AU176" s="2"/>
      <c r="AV176" s="554">
        <f>(Tableau1014[[#This Row],[juin-24]]-Tableau1014[[#This Row],[avr-24]])/Tableau1014[[#This Row],[avr-24]]</f>
        <v>2.7281808755469008E-3</v>
      </c>
      <c r="AW176" s="548">
        <f>Tableau1014[[#This Row],[juin-24]]-Tableau1014[[#This Row],[avr-24]]</f>
        <v>863</v>
      </c>
    </row>
    <row r="177" spans="1:49" ht="18" customHeight="1" x14ac:dyDescent="0.3">
      <c r="A177" s="169">
        <v>13</v>
      </c>
      <c r="B177" s="163" t="s">
        <v>98</v>
      </c>
      <c r="C177" s="104">
        <v>107470</v>
      </c>
      <c r="D177" s="104">
        <v>111196</v>
      </c>
      <c r="E177" s="104">
        <v>129477</v>
      </c>
      <c r="F177" s="104">
        <v>131882</v>
      </c>
      <c r="G177" s="104">
        <v>133366</v>
      </c>
      <c r="H177" s="104">
        <v>133974</v>
      </c>
      <c r="I177" s="104">
        <v>134253</v>
      </c>
      <c r="J177" s="104">
        <v>135053</v>
      </c>
      <c r="K177" s="104">
        <v>136112</v>
      </c>
      <c r="L177" s="104">
        <v>136479</v>
      </c>
      <c r="M177" s="104">
        <v>136978</v>
      </c>
      <c r="N177" s="104">
        <v>137608</v>
      </c>
      <c r="O177" s="104">
        <v>138270</v>
      </c>
      <c r="P177" s="104">
        <v>138917</v>
      </c>
      <c r="Q177" s="104">
        <v>143342</v>
      </c>
      <c r="R177" s="104">
        <v>144197</v>
      </c>
      <c r="S177" s="104">
        <v>144599</v>
      </c>
      <c r="T177" s="104">
        <v>145112</v>
      </c>
      <c r="U177" s="104">
        <v>144000</v>
      </c>
      <c r="V177" s="104">
        <v>143441</v>
      </c>
      <c r="W177" s="104">
        <v>144015</v>
      </c>
      <c r="X177" s="104">
        <v>144240</v>
      </c>
      <c r="Y177" s="104">
        <v>144420</v>
      </c>
      <c r="Z177" s="104">
        <v>144316</v>
      </c>
      <c r="AA177" s="104">
        <v>144566</v>
      </c>
      <c r="AB177" s="104">
        <v>145859</v>
      </c>
      <c r="AC177" s="104">
        <v>149279</v>
      </c>
      <c r="AD177" s="104">
        <v>149545</v>
      </c>
      <c r="AE177" s="104">
        <v>149352</v>
      </c>
      <c r="AF177" s="104">
        <v>149036</v>
      </c>
      <c r="AG177" s="104">
        <v>148488</v>
      </c>
      <c r="AH177" s="148">
        <v>147559</v>
      </c>
      <c r="AI177" s="208">
        <f>(Tableau1014[[#This Row],[mars-20]]-Tableau1014[[#This Row],[dec-19]])/Tableau1014[[#This Row],[dec-19]]</f>
        <v>-6.2563978233931361E-3</v>
      </c>
      <c r="AJ177" s="216">
        <f>Tableau1014[[#This Row],[mars-20]]-Tableau1014[[#This Row],[dec-19]]</f>
        <v>-929</v>
      </c>
      <c r="AK177" s="2">
        <v>146746</v>
      </c>
      <c r="AL177" s="2">
        <v>146160</v>
      </c>
      <c r="AM177" s="2">
        <v>145340</v>
      </c>
      <c r="AN177" s="2">
        <v>143647</v>
      </c>
      <c r="AO177" s="2">
        <v>143174</v>
      </c>
      <c r="AP177" s="2">
        <v>143200</v>
      </c>
      <c r="AQ177" s="2">
        <v>142009</v>
      </c>
      <c r="AR177" s="2">
        <v>137300</v>
      </c>
      <c r="AS177" s="2">
        <v>135187</v>
      </c>
      <c r="AT177" s="2">
        <v>134685</v>
      </c>
      <c r="AU177" s="2"/>
      <c r="AV177" s="554">
        <f>(Tableau1014[[#This Row],[juin-24]]-Tableau1014[[#This Row],[avr-24]])/Tableau1014[[#This Row],[avr-24]]</f>
        <v>-3.7133748067491698E-3</v>
      </c>
      <c r="AW177" s="548">
        <f>Tableau1014[[#This Row],[juin-24]]-Tableau1014[[#This Row],[avr-24]]</f>
        <v>-502</v>
      </c>
    </row>
    <row r="178" spans="1:49" ht="18" customHeight="1" x14ac:dyDescent="0.3">
      <c r="A178" s="169">
        <v>5</v>
      </c>
      <c r="B178" s="163" t="s">
        <v>100</v>
      </c>
      <c r="C178" s="104"/>
      <c r="D178" s="104"/>
      <c r="E178" s="104">
        <v>722572</v>
      </c>
      <c r="F178" s="104">
        <v>816891</v>
      </c>
      <c r="G178" s="104">
        <v>886426</v>
      </c>
      <c r="H178" s="104">
        <v>950945</v>
      </c>
      <c r="I178" s="104">
        <v>1003874</v>
      </c>
      <c r="J178" s="104">
        <v>1075381</v>
      </c>
      <c r="K178" s="104">
        <v>1100588</v>
      </c>
      <c r="L178" s="104">
        <v>1135824</v>
      </c>
      <c r="M178" s="104">
        <v>1146077</v>
      </c>
      <c r="N178" s="104">
        <v>1161749</v>
      </c>
      <c r="O178" s="104">
        <v>1177720</v>
      </c>
      <c r="P178" s="104">
        <v>1184454</v>
      </c>
      <c r="Q178" s="104">
        <v>1174257</v>
      </c>
      <c r="R178" s="104">
        <v>1181435</v>
      </c>
      <c r="S178" s="104">
        <v>1188169</v>
      </c>
      <c r="T178" s="104">
        <v>1199850</v>
      </c>
      <c r="U178" s="104">
        <v>1192347</v>
      </c>
      <c r="V178" s="104">
        <v>1195128</v>
      </c>
      <c r="W178" s="104">
        <v>1200500</v>
      </c>
      <c r="X178" s="104">
        <v>1206860</v>
      </c>
      <c r="Y178" s="104">
        <v>1215480</v>
      </c>
      <c r="Z178" s="104">
        <v>1218599</v>
      </c>
      <c r="AA178" s="104">
        <v>1222681</v>
      </c>
      <c r="AB178" s="104">
        <v>1225833</v>
      </c>
      <c r="AC178" s="104">
        <v>1248815</v>
      </c>
      <c r="AD178" s="104">
        <v>1272264</v>
      </c>
      <c r="AE178" s="104">
        <v>1283227</v>
      </c>
      <c r="AF178" s="104">
        <v>1285314</v>
      </c>
      <c r="AG178" s="104">
        <v>1291996</v>
      </c>
      <c r="AH178" s="148">
        <v>1298069</v>
      </c>
      <c r="AI178" s="208">
        <f>(Tableau1014[[#This Row],[mars-20]]-Tableau1014[[#This Row],[dec-19]])/Tableau1014[[#This Row],[dec-19]]</f>
        <v>4.7004789488512347E-3</v>
      </c>
      <c r="AJ178" s="216">
        <f>Tableau1014[[#This Row],[mars-20]]-Tableau1014[[#This Row],[dec-19]]</f>
        <v>6073</v>
      </c>
      <c r="AK178" s="2">
        <v>1369837</v>
      </c>
      <c r="AL178" s="2">
        <v>1383125</v>
      </c>
      <c r="AM178" s="2">
        <v>1432714</v>
      </c>
      <c r="AN178" s="2">
        <v>1451896</v>
      </c>
      <c r="AO178" s="2">
        <v>1455789</v>
      </c>
      <c r="AP178" s="2">
        <v>1465379</v>
      </c>
      <c r="AQ178" s="2">
        <v>1473813</v>
      </c>
      <c r="AR178" s="2">
        <v>1471393</v>
      </c>
      <c r="AS178" s="2">
        <v>1486545</v>
      </c>
      <c r="AT178" s="2">
        <v>1485566</v>
      </c>
      <c r="AU178" s="2"/>
      <c r="AV178" s="554">
        <f>(Tableau1014[[#This Row],[juin-24]]-Tableau1014[[#This Row],[avr-24]])/Tableau1014[[#This Row],[avr-24]]</f>
        <v>-6.5857407612954872E-4</v>
      </c>
      <c r="AW178" s="548">
        <f>Tableau1014[[#This Row],[juin-24]]-Tableau1014[[#This Row],[avr-24]]</f>
        <v>-979</v>
      </c>
    </row>
    <row r="179" spans="1:49" ht="18" customHeight="1" x14ac:dyDescent="0.3">
      <c r="A179" s="169">
        <v>17</v>
      </c>
      <c r="B179" s="163" t="s">
        <v>91</v>
      </c>
      <c r="C179" s="104">
        <v>61760</v>
      </c>
      <c r="D179" s="104">
        <v>63492</v>
      </c>
      <c r="E179" s="104">
        <v>78344</v>
      </c>
      <c r="F179" s="104">
        <v>82148</v>
      </c>
      <c r="G179" s="104">
        <v>83815</v>
      </c>
      <c r="H179" s="104">
        <v>85017</v>
      </c>
      <c r="I179" s="104">
        <v>85372</v>
      </c>
      <c r="J179" s="104">
        <v>87288</v>
      </c>
      <c r="K179" s="104">
        <v>87969</v>
      </c>
      <c r="L179" s="104">
        <v>89298</v>
      </c>
      <c r="M179" s="104">
        <v>91337</v>
      </c>
      <c r="N179" s="104">
        <v>93696</v>
      </c>
      <c r="O179" s="104">
        <v>93849</v>
      </c>
      <c r="P179" s="104">
        <v>94752</v>
      </c>
      <c r="Q179" s="104">
        <v>101124</v>
      </c>
      <c r="R179" s="104">
        <v>102126</v>
      </c>
      <c r="S179" s="104">
        <v>102938</v>
      </c>
      <c r="T179" s="104">
        <v>103638</v>
      </c>
      <c r="U179" s="104">
        <v>103727</v>
      </c>
      <c r="V179" s="104">
        <v>103942</v>
      </c>
      <c r="W179" s="104">
        <v>104160</v>
      </c>
      <c r="X179" s="104">
        <v>104460</v>
      </c>
      <c r="Y179" s="104">
        <v>105325</v>
      </c>
      <c r="Z179" s="104">
        <v>105878</v>
      </c>
      <c r="AA179" s="104">
        <v>106168</v>
      </c>
      <c r="AB179" s="104">
        <v>106826</v>
      </c>
      <c r="AC179" s="104">
        <v>113496</v>
      </c>
      <c r="AD179" s="104">
        <v>115381</v>
      </c>
      <c r="AE179" s="104">
        <v>115401</v>
      </c>
      <c r="AF179" s="104">
        <v>115500</v>
      </c>
      <c r="AG179" s="104">
        <v>115518</v>
      </c>
      <c r="AH179" s="148">
        <v>115229</v>
      </c>
      <c r="AI179" s="208">
        <f>(Tableau1014[[#This Row],[mars-20]]-Tableau1014[[#This Row],[dec-19]])/Tableau1014[[#This Row],[dec-19]]</f>
        <v>-2.501774615211482E-3</v>
      </c>
      <c r="AJ179" s="216">
        <f>Tableau1014[[#This Row],[mars-20]]-Tableau1014[[#This Row],[dec-19]]</f>
        <v>-289</v>
      </c>
      <c r="AK179" s="2">
        <v>119981</v>
      </c>
      <c r="AL179" s="2">
        <v>120619</v>
      </c>
      <c r="AM179" s="2">
        <v>122039</v>
      </c>
      <c r="AN179" s="2">
        <v>122305</v>
      </c>
      <c r="AO179" s="2">
        <v>124473</v>
      </c>
      <c r="AP179" s="2">
        <v>129423</v>
      </c>
      <c r="AQ179" s="2">
        <v>129064</v>
      </c>
      <c r="AR179" s="2">
        <v>129300</v>
      </c>
      <c r="AS179" s="2">
        <v>128032</v>
      </c>
      <c r="AT179" s="2">
        <v>128076</v>
      </c>
      <c r="AU179" s="2"/>
      <c r="AV179" s="554">
        <f>(Tableau1014[[#This Row],[juin-24]]-Tableau1014[[#This Row],[avr-24]])/Tableau1014[[#This Row],[avr-24]]</f>
        <v>3.4366408397900526E-4</v>
      </c>
      <c r="AW179" s="548">
        <f>Tableau1014[[#This Row],[juin-24]]-Tableau1014[[#This Row],[avr-24]]</f>
        <v>44</v>
      </c>
    </row>
    <row r="180" spans="1:49" ht="18" customHeight="1" x14ac:dyDescent="0.3">
      <c r="A180" s="170"/>
      <c r="B180" s="164" t="s">
        <v>193</v>
      </c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>
        <v>63961</v>
      </c>
      <c r="AC180" s="88">
        <v>64200</v>
      </c>
      <c r="AD180" s="88">
        <v>64118</v>
      </c>
      <c r="AE180" s="88">
        <v>64093</v>
      </c>
      <c r="AF180" s="88">
        <v>63985</v>
      </c>
      <c r="AG180" s="88">
        <v>63831</v>
      </c>
      <c r="AH180" s="148">
        <v>63587</v>
      </c>
      <c r="AI180" s="208">
        <f>(Tableau1014[[#This Row],[mars-20]]-Tableau1014[[#This Row],[dec-19]])/Tableau1014[[#This Row],[dec-19]]</f>
        <v>-3.8225940373799562E-3</v>
      </c>
      <c r="AJ180" s="216">
        <f>Tableau1014[[#This Row],[mars-20]]-Tableau1014[[#This Row],[dec-19]]</f>
        <v>-244</v>
      </c>
      <c r="AK180" s="2">
        <v>62637</v>
      </c>
      <c r="AL180" s="2">
        <v>62864</v>
      </c>
      <c r="AM180" s="2">
        <v>61758</v>
      </c>
      <c r="AN180" s="2">
        <v>61583</v>
      </c>
      <c r="AO180" s="2">
        <v>61582</v>
      </c>
      <c r="AP180" s="2">
        <v>61730</v>
      </c>
      <c r="AQ180" s="2">
        <v>61243</v>
      </c>
      <c r="AR180" s="2">
        <v>60600</v>
      </c>
      <c r="AS180" s="2">
        <v>59947</v>
      </c>
      <c r="AT180" s="2">
        <v>59754</v>
      </c>
      <c r="AU180" s="2"/>
      <c r="AV180" s="554">
        <f>(Tableau1014[[#This Row],[juin-24]]-Tableau1014[[#This Row],[avr-24]])/Tableau1014[[#This Row],[avr-24]]</f>
        <v>-3.2195105676681066E-3</v>
      </c>
      <c r="AW180" s="548">
        <f>Tableau1014[[#This Row],[juin-24]]-Tableau1014[[#This Row],[avr-24]]</f>
        <v>-193</v>
      </c>
    </row>
    <row r="181" spans="1:49" ht="12.6" customHeight="1" x14ac:dyDescent="0.3">
      <c r="A181" s="266"/>
      <c r="B181" s="164" t="s">
        <v>325</v>
      </c>
      <c r="C181" s="255"/>
      <c r="D181" s="255"/>
      <c r="E181" s="255"/>
      <c r="F181" s="255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267"/>
      <c r="AI181" s="208"/>
      <c r="AJ181" s="216"/>
      <c r="AM181" s="1"/>
      <c r="AN181" s="1"/>
      <c r="AO181" s="1"/>
      <c r="AP181" s="2">
        <v>56724</v>
      </c>
      <c r="AQ181" s="2">
        <v>56200</v>
      </c>
      <c r="AR181" s="2">
        <v>55400</v>
      </c>
      <c r="AS181" s="2">
        <v>54577</v>
      </c>
      <c r="AT181" s="2">
        <v>54412</v>
      </c>
      <c r="AU181" s="2"/>
      <c r="AV181" s="554">
        <f>(Tableau1014[[#This Row],[juin-24]]-Tableau1014[[#This Row],[avr-24]])/Tableau1014[[#This Row],[avr-24]]</f>
        <v>-3.0232515528519342E-3</v>
      </c>
      <c r="AW181" s="548">
        <f>Tableau1014[[#This Row],[juin-24]]-Tableau1014[[#This Row],[avr-24]]</f>
        <v>-165</v>
      </c>
    </row>
    <row r="182" spans="1:49" ht="18" customHeight="1" x14ac:dyDescent="0.3">
      <c r="A182" s="266"/>
      <c r="B182" s="266" t="s">
        <v>403</v>
      </c>
      <c r="C182" s="255"/>
      <c r="D182" s="255"/>
      <c r="E182" s="255"/>
      <c r="F182" s="255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267"/>
      <c r="AI182" s="208" t="e">
        <f>(Tableau1014[[#This Row],[mars-20]]-Tableau1014[[#This Row],[dec-19]])/Tableau1014[[#This Row],[dec-19]]</f>
        <v>#DIV/0!</v>
      </c>
      <c r="AJ182" s="216">
        <f>Tableau1014[[#This Row],[mars-20]]-Tableau1014[[#This Row],[dec-19]]</f>
        <v>0</v>
      </c>
      <c r="AK182" s="2"/>
      <c r="AL182" s="2"/>
      <c r="AM182" s="2"/>
      <c r="AN182" s="2"/>
      <c r="AO182" s="2"/>
      <c r="AP182" s="2"/>
      <c r="AQ182" s="2"/>
      <c r="AR182" s="2"/>
      <c r="AS182" s="2">
        <v>5330</v>
      </c>
      <c r="AT182" s="2">
        <v>5326</v>
      </c>
      <c r="AU182" s="2"/>
      <c r="AV182" s="554">
        <f>(Tableau1014[[#This Row],[juin-24]]-Tableau1014[[#This Row],[avr-24]])/Tableau1014[[#This Row],[avr-24]]</f>
        <v>-7.5046904315196998E-4</v>
      </c>
      <c r="AW182" s="548">
        <f>Tableau1014[[#This Row],[juin-24]]-Tableau1014[[#This Row],[avr-24]]</f>
        <v>-4</v>
      </c>
    </row>
    <row r="183" spans="1:49" ht="18" customHeight="1" x14ac:dyDescent="0.3">
      <c r="A183" s="169"/>
      <c r="B183" s="163" t="s">
        <v>264</v>
      </c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148"/>
      <c r="AI183" s="208"/>
      <c r="AJ183" s="216"/>
      <c r="AK183" s="88"/>
      <c r="AL183" s="212"/>
      <c r="AM183" s="212"/>
      <c r="AN183" s="212">
        <v>16703</v>
      </c>
      <c r="AO183" s="212">
        <v>16745</v>
      </c>
      <c r="AP183" s="212">
        <v>22000</v>
      </c>
      <c r="AQ183" s="212">
        <v>21940</v>
      </c>
      <c r="AR183" s="212">
        <v>36200</v>
      </c>
      <c r="AS183" s="212">
        <v>36235</v>
      </c>
      <c r="AT183" s="212">
        <v>36177</v>
      </c>
      <c r="AU183" s="212"/>
      <c r="AV183" s="554">
        <f>(Tableau1014[[#This Row],[juin-24]]-Tableau1014[[#This Row],[avr-24]])/Tableau1014[[#This Row],[avr-24]]</f>
        <v>-1.6006623430384987E-3</v>
      </c>
      <c r="AW183" s="548">
        <f>Tableau1014[[#This Row],[juin-24]]-Tableau1014[[#This Row],[avr-24]]</f>
        <v>-58</v>
      </c>
    </row>
    <row r="184" spans="1:49" ht="18" customHeight="1" x14ac:dyDescent="0.3">
      <c r="A184" s="266"/>
      <c r="B184" s="174" t="s">
        <v>231</v>
      </c>
      <c r="C184" s="255"/>
      <c r="D184" s="255"/>
      <c r="E184" s="255"/>
      <c r="F184" s="255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267"/>
      <c r="AI184" s="208"/>
      <c r="AJ184" s="216"/>
      <c r="AK184" s="2"/>
      <c r="AL184" s="2"/>
      <c r="AM184" s="2">
        <v>21584</v>
      </c>
      <c r="AN184" s="2">
        <v>25275</v>
      </c>
      <c r="AO184" s="2">
        <v>27141</v>
      </c>
      <c r="AP184" s="2">
        <v>30500</v>
      </c>
      <c r="AQ184" s="2">
        <v>30931</v>
      </c>
      <c r="AR184" s="2">
        <v>31600</v>
      </c>
      <c r="AS184" s="2">
        <v>31368</v>
      </c>
      <c r="AT184" s="2">
        <v>31380</v>
      </c>
      <c r="AU184" s="2"/>
      <c r="AV184" s="554">
        <f>(Tableau1014[[#This Row],[juin-24]]-Tableau1014[[#This Row],[avr-24]])/Tableau1014[[#This Row],[avr-24]]</f>
        <v>3.8255547054322876E-4</v>
      </c>
      <c r="AW184" s="548">
        <f>Tableau1014[[#This Row],[juin-24]]-Tableau1014[[#This Row],[avr-24]]</f>
        <v>12</v>
      </c>
    </row>
    <row r="185" spans="1:49" ht="18" customHeight="1" x14ac:dyDescent="0.3">
      <c r="A185" s="169">
        <v>38</v>
      </c>
      <c r="B185" s="163" t="s">
        <v>132</v>
      </c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>
        <v>32827</v>
      </c>
      <c r="U185" s="88">
        <v>32964</v>
      </c>
      <c r="V185" s="88">
        <v>33186</v>
      </c>
      <c r="W185" s="88">
        <v>33294</v>
      </c>
      <c r="X185" s="88">
        <v>33620</v>
      </c>
      <c r="Y185" s="88">
        <v>34140</v>
      </c>
      <c r="Z185" s="88">
        <v>34332</v>
      </c>
      <c r="AA185" s="88">
        <v>36284</v>
      </c>
      <c r="AB185" s="88">
        <v>36726</v>
      </c>
      <c r="AC185" s="88">
        <v>38601</v>
      </c>
      <c r="AD185" s="88">
        <v>39195</v>
      </c>
      <c r="AE185" s="88">
        <v>39299</v>
      </c>
      <c r="AF185" s="88">
        <v>39338</v>
      </c>
      <c r="AG185" s="88">
        <v>39306</v>
      </c>
      <c r="AH185" s="148">
        <v>39110</v>
      </c>
      <c r="AI185" s="208">
        <f>(Tableau1014[[#This Row],[mars-20]]-Tableau1014[[#This Row],[dec-19]])/Tableau1014[[#This Row],[dec-19]]</f>
        <v>-4.986516053528723E-3</v>
      </c>
      <c r="AJ185" s="216">
        <f>Tableau1014[[#This Row],[mars-20]]-Tableau1014[[#This Row],[dec-19]]</f>
        <v>-196</v>
      </c>
      <c r="AK185" s="2">
        <v>39684</v>
      </c>
      <c r="AL185" s="2">
        <v>40123</v>
      </c>
      <c r="AM185" s="2">
        <v>40848</v>
      </c>
      <c r="AN185" s="2">
        <v>40333</v>
      </c>
      <c r="AO185" s="2">
        <v>40257</v>
      </c>
      <c r="AP185" s="2">
        <v>40490</v>
      </c>
      <c r="AQ185" s="2">
        <v>39881</v>
      </c>
      <c r="AR185" s="2">
        <v>39100</v>
      </c>
      <c r="AS185" s="2">
        <v>38617</v>
      </c>
      <c r="AT185" s="2">
        <v>38497</v>
      </c>
      <c r="AU185" s="2"/>
      <c r="AV185" s="554">
        <f>(Tableau1014[[#This Row],[juin-24]]-Tableau1014[[#This Row],[avr-24]])/Tableau1014[[#This Row],[avr-24]]</f>
        <v>-3.1074397286169303E-3</v>
      </c>
      <c r="AW185" s="548">
        <f>Tableau1014[[#This Row],[juin-24]]-Tableau1014[[#This Row],[avr-24]]</f>
        <v>-120</v>
      </c>
    </row>
    <row r="186" spans="1:49" ht="18" customHeight="1" x14ac:dyDescent="0.3">
      <c r="A186" s="183"/>
      <c r="B186" s="174" t="s">
        <v>258</v>
      </c>
      <c r="C186" s="184"/>
      <c r="D186" s="184"/>
      <c r="E186" s="184"/>
      <c r="F186" s="184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217"/>
      <c r="AI186" s="208"/>
      <c r="AJ186" s="216"/>
      <c r="AM186" s="2"/>
      <c r="AN186" s="2">
        <v>21760</v>
      </c>
      <c r="AO186" s="2">
        <v>22184</v>
      </c>
      <c r="AP186" s="2">
        <v>22491</v>
      </c>
      <c r="AQ186" s="2">
        <v>22482</v>
      </c>
      <c r="AR186" s="2">
        <v>22200</v>
      </c>
      <c r="AS186" s="2">
        <v>21914</v>
      </c>
      <c r="AT186" s="2">
        <v>21868</v>
      </c>
      <c r="AU186" s="2"/>
      <c r="AV186" s="554">
        <f>(Tableau1014[[#This Row],[juin-24]]-Tableau1014[[#This Row],[avr-24]])/Tableau1014[[#This Row],[avr-24]]</f>
        <v>-2.0991147211828053E-3</v>
      </c>
      <c r="AW186" s="548">
        <f>Tableau1014[[#This Row],[juin-24]]-Tableau1014[[#This Row],[avr-24]]</f>
        <v>-46</v>
      </c>
    </row>
    <row r="187" spans="1:49" ht="18" customHeight="1" x14ac:dyDescent="0.3">
      <c r="A187" s="266"/>
      <c r="B187" s="266" t="s">
        <v>400</v>
      </c>
      <c r="C187" s="255"/>
      <c r="D187" s="255"/>
      <c r="E187" s="255"/>
      <c r="F187" s="255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267"/>
      <c r="AI187" s="179" t="e">
        <f>(Tableau1014[[#This Row],[mars-20]]-Tableau1014[[#This Row],[dec-19]])/Tableau1014[[#This Row],[dec-19]]</f>
        <v>#DIV/0!</v>
      </c>
      <c r="AJ187" s="148">
        <f>Tableau1014[[#This Row],[mars-20]]-Tableau1014[[#This Row],[dec-19]]</f>
        <v>0</v>
      </c>
      <c r="AK187" s="2"/>
      <c r="AL187" s="2"/>
      <c r="AM187" s="2"/>
      <c r="AN187" s="2"/>
      <c r="AO187" s="2">
        <v>0</v>
      </c>
      <c r="AP187" s="2">
        <v>0</v>
      </c>
      <c r="AQ187" s="2">
        <v>0</v>
      </c>
      <c r="AR187" s="2">
        <v>0</v>
      </c>
      <c r="AS187" s="2">
        <v>2686</v>
      </c>
      <c r="AT187" s="2">
        <v>2695</v>
      </c>
      <c r="AU187" s="2"/>
      <c r="AV187" s="554">
        <f>(Tableau1014[[#This Row],[juin-24]]-Tableau1014[[#This Row],[avr-24]])/Tableau1014[[#This Row],[avr-24]]</f>
        <v>3.3507073715562173E-3</v>
      </c>
      <c r="AW187" s="548">
        <f>Tableau1014[[#This Row],[juin-24]]-Tableau1014[[#This Row],[avr-24]]</f>
        <v>9</v>
      </c>
    </row>
    <row r="188" spans="1:49" ht="18" customHeight="1" x14ac:dyDescent="0.3">
      <c r="A188" s="169"/>
      <c r="B188" s="164" t="s">
        <v>190</v>
      </c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>
        <v>66364</v>
      </c>
      <c r="AC188" s="88">
        <v>69900</v>
      </c>
      <c r="AD188" s="88">
        <v>71485</v>
      </c>
      <c r="AE188" s="88">
        <v>72130</v>
      </c>
      <c r="AF188" s="88">
        <v>72392</v>
      </c>
      <c r="AG188" s="88">
        <v>72415</v>
      </c>
      <c r="AH188" s="148">
        <v>72511</v>
      </c>
      <c r="AI188" s="179">
        <f>(Tableau1014[[#This Row],[mars-20]]-Tableau1014[[#This Row],[dec-19]])/Tableau1014[[#This Row],[dec-19]]</f>
        <v>1.3256921908444384E-3</v>
      </c>
      <c r="AJ188" s="148">
        <f>Tableau1014[[#This Row],[mars-20]]-Tableau1014[[#This Row],[dec-19]]</f>
        <v>96</v>
      </c>
      <c r="AK188" s="2">
        <v>75891</v>
      </c>
      <c r="AL188" s="2">
        <v>76949</v>
      </c>
      <c r="AM188" s="2">
        <v>77873</v>
      </c>
      <c r="AN188" s="2">
        <v>77573</v>
      </c>
      <c r="AO188" s="2">
        <v>77371</v>
      </c>
      <c r="AP188" s="2">
        <v>78301</v>
      </c>
      <c r="AQ188" s="2">
        <v>77816</v>
      </c>
      <c r="AR188" s="2">
        <v>75700</v>
      </c>
      <c r="AS188" s="2">
        <v>74328</v>
      </c>
      <c r="AT188" s="2">
        <v>74120</v>
      </c>
      <c r="AU188" s="2"/>
      <c r="AV188" s="554">
        <f>(Tableau1014[[#This Row],[juin-24]]-Tableau1014[[#This Row],[avr-24]])/Tableau1014[[#This Row],[avr-24]]</f>
        <v>-2.798407060596276E-3</v>
      </c>
      <c r="AW188" s="548">
        <f>Tableau1014[[#This Row],[juin-24]]-Tableau1014[[#This Row],[avr-24]]</f>
        <v>-208</v>
      </c>
    </row>
    <row r="189" spans="1:49" ht="18" customHeight="1" x14ac:dyDescent="0.3">
      <c r="A189" s="183"/>
      <c r="B189" s="164" t="s">
        <v>204</v>
      </c>
      <c r="C189" s="184"/>
      <c r="D189" s="184"/>
      <c r="E189" s="184"/>
      <c r="F189" s="184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>
        <v>8650</v>
      </c>
      <c r="AF189" s="88"/>
      <c r="AG189" s="88"/>
      <c r="AH189" s="217"/>
      <c r="AI189" s="179"/>
      <c r="AJ189" s="148"/>
      <c r="AL189" s="1">
        <v>48880</v>
      </c>
      <c r="AM189" s="2">
        <v>91719</v>
      </c>
      <c r="AN189" s="2">
        <v>104938</v>
      </c>
      <c r="AO189" s="2">
        <v>116801</v>
      </c>
      <c r="AP189" s="2">
        <v>172900</v>
      </c>
      <c r="AQ189" s="2">
        <v>175693</v>
      </c>
      <c r="AR189" s="2">
        <v>249100</v>
      </c>
      <c r="AS189" s="2">
        <v>256385</v>
      </c>
      <c r="AT189" s="2">
        <v>268683</v>
      </c>
      <c r="AU189" s="2"/>
      <c r="AV189" s="554">
        <f>(Tableau1014[[#This Row],[juin-24]]-Tableau1014[[#This Row],[avr-24]])/Tableau1014[[#This Row],[avr-24]]</f>
        <v>4.7966924742087094E-2</v>
      </c>
      <c r="AW189" s="548">
        <f>Tableau1014[[#This Row],[juin-24]]-Tableau1014[[#This Row],[avr-24]]</f>
        <v>12298</v>
      </c>
    </row>
    <row r="190" spans="1:49" ht="18" customHeight="1" x14ac:dyDescent="0.3">
      <c r="A190" s="169"/>
      <c r="B190" s="164" t="s">
        <v>302</v>
      </c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148"/>
      <c r="AI190" s="179"/>
      <c r="AJ190" s="148"/>
      <c r="AK190" s="2"/>
      <c r="AL190" s="2"/>
      <c r="AM190" s="2"/>
      <c r="AN190" s="2"/>
      <c r="AO190" s="2"/>
      <c r="AP190" s="2">
        <v>53300</v>
      </c>
      <c r="AQ190" s="2">
        <v>52845</v>
      </c>
      <c r="AR190" s="2">
        <v>57800</v>
      </c>
      <c r="AS190" s="2">
        <v>57477</v>
      </c>
      <c r="AT190" s="2">
        <v>57336</v>
      </c>
      <c r="AU190" s="2"/>
      <c r="AV190" s="554">
        <f>(Tableau1014[[#This Row],[juin-24]]-Tableau1014[[#This Row],[avr-24]])/Tableau1014[[#This Row],[avr-24]]</f>
        <v>-2.4531551751135238E-3</v>
      </c>
      <c r="AW190" s="548">
        <f>Tableau1014[[#This Row],[juin-24]]-Tableau1014[[#This Row],[avr-24]]</f>
        <v>-141</v>
      </c>
    </row>
    <row r="191" spans="1:49" ht="18" customHeight="1" x14ac:dyDescent="0.3">
      <c r="A191" s="169">
        <v>29</v>
      </c>
      <c r="B191" s="163" t="s">
        <v>92</v>
      </c>
      <c r="C191" s="104">
        <v>70510</v>
      </c>
      <c r="D191" s="104">
        <v>71973</v>
      </c>
      <c r="E191" s="104">
        <v>76536</v>
      </c>
      <c r="F191" s="104">
        <v>77441</v>
      </c>
      <c r="G191" s="104">
        <v>77934</v>
      </c>
      <c r="H191" s="104">
        <v>78223</v>
      </c>
      <c r="I191" s="104">
        <v>78324</v>
      </c>
      <c r="J191" s="104">
        <v>78683</v>
      </c>
      <c r="K191" s="104">
        <v>78941</v>
      </c>
      <c r="L191" s="104">
        <v>79464</v>
      </c>
      <c r="M191" s="104">
        <v>79873</v>
      </c>
      <c r="N191" s="104">
        <v>80505</v>
      </c>
      <c r="O191" s="104">
        <v>81966</v>
      </c>
      <c r="P191" s="104">
        <v>82318</v>
      </c>
      <c r="Q191" s="104">
        <v>83569</v>
      </c>
      <c r="R191" s="104">
        <v>84225</v>
      </c>
      <c r="S191" s="104">
        <v>85227</v>
      </c>
      <c r="T191" s="104">
        <v>86270</v>
      </c>
      <c r="U191" s="104">
        <v>86143</v>
      </c>
      <c r="V191" s="104">
        <v>86412</v>
      </c>
      <c r="W191" s="104">
        <v>86518</v>
      </c>
      <c r="X191" s="104">
        <v>86825</v>
      </c>
      <c r="Y191" s="104">
        <v>87210</v>
      </c>
      <c r="Z191" s="104">
        <v>87451</v>
      </c>
      <c r="AA191" s="104">
        <v>87883</v>
      </c>
      <c r="AB191" s="104">
        <v>88558</v>
      </c>
      <c r="AC191" s="104">
        <v>115731</v>
      </c>
      <c r="AD191" s="104">
        <v>119878</v>
      </c>
      <c r="AE191" s="104">
        <v>120046</v>
      </c>
      <c r="AF191" s="104">
        <v>120185</v>
      </c>
      <c r="AG191" s="104">
        <v>120368</v>
      </c>
      <c r="AH191" s="148">
        <v>120851</v>
      </c>
      <c r="AI191" s="179">
        <f>(Tableau1014[[#This Row],[mars-20]]-Tableau1014[[#This Row],[dec-19]])/Tableau1014[[#This Row],[dec-19]]</f>
        <v>4.0126944038282597E-3</v>
      </c>
      <c r="AJ191" s="148">
        <f>Tableau1014[[#This Row],[mars-20]]-Tableau1014[[#This Row],[dec-19]]</f>
        <v>483</v>
      </c>
      <c r="AK191" s="2">
        <v>131206</v>
      </c>
      <c r="AL191" s="2">
        <v>132335</v>
      </c>
      <c r="AM191" s="2">
        <v>134689</v>
      </c>
      <c r="AN191" s="2">
        <v>136262</v>
      </c>
      <c r="AO191" s="2">
        <v>137599</v>
      </c>
      <c r="AP191" s="2">
        <v>142643</v>
      </c>
      <c r="AQ191" s="2">
        <v>141875</v>
      </c>
      <c r="AR191" s="2">
        <v>158500</v>
      </c>
      <c r="AS191" s="2">
        <v>157778</v>
      </c>
      <c r="AT191" s="2">
        <v>157148</v>
      </c>
      <c r="AU191" s="2"/>
      <c r="AV191" s="554">
        <f>(Tableau1014[[#This Row],[juin-24]]-Tableau1014[[#This Row],[avr-24]])/Tableau1014[[#This Row],[avr-24]]</f>
        <v>-3.9929521226026443E-3</v>
      </c>
      <c r="AW191" s="548">
        <f>Tableau1014[[#This Row],[juin-24]]-Tableau1014[[#This Row],[avr-24]]</f>
        <v>-630</v>
      </c>
    </row>
    <row r="192" spans="1:49" ht="18" customHeight="1" x14ac:dyDescent="0.3">
      <c r="A192" s="169"/>
      <c r="B192" s="164" t="s">
        <v>194</v>
      </c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>
        <v>51465</v>
      </c>
      <c r="AC192" s="88">
        <v>64500</v>
      </c>
      <c r="AD192" s="88">
        <v>66840</v>
      </c>
      <c r="AE192" s="88">
        <v>67848</v>
      </c>
      <c r="AF192" s="88">
        <v>68174</v>
      </c>
      <c r="AG192" s="88">
        <v>69669</v>
      </c>
      <c r="AH192" s="148">
        <v>71011</v>
      </c>
      <c r="AI192" s="179">
        <f>(Tableau1014[[#This Row],[mars-20]]-Tableau1014[[#This Row],[dec-19]])/Tableau1014[[#This Row],[dec-19]]</f>
        <v>1.9262512738807792E-2</v>
      </c>
      <c r="AJ192" s="148">
        <f>Tableau1014[[#This Row],[mars-20]]-Tableau1014[[#This Row],[dec-19]]</f>
        <v>1342</v>
      </c>
      <c r="AK192" s="2">
        <v>82347</v>
      </c>
      <c r="AL192" s="2">
        <v>85282</v>
      </c>
      <c r="AM192" s="2">
        <v>104934</v>
      </c>
      <c r="AN192" s="2">
        <v>108230</v>
      </c>
      <c r="AO192" s="2">
        <v>109678</v>
      </c>
      <c r="AP192" s="2">
        <v>121200</v>
      </c>
      <c r="AQ192" s="2">
        <v>120323</v>
      </c>
      <c r="AR192" s="2">
        <v>125900</v>
      </c>
      <c r="AS192" s="2">
        <v>125892</v>
      </c>
      <c r="AT192" s="2">
        <v>126171</v>
      </c>
      <c r="AU192" s="2"/>
      <c r="AV192" s="554">
        <f>(Tableau1014[[#This Row],[juin-24]]-Tableau1014[[#This Row],[avr-24]])/Tableau1014[[#This Row],[avr-24]]</f>
        <v>2.2161853016871604E-3</v>
      </c>
      <c r="AW192" s="548">
        <f>Tableau1014[[#This Row],[juin-24]]-Tableau1014[[#This Row],[avr-24]]</f>
        <v>279</v>
      </c>
    </row>
    <row r="193" spans="1:49" ht="18" customHeight="1" x14ac:dyDescent="0.3">
      <c r="A193" s="266"/>
      <c r="B193" s="164" t="s">
        <v>230</v>
      </c>
      <c r="C193" s="255"/>
      <c r="D193" s="255"/>
      <c r="E193" s="255"/>
      <c r="F193" s="255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267"/>
      <c r="AI193" s="179"/>
      <c r="AJ193" s="148"/>
      <c r="AK193" s="2"/>
      <c r="AL193" s="2"/>
      <c r="AM193" s="2">
        <v>46788</v>
      </c>
      <c r="AN193" s="2">
        <v>54457</v>
      </c>
      <c r="AO193" s="2">
        <v>55586</v>
      </c>
      <c r="AP193" s="2">
        <v>69544</v>
      </c>
      <c r="AQ193" s="2">
        <v>70477</v>
      </c>
      <c r="AR193" s="2">
        <v>89000</v>
      </c>
      <c r="AS193" s="2">
        <v>90900</v>
      </c>
      <c r="AT193" s="2">
        <v>90786</v>
      </c>
      <c r="AU193" s="2"/>
      <c r="AV193" s="554">
        <f>(Tableau1014[[#This Row],[juin-24]]-Tableau1014[[#This Row],[avr-24]])/Tableau1014[[#This Row],[avr-24]]</f>
        <v>-1.2541254125412542E-3</v>
      </c>
      <c r="AW193" s="548">
        <f>Tableau1014[[#This Row],[juin-24]]-Tableau1014[[#This Row],[avr-24]]</f>
        <v>-114</v>
      </c>
    </row>
    <row r="194" spans="1:49" ht="18" customHeight="1" x14ac:dyDescent="0.3">
      <c r="A194" s="169"/>
      <c r="B194" s="164" t="s">
        <v>196</v>
      </c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>
        <v>23219</v>
      </c>
      <c r="AC194" s="88">
        <v>26200</v>
      </c>
      <c r="AD194" s="88">
        <v>27169</v>
      </c>
      <c r="AE194" s="88">
        <v>27372</v>
      </c>
      <c r="AF194" s="88">
        <v>27456</v>
      </c>
      <c r="AG194" s="88">
        <v>28165</v>
      </c>
      <c r="AH194" s="148">
        <v>28484</v>
      </c>
      <c r="AI194" s="179">
        <f>(Tableau1014[[#This Row],[mars-20]]-Tableau1014[[#This Row],[dec-19]])/Tableau1014[[#This Row],[dec-19]]</f>
        <v>1.1326113971240902E-2</v>
      </c>
      <c r="AJ194" s="148">
        <f>Tableau1014[[#This Row],[mars-20]]-Tableau1014[[#This Row],[dec-19]]</f>
        <v>319</v>
      </c>
      <c r="AK194" s="2">
        <v>30113</v>
      </c>
      <c r="AL194" s="2">
        <v>30856</v>
      </c>
      <c r="AM194" s="2">
        <v>33314</v>
      </c>
      <c r="AN194" s="2">
        <v>33944</v>
      </c>
      <c r="AO194" s="2">
        <v>34106</v>
      </c>
      <c r="AP194" s="2">
        <v>34879</v>
      </c>
      <c r="AQ194" s="2">
        <v>34799</v>
      </c>
      <c r="AR194" s="2">
        <v>35300</v>
      </c>
      <c r="AS194" s="2">
        <v>35193</v>
      </c>
      <c r="AT194" s="2">
        <v>35171</v>
      </c>
      <c r="AU194" s="2"/>
      <c r="AV194" s="554">
        <f>(Tableau1014[[#This Row],[juin-24]]-Tableau1014[[#This Row],[avr-24]])/Tableau1014[[#This Row],[avr-24]]</f>
        <v>-6.2512431449435971E-4</v>
      </c>
      <c r="AW194" s="548">
        <f>Tableau1014[[#This Row],[juin-24]]-Tableau1014[[#This Row],[avr-24]]</f>
        <v>-22</v>
      </c>
    </row>
    <row r="195" spans="1:49" ht="18" customHeight="1" x14ac:dyDescent="0.3">
      <c r="A195" s="169">
        <v>21</v>
      </c>
      <c r="B195" s="163" t="s">
        <v>95</v>
      </c>
      <c r="C195" s="104">
        <v>138695</v>
      </c>
      <c r="D195" s="104">
        <v>145245</v>
      </c>
      <c r="E195" s="104">
        <v>158441</v>
      </c>
      <c r="F195" s="104">
        <v>170483</v>
      </c>
      <c r="G195" s="104">
        <v>182614</v>
      </c>
      <c r="H195" s="104">
        <v>188412</v>
      </c>
      <c r="I195" s="104">
        <v>188504</v>
      </c>
      <c r="J195" s="104">
        <v>188050</v>
      </c>
      <c r="K195" s="104">
        <v>187472</v>
      </c>
      <c r="L195" s="104">
        <v>187037</v>
      </c>
      <c r="M195" s="104">
        <v>186564</v>
      </c>
      <c r="N195" s="104">
        <v>186087</v>
      </c>
      <c r="O195" s="104">
        <v>186560</v>
      </c>
      <c r="P195" s="104">
        <v>186118</v>
      </c>
      <c r="Q195" s="104">
        <v>189356</v>
      </c>
      <c r="R195" s="104">
        <v>189990</v>
      </c>
      <c r="S195" s="104">
        <v>189703</v>
      </c>
      <c r="T195" s="104">
        <v>188566</v>
      </c>
      <c r="U195" s="104">
        <v>187940</v>
      </c>
      <c r="V195" s="104">
        <v>187560</v>
      </c>
      <c r="W195" s="104">
        <v>187127</v>
      </c>
      <c r="X195" s="104">
        <v>188390</v>
      </c>
      <c r="Y195" s="104">
        <v>189590</v>
      </c>
      <c r="Z195" s="104">
        <v>190540</v>
      </c>
      <c r="AA195" s="104">
        <v>195355</v>
      </c>
      <c r="AB195" s="104">
        <v>196681</v>
      </c>
      <c r="AC195" s="104">
        <v>198875</v>
      </c>
      <c r="AD195" s="104">
        <v>200530</v>
      </c>
      <c r="AE195" s="104">
        <v>201406</v>
      </c>
      <c r="AF195" s="104">
        <v>201618</v>
      </c>
      <c r="AG195" s="104">
        <v>201421</v>
      </c>
      <c r="AH195" s="148">
        <v>201986</v>
      </c>
      <c r="AI195" s="179">
        <f>(Tableau1014[[#This Row],[mars-20]]-Tableau1014[[#This Row],[dec-19]])/Tableau1014[[#This Row],[dec-19]]</f>
        <v>2.8050699778076763E-3</v>
      </c>
      <c r="AJ195" s="148">
        <f>Tableau1014[[#This Row],[mars-20]]-Tableau1014[[#This Row],[dec-19]]</f>
        <v>565</v>
      </c>
      <c r="AK195" s="2">
        <v>208337</v>
      </c>
      <c r="AL195" s="2">
        <v>210106</v>
      </c>
      <c r="AM195" s="2">
        <v>214196</v>
      </c>
      <c r="AN195" s="2">
        <v>214724</v>
      </c>
      <c r="AO195" s="2">
        <v>214710</v>
      </c>
      <c r="AP195" s="2">
        <v>216245</v>
      </c>
      <c r="AQ195" s="2">
        <v>214614</v>
      </c>
      <c r="AR195" s="2">
        <v>210100</v>
      </c>
      <c r="AS195" s="2">
        <v>206605</v>
      </c>
      <c r="AT195" s="2">
        <v>205959</v>
      </c>
      <c r="AU195" s="2"/>
      <c r="AV195" s="554">
        <f>(Tableau1014[[#This Row],[juin-24]]-Tableau1014[[#This Row],[avr-24]])/Tableau1014[[#This Row],[avr-24]]</f>
        <v>-3.1267394303138838E-3</v>
      </c>
      <c r="AW195" s="548">
        <f>Tableau1014[[#This Row],[juin-24]]-Tableau1014[[#This Row],[avr-24]]</f>
        <v>-646</v>
      </c>
    </row>
    <row r="196" spans="1:49" ht="18" customHeight="1" x14ac:dyDescent="0.3">
      <c r="A196" s="169"/>
      <c r="B196" s="164" t="s">
        <v>192</v>
      </c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>
        <v>63019</v>
      </c>
      <c r="AC196" s="88">
        <v>65700</v>
      </c>
      <c r="AD196" s="88">
        <v>66228</v>
      </c>
      <c r="AE196" s="88">
        <v>66279</v>
      </c>
      <c r="AF196" s="88">
        <v>66271</v>
      </c>
      <c r="AG196" s="88">
        <v>66197</v>
      </c>
      <c r="AH196" s="148">
        <v>65964</v>
      </c>
      <c r="AI196" s="179">
        <f>(Tableau1014[[#This Row],[mars-20]]-Tableau1014[[#This Row],[dec-19]])/Tableau1014[[#This Row],[dec-19]]</f>
        <v>-3.5197969696511926E-3</v>
      </c>
      <c r="AJ196" s="148">
        <f>Tableau1014[[#This Row],[mars-20]]-Tableau1014[[#This Row],[dec-19]]</f>
        <v>-233</v>
      </c>
      <c r="AK196" s="2">
        <v>66314</v>
      </c>
      <c r="AL196" s="2">
        <v>66422</v>
      </c>
      <c r="AM196" s="2">
        <v>65052</v>
      </c>
      <c r="AN196" s="2">
        <v>64505</v>
      </c>
      <c r="AO196" s="2">
        <v>64481</v>
      </c>
      <c r="AP196" s="2">
        <v>64859</v>
      </c>
      <c r="AQ196" s="2">
        <v>64145</v>
      </c>
      <c r="AR196" s="2">
        <v>62900</v>
      </c>
      <c r="AS196" s="2">
        <v>61996</v>
      </c>
      <c r="AT196" s="2">
        <v>61746</v>
      </c>
      <c r="AU196" s="2"/>
      <c r="AV196" s="554">
        <f>(Tableau1014[[#This Row],[juin-24]]-Tableau1014[[#This Row],[avr-24]])/Tableau1014[[#This Row],[avr-24]]</f>
        <v>-4.0325182269823857E-3</v>
      </c>
      <c r="AW196" s="548">
        <f>Tableau1014[[#This Row],[juin-24]]-Tableau1014[[#This Row],[avr-24]]</f>
        <v>-250</v>
      </c>
    </row>
    <row r="197" spans="1:49" ht="18" customHeight="1" x14ac:dyDescent="0.3">
      <c r="A197" s="169">
        <v>7</v>
      </c>
      <c r="B197" s="163" t="s">
        <v>96</v>
      </c>
      <c r="C197" s="104">
        <v>507067</v>
      </c>
      <c r="D197" s="104">
        <v>513644</v>
      </c>
      <c r="E197" s="104">
        <v>522445</v>
      </c>
      <c r="F197" s="104">
        <v>526684</v>
      </c>
      <c r="G197" s="104">
        <v>533378</v>
      </c>
      <c r="H197" s="104">
        <v>537905</v>
      </c>
      <c r="I197" s="104">
        <v>539998</v>
      </c>
      <c r="J197" s="104">
        <v>547125</v>
      </c>
      <c r="K197" s="104">
        <v>548857</v>
      </c>
      <c r="L197" s="104">
        <v>551194</v>
      </c>
      <c r="M197" s="104">
        <v>554497</v>
      </c>
      <c r="N197" s="104">
        <v>557876</v>
      </c>
      <c r="O197" s="104">
        <v>558016</v>
      </c>
      <c r="P197" s="104">
        <v>559465</v>
      </c>
      <c r="Q197" s="104">
        <v>563046</v>
      </c>
      <c r="R197" s="104">
        <v>565344</v>
      </c>
      <c r="S197" s="104">
        <v>567111</v>
      </c>
      <c r="T197" s="104">
        <v>569456</v>
      </c>
      <c r="U197" s="104">
        <v>569129</v>
      </c>
      <c r="V197" s="104">
        <v>569981</v>
      </c>
      <c r="W197" s="104">
        <v>570593</v>
      </c>
      <c r="X197" s="104">
        <v>571085</v>
      </c>
      <c r="Y197" s="104">
        <v>571560</v>
      </c>
      <c r="Z197" s="104">
        <v>571933</v>
      </c>
      <c r="AA197" s="104">
        <v>574979</v>
      </c>
      <c r="AB197" s="104">
        <v>575862</v>
      </c>
      <c r="AC197" s="104">
        <v>579382</v>
      </c>
      <c r="AD197" s="104">
        <v>580928</v>
      </c>
      <c r="AE197" s="104">
        <v>580857</v>
      </c>
      <c r="AF197" s="104">
        <v>580316</v>
      </c>
      <c r="AG197" s="104">
        <v>579809</v>
      </c>
      <c r="AH197" s="148">
        <v>597542</v>
      </c>
      <c r="AI197" s="179">
        <f>(Tableau1014[[#This Row],[mars-20]]-Tableau1014[[#This Row],[dec-19]])/Tableau1014[[#This Row],[dec-19]]</f>
        <v>3.0584209627653243E-2</v>
      </c>
      <c r="AJ197" s="148">
        <f>Tableau1014[[#This Row],[mars-20]]-Tableau1014[[#This Row],[dec-19]]</f>
        <v>17733</v>
      </c>
      <c r="AK197" s="2">
        <v>581339</v>
      </c>
      <c r="AL197" s="2">
        <v>583656</v>
      </c>
      <c r="AM197" s="2">
        <v>577912</v>
      </c>
      <c r="AN197" s="2">
        <v>575990</v>
      </c>
      <c r="AO197" s="2">
        <v>575228</v>
      </c>
      <c r="AP197" s="2">
        <v>575629</v>
      </c>
      <c r="AQ197" s="2">
        <v>571616</v>
      </c>
      <c r="AR197" s="2">
        <v>560900</v>
      </c>
      <c r="AS197" s="2">
        <v>594867</v>
      </c>
      <c r="AT197" s="2">
        <v>553420</v>
      </c>
      <c r="AU197" s="2"/>
      <c r="AV197" s="554">
        <f>(Tableau1014[[#This Row],[juin-24]]-Tableau1014[[#This Row],[avr-24]])/Tableau1014[[#This Row],[avr-24]]</f>
        <v>-6.9674397806568533E-2</v>
      </c>
      <c r="AW197" s="548">
        <f>Tableau1014[[#This Row],[juin-24]]-Tableau1014[[#This Row],[avr-24]]</f>
        <v>-41447</v>
      </c>
    </row>
    <row r="198" spans="1:49" ht="18" customHeight="1" x14ac:dyDescent="0.3">
      <c r="A198" s="169">
        <v>30</v>
      </c>
      <c r="B198" s="163" t="s">
        <v>124</v>
      </c>
      <c r="C198" s="88"/>
      <c r="D198" s="88"/>
      <c r="E198" s="88"/>
      <c r="F198" s="88"/>
      <c r="G198" s="88"/>
      <c r="H198" s="88"/>
      <c r="I198" s="88"/>
      <c r="J198" s="88"/>
      <c r="K198" s="88"/>
      <c r="L198" s="88">
        <v>50245</v>
      </c>
      <c r="M198" s="88">
        <v>50722</v>
      </c>
      <c r="N198" s="88">
        <v>51247</v>
      </c>
      <c r="O198" s="88">
        <v>51236</v>
      </c>
      <c r="P198" s="88">
        <v>51546</v>
      </c>
      <c r="Q198" s="88">
        <v>54145</v>
      </c>
      <c r="R198" s="88">
        <v>54689</v>
      </c>
      <c r="S198" s="88">
        <v>55058</v>
      </c>
      <c r="T198" s="88">
        <v>55294</v>
      </c>
      <c r="U198" s="88">
        <v>55249</v>
      </c>
      <c r="V198" s="88">
        <v>55356</v>
      </c>
      <c r="W198" s="88">
        <v>55445</v>
      </c>
      <c r="X198" s="88">
        <v>55600</v>
      </c>
      <c r="Y198" s="88">
        <v>56015</v>
      </c>
      <c r="Z198" s="88">
        <v>56278</v>
      </c>
      <c r="AA198" s="88">
        <v>56451</v>
      </c>
      <c r="AB198" s="88">
        <v>57176</v>
      </c>
      <c r="AC198" s="88">
        <v>62879</v>
      </c>
      <c r="AD198" s="88">
        <v>64496</v>
      </c>
      <c r="AE198" s="88">
        <v>64613</v>
      </c>
      <c r="AF198" s="88">
        <v>64642</v>
      </c>
      <c r="AG198" s="88">
        <v>64731</v>
      </c>
      <c r="AH198" s="148">
        <v>64973</v>
      </c>
      <c r="AI198" s="179">
        <f>(Tableau1014[[#This Row],[mars-20]]-Tableau1014[[#This Row],[dec-19]])/Tableau1014[[#This Row],[dec-19]]</f>
        <v>3.7385487633436838E-3</v>
      </c>
      <c r="AJ198" s="148">
        <f>Tableau1014[[#This Row],[mars-20]]-Tableau1014[[#This Row],[dec-19]]</f>
        <v>242</v>
      </c>
      <c r="AK198" s="2">
        <v>68791</v>
      </c>
      <c r="AL198" s="2">
        <v>69310</v>
      </c>
      <c r="AM198" s="2">
        <v>69419</v>
      </c>
      <c r="AN198" s="2">
        <v>69395</v>
      </c>
      <c r="AO198" s="2">
        <v>69633</v>
      </c>
      <c r="AP198" s="2">
        <v>70643</v>
      </c>
      <c r="AQ198" s="2">
        <v>70208</v>
      </c>
      <c r="AR198" s="2">
        <v>70400</v>
      </c>
      <c r="AS198" s="2">
        <v>69486</v>
      </c>
      <c r="AT198" s="2">
        <v>69285</v>
      </c>
      <c r="AU198" s="2"/>
      <c r="AV198" s="554">
        <f>(Tableau1014[[#This Row],[juin-24]]-Tableau1014[[#This Row],[avr-24]])/Tableau1014[[#This Row],[avr-24]]</f>
        <v>-2.8926690268543304E-3</v>
      </c>
      <c r="AW198" s="548">
        <f>Tableau1014[[#This Row],[juin-24]]-Tableau1014[[#This Row],[avr-24]]</f>
        <v>-201</v>
      </c>
    </row>
    <row r="199" spans="1:49" ht="18" customHeight="1" x14ac:dyDescent="0.3">
      <c r="A199" s="170">
        <v>43</v>
      </c>
      <c r="B199" s="171" t="s">
        <v>178</v>
      </c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>
        <v>209126</v>
      </c>
      <c r="X199" s="149">
        <v>211077</v>
      </c>
      <c r="Y199" s="149">
        <v>212590</v>
      </c>
      <c r="Z199" s="149">
        <v>213232</v>
      </c>
      <c r="AA199" s="149">
        <v>214770</v>
      </c>
      <c r="AB199" s="149">
        <v>215421</v>
      </c>
      <c r="AC199" s="149">
        <v>221088</v>
      </c>
      <c r="AD199" s="149">
        <v>225574</v>
      </c>
      <c r="AE199" s="149">
        <v>226881</v>
      </c>
      <c r="AF199" s="149">
        <v>227083</v>
      </c>
      <c r="AG199" s="149">
        <v>227678</v>
      </c>
      <c r="AH199" s="222">
        <v>229786</v>
      </c>
      <c r="AI199" s="209">
        <f>(Tableau1014[[#This Row],[mars-20]]-Tableau1014[[#This Row],[dec-19]])/Tableau1014[[#This Row],[dec-19]]</f>
        <v>9.2586899041628961E-3</v>
      </c>
      <c r="AJ199" s="222">
        <f>Tableau1014[[#This Row],[mars-20]]-Tableau1014[[#This Row],[dec-19]]</f>
        <v>2108</v>
      </c>
      <c r="AK199" s="2">
        <v>240654</v>
      </c>
      <c r="AL199" s="2">
        <v>242311</v>
      </c>
      <c r="AM199" s="2">
        <v>244071</v>
      </c>
      <c r="AN199" s="2">
        <v>243525</v>
      </c>
      <c r="AO199" s="2">
        <v>243640</v>
      </c>
      <c r="AP199" s="2">
        <v>242475</v>
      </c>
      <c r="AQ199" s="2">
        <v>241794</v>
      </c>
      <c r="AR199" s="2">
        <v>237900</v>
      </c>
      <c r="AS199" s="2">
        <v>236119</v>
      </c>
      <c r="AT199" s="2">
        <v>235844</v>
      </c>
      <c r="AU199" s="2"/>
      <c r="AV199" s="554">
        <f>(Tableau1014[[#This Row],[juin-24]]-Tableau1014[[#This Row],[avr-24]])/Tableau1014[[#This Row],[avr-24]]</f>
        <v>-1.1646669687742199E-3</v>
      </c>
      <c r="AW199" s="548">
        <f>Tableau1014[[#This Row],[juin-24]]-Tableau1014[[#This Row],[avr-24]]</f>
        <v>-275</v>
      </c>
    </row>
    <row r="200" spans="1:49" ht="18" customHeight="1" x14ac:dyDescent="0.3">
      <c r="A200" s="170">
        <v>24</v>
      </c>
      <c r="B200" s="171" t="s">
        <v>146</v>
      </c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>
        <v>96543</v>
      </c>
      <c r="R200" s="149">
        <v>97246</v>
      </c>
      <c r="S200" s="149">
        <v>97773</v>
      </c>
      <c r="T200" s="149">
        <v>98141</v>
      </c>
      <c r="U200" s="149">
        <v>98280</v>
      </c>
      <c r="V200" s="149">
        <v>98907</v>
      </c>
      <c r="W200" s="149">
        <v>99609</v>
      </c>
      <c r="X200" s="149">
        <v>100181</v>
      </c>
      <c r="Y200" s="149">
        <v>100930</v>
      </c>
      <c r="Z200" s="149">
        <v>104944</v>
      </c>
      <c r="AA200" s="149">
        <v>105659</v>
      </c>
      <c r="AB200" s="149">
        <v>107999</v>
      </c>
      <c r="AC200" s="149">
        <v>118856</v>
      </c>
      <c r="AD200" s="149">
        <v>121721</v>
      </c>
      <c r="AE200" s="149">
        <v>122528</v>
      </c>
      <c r="AF200" s="149">
        <v>122765</v>
      </c>
      <c r="AG200" s="149">
        <v>123853</v>
      </c>
      <c r="AH200" s="222">
        <v>126327</v>
      </c>
      <c r="AI200" s="209">
        <f>(Tableau1014[[#This Row],[mars-20]]-Tableau1014[[#This Row],[dec-19]])/Tableau1014[[#This Row],[dec-19]]</f>
        <v>1.9975293291240422E-2</v>
      </c>
      <c r="AJ200" s="222">
        <f>Tableau1014[[#This Row],[mars-20]]-Tableau1014[[#This Row],[dec-19]]</f>
        <v>2474</v>
      </c>
      <c r="AK200" s="2">
        <v>144358</v>
      </c>
      <c r="AL200" s="2">
        <v>151685</v>
      </c>
      <c r="AM200" s="2">
        <v>193272</v>
      </c>
      <c r="AN200" s="2">
        <v>206659</v>
      </c>
      <c r="AO200" s="2">
        <v>212411</v>
      </c>
      <c r="AP200" s="2">
        <v>245347</v>
      </c>
      <c r="AQ200" s="2">
        <v>251089</v>
      </c>
      <c r="AR200" s="2">
        <v>291600</v>
      </c>
      <c r="AS200" s="2">
        <v>296795</v>
      </c>
      <c r="AT200" s="2">
        <v>298878</v>
      </c>
      <c r="AU200" s="2"/>
      <c r="AV200" s="554">
        <f>(Tableau1014[[#This Row],[juin-24]]-Tableau1014[[#This Row],[avr-24]])/Tableau1014[[#This Row],[avr-24]]</f>
        <v>7.0183123031048369E-3</v>
      </c>
      <c r="AW200" s="548">
        <f>Tableau1014[[#This Row],[juin-24]]-Tableau1014[[#This Row],[avr-24]]</f>
        <v>2083</v>
      </c>
    </row>
    <row r="201" spans="1:49" ht="18" customHeight="1" x14ac:dyDescent="0.3">
      <c r="A201" s="170">
        <v>41</v>
      </c>
      <c r="B201" s="171" t="s">
        <v>182</v>
      </c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>
        <v>102140</v>
      </c>
      <c r="Y201" s="149">
        <v>102525</v>
      </c>
      <c r="Z201" s="149">
        <v>111188</v>
      </c>
      <c r="AA201" s="149">
        <v>103094</v>
      </c>
      <c r="AB201" s="149">
        <v>103202</v>
      </c>
      <c r="AC201" s="149">
        <v>103520</v>
      </c>
      <c r="AD201" s="149">
        <v>103659</v>
      </c>
      <c r="AE201" s="149">
        <v>103801</v>
      </c>
      <c r="AF201" s="149">
        <v>103727</v>
      </c>
      <c r="AG201" s="149">
        <v>103626</v>
      </c>
      <c r="AH201" s="222">
        <v>103655</v>
      </c>
      <c r="AI201" s="209">
        <f>(Tableau1014[[#This Row],[mars-20]]-Tableau1014[[#This Row],[dec-19]])/Tableau1014[[#This Row],[dec-19]]</f>
        <v>2.798525466581746E-4</v>
      </c>
      <c r="AJ201" s="222">
        <f>Tableau1014[[#This Row],[mars-20]]-Tableau1014[[#This Row],[dec-19]]</f>
        <v>29</v>
      </c>
      <c r="AK201" s="2">
        <v>103992</v>
      </c>
      <c r="AL201" s="2">
        <v>104168</v>
      </c>
      <c r="AM201" s="2">
        <v>102838</v>
      </c>
      <c r="AN201" s="2">
        <v>102621</v>
      </c>
      <c r="AO201" s="2">
        <v>102662</v>
      </c>
      <c r="AP201" s="2">
        <v>102542</v>
      </c>
      <c r="AQ201" s="2">
        <v>101850</v>
      </c>
      <c r="AR201" s="2">
        <v>100100</v>
      </c>
      <c r="AS201" s="2">
        <v>98961</v>
      </c>
      <c r="AT201" s="2">
        <v>98618</v>
      </c>
      <c r="AU201" s="2"/>
      <c r="AV201" s="554">
        <f>(Tableau1014[[#This Row],[juin-24]]-Tableau1014[[#This Row],[avr-24]])/Tableau1014[[#This Row],[avr-24]]</f>
        <v>-3.4660118632592637E-3</v>
      </c>
      <c r="AW201" s="548">
        <f>Tableau1014[[#This Row],[juin-24]]-Tableau1014[[#This Row],[avr-24]]</f>
        <v>-343</v>
      </c>
    </row>
    <row r="202" spans="1:49" ht="18" customHeight="1" x14ac:dyDescent="0.3">
      <c r="A202" s="302"/>
      <c r="B202" s="165"/>
      <c r="C202" s="242"/>
      <c r="D202" s="242"/>
      <c r="E202" s="242"/>
      <c r="F202" s="24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03"/>
      <c r="AI202" s="264"/>
      <c r="AJ202" s="263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08"/>
      <c r="AW202" s="304"/>
    </row>
    <row r="203" spans="1:49" ht="18" customHeight="1" x14ac:dyDescent="0.3">
      <c r="A203" s="302"/>
      <c r="B203" s="165"/>
      <c r="C203" s="242"/>
      <c r="D203" s="242"/>
      <c r="E203" s="242"/>
      <c r="F203" s="24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03"/>
      <c r="AI203" s="264"/>
      <c r="AJ203" s="263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08"/>
      <c r="AW203" s="304"/>
    </row>
    <row r="204" spans="1:49" ht="18" customHeight="1" x14ac:dyDescent="0.3">
      <c r="A204" s="302"/>
      <c r="B204" s="165"/>
      <c r="C204" s="242"/>
      <c r="D204" s="242"/>
      <c r="E204" s="242"/>
      <c r="F204" s="24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03"/>
      <c r="AI204" s="264"/>
      <c r="AJ204" s="263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08"/>
      <c r="AW204" s="304"/>
    </row>
    <row r="205" spans="1:49" x14ac:dyDescent="0.3">
      <c r="A205" s="172" t="s">
        <v>185</v>
      </c>
      <c r="B205" s="173" t="s">
        <v>115</v>
      </c>
      <c r="C205" s="108" t="s">
        <v>86</v>
      </c>
      <c r="D205" s="109" t="s">
        <v>99</v>
      </c>
      <c r="E205" s="109" t="s">
        <v>101</v>
      </c>
      <c r="F205" s="109" t="s">
        <v>102</v>
      </c>
      <c r="G205" s="109" t="s">
        <v>105</v>
      </c>
      <c r="H205" s="109" t="s">
        <v>106</v>
      </c>
      <c r="I205" s="109" t="s">
        <v>108</v>
      </c>
      <c r="J205" s="109" t="s">
        <v>109</v>
      </c>
      <c r="K205" s="109" t="s">
        <v>110</v>
      </c>
      <c r="L205" s="109" t="s">
        <v>117</v>
      </c>
      <c r="M205" s="24" t="s">
        <v>127</v>
      </c>
      <c r="N205" s="24" t="s">
        <v>129</v>
      </c>
      <c r="O205" s="24" t="s">
        <v>131</v>
      </c>
      <c r="P205" s="24" t="s">
        <v>142</v>
      </c>
      <c r="Q205" s="24" t="s">
        <v>143</v>
      </c>
      <c r="R205" s="24" t="s">
        <v>151</v>
      </c>
      <c r="S205" s="24" t="s">
        <v>156</v>
      </c>
      <c r="T205" s="24" t="s">
        <v>157</v>
      </c>
      <c r="U205" s="24" t="s">
        <v>163</v>
      </c>
      <c r="V205" s="24" t="s">
        <v>164</v>
      </c>
      <c r="W205" s="24" t="s">
        <v>177</v>
      </c>
      <c r="X205" s="24" t="s">
        <v>179</v>
      </c>
      <c r="Y205" s="24" t="s">
        <v>183</v>
      </c>
      <c r="Z205" s="24" t="s">
        <v>184</v>
      </c>
      <c r="AA205" s="24" t="s">
        <v>186</v>
      </c>
      <c r="AB205" s="24" t="s">
        <v>188</v>
      </c>
      <c r="AC205" s="24" t="s">
        <v>200</v>
      </c>
      <c r="AD205" s="24" t="s">
        <v>201</v>
      </c>
      <c r="AE205" s="24" t="s">
        <v>203</v>
      </c>
      <c r="AF205" s="24" t="s">
        <v>207</v>
      </c>
      <c r="AG205" s="24" t="s">
        <v>208</v>
      </c>
      <c r="AH205" s="373" t="s">
        <v>209</v>
      </c>
      <c r="AI205" s="223" t="s">
        <v>103</v>
      </c>
      <c r="AJ205" s="224" t="s">
        <v>104</v>
      </c>
      <c r="AK205" s="374" t="s">
        <v>210</v>
      </c>
      <c r="AL205" s="374" t="s">
        <v>211</v>
      </c>
      <c r="AM205" s="374" t="s">
        <v>214</v>
      </c>
      <c r="AN205" s="374" t="s">
        <v>213</v>
      </c>
      <c r="AO205" s="374" t="s">
        <v>272</v>
      </c>
      <c r="AP205" s="498" t="s">
        <v>330</v>
      </c>
      <c r="AQ205" s="374" t="s">
        <v>331</v>
      </c>
      <c r="AR205" s="374" t="s">
        <v>333</v>
      </c>
      <c r="AS205" s="374" t="s">
        <v>389</v>
      </c>
      <c r="AT205" s="374" t="s">
        <v>405</v>
      </c>
      <c r="AU205" s="2"/>
      <c r="AV205" s="375" t="s">
        <v>235</v>
      </c>
      <c r="AW205" s="375" t="s">
        <v>236</v>
      </c>
    </row>
    <row r="206" spans="1:49" x14ac:dyDescent="0.3">
      <c r="A206" s="57"/>
      <c r="B206" s="389" t="s">
        <v>239</v>
      </c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>
        <f>Tableau1115[[#This Row],[dec-19]]-Tableau1115[[#This Row],[nov-19]]</f>
        <v>0</v>
      </c>
      <c r="AK206" s="57"/>
      <c r="AL206" s="57"/>
      <c r="AM206" s="57"/>
      <c r="AN206" s="57">
        <v>101557</v>
      </c>
      <c r="AO206" s="57">
        <v>102122</v>
      </c>
      <c r="AP206" s="57">
        <v>105446</v>
      </c>
      <c r="AQ206" s="118">
        <v>104769</v>
      </c>
      <c r="AR206" s="118">
        <v>149000</v>
      </c>
      <c r="AS206" s="118">
        <v>152000</v>
      </c>
      <c r="AT206" s="500">
        <v>157913</v>
      </c>
      <c r="AU206" s="500"/>
      <c r="AV206" s="554">
        <f>(Tableau1115[[#This Row],[juin-24]]-Tableau1115[[#This Row],[avr-24]])/Tableau1115[[#This Row],[avr-24]]</f>
        <v>3.8901315789473687E-2</v>
      </c>
      <c r="AW206" s="548">
        <f>Tableau1115[[#This Row],[juin-24]]-Tableau1115[[#This Row],[avr-24]]</f>
        <v>5913</v>
      </c>
    </row>
    <row r="207" spans="1:49" x14ac:dyDescent="0.3">
      <c r="A207" s="390"/>
      <c r="B207" s="399" t="s">
        <v>301</v>
      </c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57"/>
      <c r="Z207" s="57"/>
      <c r="AA207" s="57"/>
      <c r="AB207" s="57"/>
      <c r="AC207" s="57"/>
      <c r="AD207" s="116"/>
      <c r="AE207" s="116"/>
      <c r="AF207" s="116"/>
      <c r="AG207" s="116"/>
      <c r="AH207" s="118"/>
      <c r="AI207" s="118"/>
      <c r="AJ207" s="180"/>
      <c r="AK207" s="118"/>
      <c r="AL207" s="118"/>
      <c r="AM207" s="118"/>
      <c r="AN207" s="118"/>
      <c r="AO207" s="118">
        <v>0</v>
      </c>
      <c r="AP207" s="118">
        <v>70151</v>
      </c>
      <c r="AQ207" s="118">
        <v>69618</v>
      </c>
      <c r="AR207" s="118">
        <v>78800</v>
      </c>
      <c r="AS207" s="118">
        <v>81700</v>
      </c>
      <c r="AT207" s="118">
        <v>83756</v>
      </c>
      <c r="AU207" s="500"/>
      <c r="AV207" s="554">
        <f>(Tableau1115[[#This Row],[juin-24]]-Tableau1115[[#This Row],[avr-24]])/Tableau1115[[#This Row],[avr-24]]</f>
        <v>2.5165238678090576E-2</v>
      </c>
      <c r="AW207" s="548">
        <f>Tableau1115[[#This Row],[juin-24]]-Tableau1115[[#This Row],[avr-24]]</f>
        <v>2056</v>
      </c>
    </row>
    <row r="208" spans="1:49" x14ac:dyDescent="0.3">
      <c r="A208" s="57"/>
      <c r="B208" s="389" t="s">
        <v>270</v>
      </c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>
        <v>12532</v>
      </c>
      <c r="AO208" s="57">
        <v>13773</v>
      </c>
      <c r="AP208" s="57">
        <v>15130</v>
      </c>
      <c r="AQ208" s="118">
        <v>14722</v>
      </c>
      <c r="AR208" s="118">
        <v>15200</v>
      </c>
      <c r="AS208" s="118">
        <v>15200</v>
      </c>
      <c r="AT208" s="118">
        <v>15382</v>
      </c>
      <c r="AU208" s="500"/>
      <c r="AV208" s="554">
        <f>(Tableau1115[[#This Row],[juin-24]]-Tableau1115[[#This Row],[avr-24]])/Tableau1115[[#This Row],[avr-24]]</f>
        <v>1.1973684210526315E-2</v>
      </c>
      <c r="AW208" s="548">
        <f>Tableau1115[[#This Row],[juin-24]]-Tableau1115[[#This Row],[avr-24]]</f>
        <v>182</v>
      </c>
    </row>
    <row r="209" spans="1:49" ht="15" customHeight="1" x14ac:dyDescent="0.3">
      <c r="A209" s="57"/>
      <c r="B209" s="389" t="s">
        <v>189</v>
      </c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>
        <v>101900</v>
      </c>
      <c r="AD209" s="57">
        <v>101948</v>
      </c>
      <c r="AE209" s="57">
        <v>102242</v>
      </c>
      <c r="AF209" s="57">
        <v>102085</v>
      </c>
      <c r="AG209" s="57">
        <v>101972</v>
      </c>
      <c r="AH209" s="57">
        <v>103383</v>
      </c>
      <c r="AI209" s="57"/>
      <c r="AJ209" s="57">
        <f>Tableau1115[[#This Row],[dec-19]]-Tableau1115[[#This Row],[nov-19]]</f>
        <v>-113</v>
      </c>
      <c r="AK209" s="57">
        <v>118667</v>
      </c>
      <c r="AL209" s="57">
        <v>132942</v>
      </c>
      <c r="AM209" s="57">
        <v>148154</v>
      </c>
      <c r="AN209" s="57">
        <v>152541</v>
      </c>
      <c r="AO209" s="57">
        <v>152140</v>
      </c>
      <c r="AP209" s="57">
        <v>151589</v>
      </c>
      <c r="AQ209" s="118">
        <v>150144</v>
      </c>
      <c r="AR209" s="118">
        <v>155000</v>
      </c>
      <c r="AS209" s="118">
        <v>154000</v>
      </c>
      <c r="AT209" s="118">
        <v>154326</v>
      </c>
      <c r="AU209" s="500"/>
      <c r="AV209" s="554">
        <f>(Tableau1115[[#This Row],[juin-24]]-Tableau1115[[#This Row],[avr-24]])/Tableau1115[[#This Row],[avr-24]]</f>
        <v>2.1168831168831169E-3</v>
      </c>
      <c r="AW209" s="548">
        <f>Tableau1115[[#This Row],[juin-24]]-Tableau1115[[#This Row],[avr-24]]</f>
        <v>326</v>
      </c>
    </row>
    <row r="210" spans="1:49" x14ac:dyDescent="0.3">
      <c r="A210" s="390"/>
      <c r="B210" s="390" t="s">
        <v>398</v>
      </c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57"/>
      <c r="Z210" s="57"/>
      <c r="AA210" s="57"/>
      <c r="AB210" s="57"/>
      <c r="AC210" s="57"/>
      <c r="AD210" s="116"/>
      <c r="AE210" s="116"/>
      <c r="AF210" s="116"/>
      <c r="AG210" s="116"/>
      <c r="AH210" s="118"/>
      <c r="AI210" s="118" t="e">
        <f>(Tableau1115[[#This Row],[mars-20]]-Tableau1115[[#This Row],[dec-19]])/Tableau1115[[#This Row],[dec-19]]</f>
        <v>#DIV/0!</v>
      </c>
      <c r="AJ210" s="180">
        <f>Tableau1115[[#This Row],[dec-19]]-Tableau1115[[#This Row],[nov-19]]</f>
        <v>0</v>
      </c>
      <c r="AK210" s="118"/>
      <c r="AL210" s="118"/>
      <c r="AM210" s="118"/>
      <c r="AN210" s="118"/>
      <c r="AO210" s="118">
        <v>0</v>
      </c>
      <c r="AP210" s="118">
        <v>0</v>
      </c>
      <c r="AQ210" s="118">
        <v>0</v>
      </c>
      <c r="AR210" s="118">
        <v>0</v>
      </c>
      <c r="AS210" s="118">
        <v>37800</v>
      </c>
      <c r="AT210" s="118">
        <v>39884</v>
      </c>
      <c r="AU210" s="500"/>
      <c r="AV210" s="554">
        <f>(Tableau1115[[#This Row],[juin-24]]-Tableau1115[[#This Row],[avr-24]])/Tableau1115[[#This Row],[avr-24]]</f>
        <v>5.513227513227513E-2</v>
      </c>
      <c r="AW210" s="548">
        <f>Tableau1115[[#This Row],[juin-24]]-Tableau1115[[#This Row],[avr-24]]</f>
        <v>2084</v>
      </c>
    </row>
    <row r="211" spans="1:49" x14ac:dyDescent="0.3">
      <c r="A211" s="57"/>
      <c r="B211" s="389" t="s">
        <v>255</v>
      </c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>
        <v>18759</v>
      </c>
      <c r="AO211" s="57">
        <v>19102</v>
      </c>
      <c r="AP211" s="57">
        <v>20890</v>
      </c>
      <c r="AQ211" s="118">
        <v>21693</v>
      </c>
      <c r="AR211" s="118">
        <v>34000</v>
      </c>
      <c r="AS211" s="118">
        <v>37600</v>
      </c>
      <c r="AT211" s="118">
        <v>43286</v>
      </c>
      <c r="AU211" s="500"/>
      <c r="AV211" s="554">
        <f>(Tableau1115[[#This Row],[juin-24]]-Tableau1115[[#This Row],[avr-24]])/Tableau1115[[#This Row],[avr-24]]</f>
        <v>0.15122340425531916</v>
      </c>
      <c r="AW211" s="548">
        <f>Tableau1115[[#This Row],[juin-24]]-Tableau1115[[#This Row],[avr-24]]</f>
        <v>5686</v>
      </c>
    </row>
    <row r="212" spans="1:49" x14ac:dyDescent="0.3">
      <c r="A212" s="57"/>
      <c r="B212" s="398" t="s">
        <v>269</v>
      </c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>
        <v>26364</v>
      </c>
      <c r="AO212" s="57">
        <v>34469</v>
      </c>
      <c r="AP212" s="57">
        <v>90000</v>
      </c>
      <c r="AQ212" s="118">
        <v>90841</v>
      </c>
      <c r="AR212" s="118">
        <v>102000</v>
      </c>
      <c r="AS212" s="118">
        <v>101000</v>
      </c>
      <c r="AT212" s="118">
        <v>102862</v>
      </c>
      <c r="AU212" s="500"/>
      <c r="AV212" s="554">
        <f>(Tableau1115[[#This Row],[juin-24]]-Tableau1115[[#This Row],[avr-24]])/Tableau1115[[#This Row],[avr-24]]</f>
        <v>1.8435643564356435E-2</v>
      </c>
      <c r="AW212" s="548">
        <f>Tableau1115[[#This Row],[juin-24]]-Tableau1115[[#This Row],[avr-24]]</f>
        <v>1862</v>
      </c>
    </row>
    <row r="213" spans="1:49" x14ac:dyDescent="0.3">
      <c r="A213" s="57"/>
      <c r="B213" s="389" t="s">
        <v>263</v>
      </c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>
        <v>12990</v>
      </c>
      <c r="AO213" s="57">
        <v>13144</v>
      </c>
      <c r="AP213" s="57">
        <v>22903</v>
      </c>
      <c r="AQ213" s="118">
        <v>22622</v>
      </c>
      <c r="AR213" s="118">
        <v>24800</v>
      </c>
      <c r="AS213" s="118">
        <v>27200</v>
      </c>
      <c r="AT213" s="118">
        <v>28434</v>
      </c>
      <c r="AU213" s="500"/>
      <c r="AV213" s="554">
        <f>(Tableau1115[[#This Row],[juin-24]]-Tableau1115[[#This Row],[avr-24]])/Tableau1115[[#This Row],[avr-24]]</f>
        <v>4.5367647058823526E-2</v>
      </c>
      <c r="AW213" s="548">
        <f>Tableau1115[[#This Row],[juin-24]]-Tableau1115[[#This Row],[avr-24]]</f>
        <v>1234</v>
      </c>
    </row>
    <row r="214" spans="1:49" x14ac:dyDescent="0.3">
      <c r="A214" s="57"/>
      <c r="B214" s="389" t="s">
        <v>197</v>
      </c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>
        <v>85367</v>
      </c>
      <c r="AD214" s="57">
        <v>91492</v>
      </c>
      <c r="AE214" s="57">
        <v>91989</v>
      </c>
      <c r="AF214" s="57">
        <v>92689</v>
      </c>
      <c r="AG214" s="57">
        <v>93491</v>
      </c>
      <c r="AH214" s="57">
        <v>100475</v>
      </c>
      <c r="AI214" s="57"/>
      <c r="AJ214" s="57">
        <f>Tableau1115[[#This Row],[dec-19]]-Tableau1115[[#This Row],[nov-19]]</f>
        <v>802</v>
      </c>
      <c r="AK214" s="57">
        <v>132941</v>
      </c>
      <c r="AL214" s="57">
        <v>135376</v>
      </c>
      <c r="AM214" s="57">
        <v>159910</v>
      </c>
      <c r="AN214" s="57">
        <v>162202</v>
      </c>
      <c r="AO214" s="57">
        <v>163080</v>
      </c>
      <c r="AP214" s="57">
        <v>180726</v>
      </c>
      <c r="AQ214" s="118">
        <v>178906</v>
      </c>
      <c r="AR214" s="118">
        <v>180000</v>
      </c>
      <c r="AS214" s="118">
        <v>177000</v>
      </c>
      <c r="AT214" s="118">
        <v>176846</v>
      </c>
      <c r="AU214" s="500"/>
      <c r="AV214" s="554">
        <f>(Tableau1115[[#This Row],[juin-24]]-Tableau1115[[#This Row],[avr-24]])/Tableau1115[[#This Row],[avr-24]]</f>
        <v>-8.7005649717514125E-4</v>
      </c>
      <c r="AW214" s="548">
        <f>Tableau1115[[#This Row],[juin-24]]-Tableau1115[[#This Row],[avr-24]]</f>
        <v>-154</v>
      </c>
    </row>
    <row r="215" spans="1:49" x14ac:dyDescent="0.3">
      <c r="A215" s="390"/>
      <c r="B215" s="390" t="s">
        <v>401</v>
      </c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57"/>
      <c r="Z215" s="57"/>
      <c r="AA215" s="57"/>
      <c r="AB215" s="57"/>
      <c r="AC215" s="57"/>
      <c r="AD215" s="116"/>
      <c r="AE215" s="116"/>
      <c r="AF215" s="116"/>
      <c r="AG215" s="116"/>
      <c r="AH215" s="118"/>
      <c r="AI215" s="118" t="e">
        <f>(Tableau1115[[#This Row],[mars-20]]-Tableau1115[[#This Row],[dec-19]])/Tableau1115[[#This Row],[dec-19]]</f>
        <v>#DIV/0!</v>
      </c>
      <c r="AJ215" s="180">
        <f>Tableau1115[[#This Row],[dec-19]]-Tableau1115[[#This Row],[nov-19]]</f>
        <v>0</v>
      </c>
      <c r="AK215" s="118"/>
      <c r="AL215" s="118"/>
      <c r="AM215" s="118"/>
      <c r="AN215" s="118"/>
      <c r="AO215" s="118">
        <v>0</v>
      </c>
      <c r="AP215" s="118">
        <v>0</v>
      </c>
      <c r="AQ215" s="118">
        <v>0</v>
      </c>
      <c r="AR215" s="118">
        <v>0</v>
      </c>
      <c r="AS215" s="118">
        <v>76700</v>
      </c>
      <c r="AT215" s="118">
        <v>79544</v>
      </c>
      <c r="AU215" s="500"/>
      <c r="AV215" s="554">
        <f>(Tableau1115[[#This Row],[juin-24]]-Tableau1115[[#This Row],[avr-24]])/Tableau1115[[#This Row],[avr-24]]</f>
        <v>3.7079530638852672E-2</v>
      </c>
      <c r="AW215" s="548">
        <f>Tableau1115[[#This Row],[juin-24]]-Tableau1115[[#This Row],[avr-24]]</f>
        <v>2844</v>
      </c>
    </row>
    <row r="216" spans="1:49" x14ac:dyDescent="0.3">
      <c r="A216" s="57">
        <v>6</v>
      </c>
      <c r="B216" s="389" t="s">
        <v>87</v>
      </c>
      <c r="C216" s="57"/>
      <c r="D216" s="57"/>
      <c r="E216" s="57"/>
      <c r="F216" s="57"/>
      <c r="G216" s="57"/>
      <c r="H216" s="57"/>
      <c r="I216" s="57"/>
      <c r="J216" s="57"/>
      <c r="K216" s="57"/>
      <c r="L216" s="57">
        <v>772470</v>
      </c>
      <c r="M216" s="57">
        <v>776446</v>
      </c>
      <c r="N216" s="57">
        <v>781365</v>
      </c>
      <c r="O216" s="57">
        <v>805241</v>
      </c>
      <c r="P216" s="57">
        <v>810022</v>
      </c>
      <c r="Q216" s="57">
        <v>852529</v>
      </c>
      <c r="R216" s="57">
        <v>860869</v>
      </c>
      <c r="S216" s="57">
        <v>864427</v>
      </c>
      <c r="T216" s="57">
        <v>859965</v>
      </c>
      <c r="U216" s="57">
        <v>888183</v>
      </c>
      <c r="V216" s="57">
        <v>896604</v>
      </c>
      <c r="W216" s="57">
        <v>906249</v>
      </c>
      <c r="X216" s="57">
        <v>918005</v>
      </c>
      <c r="Y216" s="57">
        <v>921105</v>
      </c>
      <c r="Z216" s="57">
        <v>923505</v>
      </c>
      <c r="AA216" s="57">
        <v>937343</v>
      </c>
      <c r="AB216" s="57">
        <v>950900</v>
      </c>
      <c r="AC216" s="57">
        <v>980889</v>
      </c>
      <c r="AD216" s="57">
        <v>991155</v>
      </c>
      <c r="AE216" s="57">
        <v>996916</v>
      </c>
      <c r="AF216" s="57">
        <v>1003240</v>
      </c>
      <c r="AG216" s="57">
        <v>1011240</v>
      </c>
      <c r="AH216" s="57">
        <v>1027981</v>
      </c>
      <c r="AI216" s="57"/>
      <c r="AJ216" s="57">
        <f>Tableau1115[[#This Row],[dec-19]]-Tableau1115[[#This Row],[nov-19]]</f>
        <v>8000</v>
      </c>
      <c r="AK216" s="57">
        <v>1106361</v>
      </c>
      <c r="AL216" s="57">
        <v>1119297</v>
      </c>
      <c r="AM216" s="57">
        <v>1143252</v>
      </c>
      <c r="AN216" s="57">
        <v>1128169</v>
      </c>
      <c r="AO216" s="57">
        <v>1125421</v>
      </c>
      <c r="AP216" s="57">
        <v>1131172</v>
      </c>
      <c r="AQ216" s="118">
        <v>1117474</v>
      </c>
      <c r="AR216" s="118">
        <v>1100000</v>
      </c>
      <c r="AS216" s="118">
        <v>1100000</v>
      </c>
      <c r="AT216" s="118">
        <v>1113379</v>
      </c>
      <c r="AU216" s="500"/>
      <c r="AV216" s="554">
        <f>(Tableau1115[[#This Row],[juin-24]]-Tableau1115[[#This Row],[avr-24]])/Tableau1115[[#This Row],[avr-24]]</f>
        <v>1.2162727272727273E-2</v>
      </c>
      <c r="AW216" s="548">
        <f>Tableau1115[[#This Row],[juin-24]]-Tableau1115[[#This Row],[avr-24]]</f>
        <v>13379</v>
      </c>
    </row>
    <row r="217" spans="1:49" x14ac:dyDescent="0.3">
      <c r="A217" s="390"/>
      <c r="B217" s="583" t="s">
        <v>404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57"/>
      <c r="Z217" s="57"/>
      <c r="AA217" s="57"/>
      <c r="AB217" s="57"/>
      <c r="AC217" s="57"/>
      <c r="AD217" s="116"/>
      <c r="AE217" s="116"/>
      <c r="AF217" s="116"/>
      <c r="AG217" s="116"/>
      <c r="AH217" s="118"/>
      <c r="AI217" s="118"/>
      <c r="AJ217" s="180"/>
      <c r="AK217" s="118"/>
      <c r="AL217" s="118"/>
      <c r="AM217" s="118"/>
      <c r="AN217" s="118"/>
      <c r="AO217" s="118"/>
      <c r="AP217" s="118"/>
      <c r="AQ217" s="118"/>
      <c r="AR217" s="118"/>
      <c r="AS217" s="118">
        <v>40900</v>
      </c>
      <c r="AT217" s="118">
        <v>46107</v>
      </c>
      <c r="AU217" s="500"/>
      <c r="AV217" s="554">
        <f>(Tableau1115[[#This Row],[juin-24]]-Tableau1115[[#This Row],[avr-24]])/Tableau1115[[#This Row],[avr-24]]</f>
        <v>0.12731051344743277</v>
      </c>
      <c r="AW217" s="548">
        <f>Tableau1115[[#This Row],[juin-24]]-Tableau1115[[#This Row],[avr-24]]</f>
        <v>5207</v>
      </c>
    </row>
    <row r="218" spans="1:49" x14ac:dyDescent="0.3">
      <c r="A218" s="57"/>
      <c r="B218" s="389" t="s">
        <v>253</v>
      </c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>
        <v>182737</v>
      </c>
      <c r="AO218" s="57">
        <v>188111</v>
      </c>
      <c r="AP218" s="57">
        <v>194247</v>
      </c>
      <c r="AQ218" s="118">
        <v>194680</v>
      </c>
      <c r="AR218" s="118">
        <v>196000</v>
      </c>
      <c r="AS218" s="118">
        <v>202000</v>
      </c>
      <c r="AT218" s="118">
        <v>209985</v>
      </c>
      <c r="AU218" s="500"/>
      <c r="AV218" s="554">
        <f>(Tableau1115[[#This Row],[juin-24]]-Tableau1115[[#This Row],[avr-24]])/Tableau1115[[#This Row],[avr-24]]</f>
        <v>3.952970297029703E-2</v>
      </c>
      <c r="AW218" s="548">
        <f>Tableau1115[[#This Row],[juin-24]]-Tableau1115[[#This Row],[avr-24]]</f>
        <v>7985</v>
      </c>
    </row>
    <row r="219" spans="1:49" x14ac:dyDescent="0.3">
      <c r="A219" s="57"/>
      <c r="B219" s="389" t="s">
        <v>250</v>
      </c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>
        <v>61757</v>
      </c>
      <c r="AO219" s="57">
        <v>62372</v>
      </c>
      <c r="AP219" s="57">
        <v>86700</v>
      </c>
      <c r="AQ219" s="118">
        <v>86534</v>
      </c>
      <c r="AR219" s="118">
        <v>108000</v>
      </c>
      <c r="AS219" s="118">
        <v>106000</v>
      </c>
      <c r="AT219" s="118">
        <v>106086</v>
      </c>
      <c r="AU219" s="500"/>
      <c r="AV219" s="554">
        <f>(Tableau1115[[#This Row],[juin-24]]-Tableau1115[[#This Row],[avr-24]])/Tableau1115[[#This Row],[avr-24]]</f>
        <v>8.1132075471698111E-4</v>
      </c>
      <c r="AW219" s="548">
        <f>Tableau1115[[#This Row],[juin-24]]-Tableau1115[[#This Row],[avr-24]]</f>
        <v>86</v>
      </c>
    </row>
    <row r="220" spans="1:49" x14ac:dyDescent="0.3">
      <c r="A220" s="57">
        <v>28</v>
      </c>
      <c r="B220" s="389" t="s">
        <v>161</v>
      </c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>
        <v>188030</v>
      </c>
      <c r="U220" s="57">
        <v>199938</v>
      </c>
      <c r="V220" s="57">
        <v>202532</v>
      </c>
      <c r="W220" s="57">
        <v>207333</v>
      </c>
      <c r="X220" s="57">
        <v>220870</v>
      </c>
      <c r="Y220" s="57">
        <v>233490</v>
      </c>
      <c r="Z220" s="57">
        <v>238982</v>
      </c>
      <c r="AA220" s="57">
        <v>250075</v>
      </c>
      <c r="AB220" s="57">
        <v>255963</v>
      </c>
      <c r="AC220" s="57">
        <v>275988</v>
      </c>
      <c r="AD220" s="57">
        <v>274064</v>
      </c>
      <c r="AE220" s="57">
        <v>273733</v>
      </c>
      <c r="AF220" s="57">
        <v>283934</v>
      </c>
      <c r="AG220" s="57">
        <v>286474</v>
      </c>
      <c r="AH220" s="57">
        <v>267172</v>
      </c>
      <c r="AI220" s="57"/>
      <c r="AJ220" s="57">
        <f>Tableau1115[[#This Row],[dec-19]]-Tableau1115[[#This Row],[nov-19]]</f>
        <v>2540</v>
      </c>
      <c r="AK220" s="57">
        <v>287544</v>
      </c>
      <c r="AL220" s="57">
        <v>306917</v>
      </c>
      <c r="AM220" s="57">
        <v>388502</v>
      </c>
      <c r="AN220" s="57">
        <v>446990</v>
      </c>
      <c r="AO220" s="57">
        <v>451848</v>
      </c>
      <c r="AP220" s="57">
        <v>490029</v>
      </c>
      <c r="AQ220" s="118">
        <v>498921</v>
      </c>
      <c r="AR220" s="118">
        <v>529000</v>
      </c>
      <c r="AS220" s="118">
        <v>553000</v>
      </c>
      <c r="AT220" s="118">
        <v>564948</v>
      </c>
      <c r="AU220" s="500"/>
      <c r="AV220" s="554">
        <f>(Tableau1115[[#This Row],[juin-24]]-Tableau1115[[#This Row],[avr-24]])/Tableau1115[[#This Row],[avr-24]]</f>
        <v>2.1605786618444846E-2</v>
      </c>
      <c r="AW220" s="548">
        <f>Tableau1115[[#This Row],[juin-24]]-Tableau1115[[#This Row],[avr-24]]</f>
        <v>11948</v>
      </c>
    </row>
    <row r="221" spans="1:49" x14ac:dyDescent="0.3">
      <c r="A221" s="57"/>
      <c r="B221" s="388" t="s">
        <v>274</v>
      </c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>
        <v>39681</v>
      </c>
      <c r="AO221" s="57">
        <v>53928</v>
      </c>
      <c r="AP221" s="57">
        <v>56800</v>
      </c>
      <c r="AQ221" s="118">
        <v>57100</v>
      </c>
      <c r="AR221" s="118">
        <v>80300</v>
      </c>
      <c r="AS221" s="118">
        <v>81500</v>
      </c>
      <c r="AT221" s="118">
        <v>81786</v>
      </c>
      <c r="AU221" s="500"/>
      <c r="AV221" s="554">
        <f>(Tableau1115[[#This Row],[juin-24]]-Tableau1115[[#This Row],[avr-24]])/Tableau1115[[#This Row],[avr-24]]</f>
        <v>3.5092024539877301E-3</v>
      </c>
      <c r="AW221" s="548">
        <f>Tableau1115[[#This Row],[juin-24]]-Tableau1115[[#This Row],[avr-24]]</f>
        <v>286</v>
      </c>
    </row>
    <row r="222" spans="1:49" x14ac:dyDescent="0.3">
      <c r="A222" s="57">
        <v>31</v>
      </c>
      <c r="B222" s="389" t="s">
        <v>150</v>
      </c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>
        <v>118988</v>
      </c>
      <c r="R222" s="57">
        <v>133892</v>
      </c>
      <c r="S222" s="57">
        <v>136240</v>
      </c>
      <c r="T222" s="57">
        <v>141513</v>
      </c>
      <c r="U222" s="57">
        <v>150207</v>
      </c>
      <c r="V222" s="57">
        <v>152987</v>
      </c>
      <c r="W222" s="57">
        <v>156432</v>
      </c>
      <c r="X222" s="57">
        <v>166720</v>
      </c>
      <c r="Y222" s="57">
        <v>182885</v>
      </c>
      <c r="Z222" s="57">
        <v>186795</v>
      </c>
      <c r="AA222" s="57">
        <v>190274</v>
      </c>
      <c r="AB222" s="57">
        <v>205552</v>
      </c>
      <c r="AC222" s="57">
        <v>604873</v>
      </c>
      <c r="AD222" s="57">
        <v>751895</v>
      </c>
      <c r="AE222" s="57">
        <v>760181</v>
      </c>
      <c r="AF222" s="57">
        <v>770185</v>
      </c>
      <c r="AG222" s="57">
        <v>772132</v>
      </c>
      <c r="AH222" s="57">
        <v>800495</v>
      </c>
      <c r="AI222" s="57"/>
      <c r="AJ222" s="57">
        <f>Tableau1115[[#This Row],[dec-19]]-Tableau1115[[#This Row],[nov-19]]</f>
        <v>1947</v>
      </c>
      <c r="AK222" s="57">
        <v>924449</v>
      </c>
      <c r="AL222" s="57">
        <v>933429</v>
      </c>
      <c r="AM222" s="57">
        <v>1281283</v>
      </c>
      <c r="AN222" s="57">
        <v>1414972</v>
      </c>
      <c r="AO222" s="57">
        <v>1429889</v>
      </c>
      <c r="AP222" s="57">
        <v>1393795</v>
      </c>
      <c r="AQ222" s="118">
        <v>1378534</v>
      </c>
      <c r="AR222" s="118">
        <v>1300000</v>
      </c>
      <c r="AS222" s="118">
        <v>1300000</v>
      </c>
      <c r="AT222" s="118">
        <v>1340315</v>
      </c>
      <c r="AU222" s="500"/>
      <c r="AV222" s="554">
        <f>(Tableau1115[[#This Row],[juin-24]]-Tableau1115[[#This Row],[avr-24]])/Tableau1115[[#This Row],[avr-24]]</f>
        <v>3.1011538461538462E-2</v>
      </c>
      <c r="AW222" s="548">
        <f>Tableau1115[[#This Row],[juin-24]]-Tableau1115[[#This Row],[avr-24]]</f>
        <v>40315</v>
      </c>
    </row>
    <row r="223" spans="1:49" x14ac:dyDescent="0.3">
      <c r="A223" s="57">
        <v>32</v>
      </c>
      <c r="B223" s="389" t="s">
        <v>136</v>
      </c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>
        <v>110877</v>
      </c>
      <c r="P223" s="57">
        <v>113877</v>
      </c>
      <c r="Q223" s="57">
        <v>118821</v>
      </c>
      <c r="R223" s="57">
        <v>124798</v>
      </c>
      <c r="S223" s="57">
        <v>131968</v>
      </c>
      <c r="T223" s="57">
        <v>133624</v>
      </c>
      <c r="U223" s="57">
        <v>135564</v>
      </c>
      <c r="V223" s="57">
        <v>138857</v>
      </c>
      <c r="W223" s="57">
        <v>145963</v>
      </c>
      <c r="X223" s="57">
        <v>148160</v>
      </c>
      <c r="Y223" s="57">
        <v>152985</v>
      </c>
      <c r="Z223" s="57">
        <v>154711</v>
      </c>
      <c r="AA223" s="57">
        <v>165817</v>
      </c>
      <c r="AB223" s="57">
        <v>170491</v>
      </c>
      <c r="AC223" s="57">
        <v>188589</v>
      </c>
      <c r="AD223" s="57">
        <v>198301</v>
      </c>
      <c r="AE223" s="57">
        <v>200350</v>
      </c>
      <c r="AF223" s="57">
        <v>202755</v>
      </c>
      <c r="AG223" s="57">
        <v>204358</v>
      </c>
      <c r="AH223" s="57">
        <v>211257</v>
      </c>
      <c r="AI223" s="57"/>
      <c r="AJ223" s="57">
        <f>Tableau1115[[#This Row],[dec-19]]-Tableau1115[[#This Row],[nov-19]]</f>
        <v>1603</v>
      </c>
      <c r="AK223" s="57">
        <v>222956</v>
      </c>
      <c r="AL223" s="57">
        <v>223366</v>
      </c>
      <c r="AM223" s="57">
        <v>228573</v>
      </c>
      <c r="AN223" s="57">
        <v>230871</v>
      </c>
      <c r="AO223" s="57">
        <v>231422</v>
      </c>
      <c r="AP223" s="57">
        <v>231665</v>
      </c>
      <c r="AQ223" s="118">
        <v>230750</v>
      </c>
      <c r="AR223" s="118">
        <v>227000</v>
      </c>
      <c r="AS223" s="118">
        <v>224000</v>
      </c>
      <c r="AT223" s="118">
        <v>224230</v>
      </c>
      <c r="AU223" s="500"/>
      <c r="AV223" s="554">
        <f>(Tableau1115[[#This Row],[juin-24]]-Tableau1115[[#This Row],[avr-24]])/Tableau1115[[#This Row],[avr-24]]</f>
        <v>1.0267857142857142E-3</v>
      </c>
      <c r="AW223" s="548">
        <f>Tableau1115[[#This Row],[juin-24]]-Tableau1115[[#This Row],[avr-24]]</f>
        <v>230</v>
      </c>
    </row>
    <row r="224" spans="1:49" x14ac:dyDescent="0.3">
      <c r="A224" s="57"/>
      <c r="B224" s="389" t="s">
        <v>198</v>
      </c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>
        <v>72419</v>
      </c>
      <c r="AC224" s="57">
        <v>88059</v>
      </c>
      <c r="AD224" s="57">
        <v>96506</v>
      </c>
      <c r="AE224" s="57">
        <v>97831</v>
      </c>
      <c r="AF224" s="57">
        <v>98778</v>
      </c>
      <c r="AG224" s="57">
        <v>99683</v>
      </c>
      <c r="AH224" s="57">
        <v>101811</v>
      </c>
      <c r="AI224" s="57"/>
      <c r="AJ224" s="57">
        <f>Tableau1115[[#This Row],[dec-19]]-Tableau1115[[#This Row],[nov-19]]</f>
        <v>905</v>
      </c>
      <c r="AK224" s="57">
        <v>118806</v>
      </c>
      <c r="AL224" s="57">
        <v>125578</v>
      </c>
      <c r="AM224" s="57">
        <v>141707</v>
      </c>
      <c r="AN224" s="57">
        <v>143426</v>
      </c>
      <c r="AO224" s="57">
        <v>144420</v>
      </c>
      <c r="AP224" s="57">
        <v>150000</v>
      </c>
      <c r="AQ224" s="118">
        <v>151656</v>
      </c>
      <c r="AR224" s="118">
        <v>161000</v>
      </c>
      <c r="AS224" s="118">
        <v>159000</v>
      </c>
      <c r="AT224" s="118">
        <v>158243</v>
      </c>
      <c r="AU224" s="500"/>
      <c r="AV224" s="554">
        <f>(Tableau1115[[#This Row],[juin-24]]-Tableau1115[[#This Row],[avr-24]])/Tableau1115[[#This Row],[avr-24]]</f>
        <v>-4.7610062893081763E-3</v>
      </c>
      <c r="AW224" s="548">
        <f>Tableau1115[[#This Row],[juin-24]]-Tableau1115[[#This Row],[avr-24]]</f>
        <v>-757</v>
      </c>
    </row>
    <row r="225" spans="1:49" x14ac:dyDescent="0.3">
      <c r="A225" s="57"/>
      <c r="B225" s="389" t="s">
        <v>268</v>
      </c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>
        <v>250610</v>
      </c>
      <c r="AO225" s="57">
        <v>255284</v>
      </c>
      <c r="AP225" s="57">
        <v>271000</v>
      </c>
      <c r="AQ225" s="118">
        <v>283428</v>
      </c>
      <c r="AR225" s="118">
        <v>330000</v>
      </c>
      <c r="AS225" s="118">
        <v>341000</v>
      </c>
      <c r="AT225" s="118">
        <v>357866</v>
      </c>
      <c r="AU225" s="500"/>
      <c r="AV225" s="554">
        <f>(Tableau1115[[#This Row],[juin-24]]-Tableau1115[[#This Row],[avr-24]])/Tableau1115[[#This Row],[avr-24]]</f>
        <v>4.9460410557184753E-2</v>
      </c>
      <c r="AW225" s="548">
        <f>Tableau1115[[#This Row],[juin-24]]-Tableau1115[[#This Row],[avr-24]]</f>
        <v>16866</v>
      </c>
    </row>
    <row r="226" spans="1:49" x14ac:dyDescent="0.3">
      <c r="A226" s="57">
        <v>8</v>
      </c>
      <c r="B226" s="389" t="s">
        <v>123</v>
      </c>
      <c r="C226" s="57"/>
      <c r="D226" s="57"/>
      <c r="E226" s="57"/>
      <c r="F226" s="57"/>
      <c r="G226" s="57"/>
      <c r="H226" s="57"/>
      <c r="I226" s="57"/>
      <c r="J226" s="57"/>
      <c r="K226" s="57"/>
      <c r="L226" s="57">
        <v>172415</v>
      </c>
      <c r="M226" s="57">
        <v>174033</v>
      </c>
      <c r="N226" s="57">
        <v>175539</v>
      </c>
      <c r="O226" s="57">
        <v>176792</v>
      </c>
      <c r="P226" s="57">
        <v>178951</v>
      </c>
      <c r="Q226" s="57">
        <v>255331</v>
      </c>
      <c r="R226" s="57">
        <v>267914</v>
      </c>
      <c r="S226" s="57">
        <v>270833</v>
      </c>
      <c r="T226" s="57">
        <v>271467</v>
      </c>
      <c r="U226" s="57">
        <v>275523</v>
      </c>
      <c r="V226" s="57">
        <v>285439</v>
      </c>
      <c r="W226" s="57">
        <v>289932</v>
      </c>
      <c r="X226" s="57">
        <v>294615</v>
      </c>
      <c r="Y226" s="57">
        <v>298875</v>
      </c>
      <c r="Z226" s="57">
        <v>301937</v>
      </c>
      <c r="AA226" s="57">
        <v>307771</v>
      </c>
      <c r="AB226" s="57">
        <v>314612</v>
      </c>
      <c r="AC226" s="57">
        <v>370277</v>
      </c>
      <c r="AD226" s="57">
        <v>387995</v>
      </c>
      <c r="AE226" s="57">
        <v>388650</v>
      </c>
      <c r="AF226" s="57">
        <v>388581</v>
      </c>
      <c r="AG226" s="57">
        <v>387610</v>
      </c>
      <c r="AH226" s="57">
        <v>403368</v>
      </c>
      <c r="AI226" s="57"/>
      <c r="AJ226" s="57">
        <f>Tableau1115[[#This Row],[dec-19]]-Tableau1115[[#This Row],[nov-19]]</f>
        <v>-971</v>
      </c>
      <c r="AK226" s="57">
        <v>448374</v>
      </c>
      <c r="AL226" s="57">
        <v>456545</v>
      </c>
      <c r="AM226" s="57">
        <v>495739</v>
      </c>
      <c r="AN226" s="57">
        <v>494671</v>
      </c>
      <c r="AO226" s="57">
        <v>494837</v>
      </c>
      <c r="AP226" s="57">
        <v>514484</v>
      </c>
      <c r="AQ226" s="118">
        <v>511974</v>
      </c>
      <c r="AR226" s="118">
        <v>571000</v>
      </c>
      <c r="AS226" s="118">
        <v>574000</v>
      </c>
      <c r="AT226" s="118">
        <v>602114</v>
      </c>
      <c r="AU226" s="500"/>
      <c r="AV226" s="554">
        <f>(Tableau1115[[#This Row],[juin-24]]-Tableau1115[[#This Row],[avr-24]])/Tableau1115[[#This Row],[avr-24]]</f>
        <v>4.8979094076655051E-2</v>
      </c>
      <c r="AW226" s="548">
        <f>Tableau1115[[#This Row],[juin-24]]-Tableau1115[[#This Row],[avr-24]]</f>
        <v>28114</v>
      </c>
    </row>
    <row r="227" spans="1:49" x14ac:dyDescent="0.3">
      <c r="A227" s="390"/>
      <c r="B227" s="399" t="s">
        <v>299</v>
      </c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57"/>
      <c r="Z227" s="57"/>
      <c r="AA227" s="57"/>
      <c r="AB227" s="57"/>
      <c r="AC227" s="57"/>
      <c r="AD227" s="116"/>
      <c r="AE227" s="116"/>
      <c r="AF227" s="116"/>
      <c r="AG227" s="116"/>
      <c r="AH227" s="118"/>
      <c r="AI227" s="118"/>
      <c r="AJ227" s="180"/>
      <c r="AK227" s="118"/>
      <c r="AL227" s="118"/>
      <c r="AM227" s="118"/>
      <c r="AN227" s="118"/>
      <c r="AO227" s="118"/>
      <c r="AP227" s="118">
        <v>98777</v>
      </c>
      <c r="AQ227" s="118">
        <v>97542</v>
      </c>
      <c r="AR227" s="118">
        <v>126000</v>
      </c>
      <c r="AS227" s="118">
        <v>126000</v>
      </c>
      <c r="AT227" s="118">
        <v>126078</v>
      </c>
      <c r="AU227" s="500"/>
      <c r="AV227" s="554">
        <f>(Tableau1115[[#This Row],[juin-24]]-Tableau1115[[#This Row],[avr-24]])/Tableau1115[[#This Row],[avr-24]]</f>
        <v>6.19047619047619E-4</v>
      </c>
      <c r="AW227" s="548">
        <f>Tableau1115[[#This Row],[juin-24]]-Tableau1115[[#This Row],[avr-24]]</f>
        <v>78</v>
      </c>
    </row>
    <row r="228" spans="1:49" x14ac:dyDescent="0.3">
      <c r="A228" s="390"/>
      <c r="B228" s="399" t="s">
        <v>309</v>
      </c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57"/>
      <c r="Z228" s="57"/>
      <c r="AA228" s="57"/>
      <c r="AB228" s="57"/>
      <c r="AC228" s="57"/>
      <c r="AD228" s="116"/>
      <c r="AE228" s="116"/>
      <c r="AF228" s="116"/>
      <c r="AG228" s="116"/>
      <c r="AH228" s="118"/>
      <c r="AI228" s="118"/>
      <c r="AJ228" s="180"/>
      <c r="AK228" s="118"/>
      <c r="AL228" s="118"/>
      <c r="AM228" s="118"/>
      <c r="AN228" s="118"/>
      <c r="AO228" s="118"/>
      <c r="AP228" s="118">
        <v>45028</v>
      </c>
      <c r="AQ228" s="118">
        <v>45854</v>
      </c>
      <c r="AR228" s="118">
        <v>85500</v>
      </c>
      <c r="AS228" s="118">
        <v>86300</v>
      </c>
      <c r="AT228" s="118">
        <v>89308</v>
      </c>
      <c r="AU228" s="500"/>
      <c r="AV228" s="554">
        <f>(Tableau1115[[#This Row],[juin-24]]-Tableau1115[[#This Row],[avr-24]])/Tableau1115[[#This Row],[avr-24]]</f>
        <v>3.4855156431054461E-2</v>
      </c>
      <c r="AW228" s="548">
        <f>Tableau1115[[#This Row],[juin-24]]-Tableau1115[[#This Row],[avr-24]]</f>
        <v>3008</v>
      </c>
    </row>
    <row r="229" spans="1:49" x14ac:dyDescent="0.3">
      <c r="A229" s="57"/>
      <c r="B229" s="389" t="s">
        <v>262</v>
      </c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>
        <v>35965</v>
      </c>
      <c r="AO229" s="57">
        <v>37959</v>
      </c>
      <c r="AP229" s="57">
        <v>55000</v>
      </c>
      <c r="AQ229" s="118">
        <v>56035</v>
      </c>
      <c r="AR229" s="118">
        <v>190000</v>
      </c>
      <c r="AS229" s="118">
        <v>244000</v>
      </c>
      <c r="AT229" s="118">
        <v>270713</v>
      </c>
      <c r="AU229" s="500"/>
      <c r="AV229" s="554">
        <f>(Tableau1115[[#This Row],[juin-24]]-Tableau1115[[#This Row],[avr-24]])/Tableau1115[[#This Row],[avr-24]]</f>
        <v>0.10947950819672131</v>
      </c>
      <c r="AW229" s="548">
        <f>Tableau1115[[#This Row],[juin-24]]-Tableau1115[[#This Row],[avr-24]]</f>
        <v>26713</v>
      </c>
    </row>
    <row r="230" spans="1:49" x14ac:dyDescent="0.3">
      <c r="A230" s="57"/>
      <c r="B230" s="389" t="s">
        <v>199</v>
      </c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>
        <v>53986</v>
      </c>
      <c r="AC230" s="57">
        <v>57149</v>
      </c>
      <c r="AD230" s="57">
        <v>58526</v>
      </c>
      <c r="AE230" s="57">
        <v>59148</v>
      </c>
      <c r="AF230" s="57">
        <v>59567</v>
      </c>
      <c r="AG230" s="57">
        <v>59812</v>
      </c>
      <c r="AH230" s="57">
        <v>60011</v>
      </c>
      <c r="AI230" s="57"/>
      <c r="AJ230" s="57">
        <f>Tableau1115[[#This Row],[dec-19]]-Tableau1115[[#This Row],[nov-19]]</f>
        <v>245</v>
      </c>
      <c r="AK230" s="57">
        <v>68153</v>
      </c>
      <c r="AL230" s="57">
        <v>68787</v>
      </c>
      <c r="AM230" s="57">
        <v>82316</v>
      </c>
      <c r="AN230" s="57">
        <v>85322</v>
      </c>
      <c r="AO230" s="57">
        <v>86582</v>
      </c>
      <c r="AP230" s="57">
        <v>92200</v>
      </c>
      <c r="AQ230" s="118">
        <v>92372</v>
      </c>
      <c r="AR230" s="118">
        <v>97600</v>
      </c>
      <c r="AS230" s="118">
        <v>104000</v>
      </c>
      <c r="AT230" s="118">
        <v>105149</v>
      </c>
      <c r="AU230" s="500"/>
      <c r="AV230" s="554">
        <f>(Tableau1115[[#This Row],[juin-24]]-Tableau1115[[#This Row],[avr-24]])/Tableau1115[[#This Row],[avr-24]]</f>
        <v>1.1048076923076923E-2</v>
      </c>
      <c r="AW230" s="548">
        <f>Tableau1115[[#This Row],[juin-24]]-Tableau1115[[#This Row],[avr-24]]</f>
        <v>1149</v>
      </c>
    </row>
    <row r="231" spans="1:49" x14ac:dyDescent="0.3">
      <c r="A231" s="57"/>
      <c r="B231" s="389" t="s">
        <v>248</v>
      </c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>
        <v>91560</v>
      </c>
      <c r="AO231" s="57">
        <v>91816</v>
      </c>
      <c r="AP231" s="57">
        <v>100000</v>
      </c>
      <c r="AQ231" s="118">
        <v>99467</v>
      </c>
      <c r="AR231" s="118">
        <v>120000</v>
      </c>
      <c r="AS231" s="118">
        <v>119000</v>
      </c>
      <c r="AT231" s="118">
        <v>122411</v>
      </c>
      <c r="AU231" s="500"/>
      <c r="AV231" s="554">
        <f>(Tableau1115[[#This Row],[juin-24]]-Tableau1115[[#This Row],[avr-24]])/Tableau1115[[#This Row],[avr-24]]</f>
        <v>2.8663865546218487E-2</v>
      </c>
      <c r="AW231" s="548">
        <f>Tableau1115[[#This Row],[juin-24]]-Tableau1115[[#This Row],[avr-24]]</f>
        <v>3411</v>
      </c>
    </row>
    <row r="232" spans="1:49" x14ac:dyDescent="0.3">
      <c r="A232" s="57"/>
      <c r="B232" s="389" t="s">
        <v>249</v>
      </c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>
        <v>65140</v>
      </c>
      <c r="AO232" s="57">
        <v>67714</v>
      </c>
      <c r="AP232" s="57">
        <v>354000</v>
      </c>
      <c r="AQ232" s="118">
        <v>355671</v>
      </c>
      <c r="AR232" s="118">
        <v>675000</v>
      </c>
      <c r="AS232" s="118">
        <v>697000</v>
      </c>
      <c r="AT232" s="118">
        <v>726652</v>
      </c>
      <c r="AU232" s="500"/>
      <c r="AV232" s="554">
        <f>(Tableau1115[[#This Row],[juin-24]]-Tableau1115[[#This Row],[avr-24]])/Tableau1115[[#This Row],[avr-24]]</f>
        <v>4.254232424677188E-2</v>
      </c>
      <c r="AW232" s="548">
        <f>Tableau1115[[#This Row],[juin-24]]-Tableau1115[[#This Row],[avr-24]]</f>
        <v>29652</v>
      </c>
    </row>
    <row r="233" spans="1:49" x14ac:dyDescent="0.3">
      <c r="A233" s="390"/>
      <c r="B233" s="390" t="s">
        <v>402</v>
      </c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57"/>
      <c r="Z233" s="57"/>
      <c r="AA233" s="57"/>
      <c r="AB233" s="57"/>
      <c r="AC233" s="57"/>
      <c r="AD233" s="116"/>
      <c r="AE233" s="116"/>
      <c r="AF233" s="116"/>
      <c r="AG233" s="116"/>
      <c r="AH233" s="118"/>
      <c r="AI233" s="118" t="e">
        <f>(Tableau1115[[#This Row],[mars-20]]-Tableau1115[[#This Row],[dec-19]])/Tableau1115[[#This Row],[dec-19]]</f>
        <v>#DIV/0!</v>
      </c>
      <c r="AJ233" s="180">
        <f>Tableau1115[[#This Row],[dec-19]]-Tableau1115[[#This Row],[nov-19]]</f>
        <v>0</v>
      </c>
      <c r="AK233" s="118"/>
      <c r="AL233" s="118"/>
      <c r="AM233" s="118"/>
      <c r="AN233" s="118"/>
      <c r="AO233" s="118"/>
      <c r="AP233" s="118"/>
      <c r="AQ233" s="118"/>
      <c r="AR233" s="118"/>
      <c r="AS233" s="118">
        <v>34400</v>
      </c>
      <c r="AT233" s="118">
        <v>58884</v>
      </c>
      <c r="AU233" s="500"/>
      <c r="AV233" s="554">
        <f>(Tableau1115[[#This Row],[juin-24]]-Tableau1115[[#This Row],[avr-24]])/Tableau1115[[#This Row],[avr-24]]</f>
        <v>0.71174418604651157</v>
      </c>
      <c r="AW233" s="548">
        <f>Tableau1115[[#This Row],[juin-24]]-Tableau1115[[#This Row],[avr-24]]</f>
        <v>24484</v>
      </c>
    </row>
    <row r="234" spans="1:49" x14ac:dyDescent="0.3">
      <c r="A234" s="390"/>
      <c r="B234" s="390" t="s">
        <v>396</v>
      </c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57"/>
      <c r="Z234" s="57"/>
      <c r="AA234" s="57"/>
      <c r="AB234" s="57"/>
      <c r="AC234" s="57"/>
      <c r="AD234" s="116"/>
      <c r="AE234" s="116"/>
      <c r="AF234" s="116"/>
      <c r="AG234" s="116"/>
      <c r="AH234" s="118"/>
      <c r="AI234" s="118"/>
      <c r="AJ234" s="180"/>
      <c r="AK234" s="118"/>
      <c r="AL234" s="118"/>
      <c r="AM234" s="118"/>
      <c r="AN234" s="118"/>
      <c r="AO234" s="118"/>
      <c r="AP234" s="118"/>
      <c r="AQ234" s="118"/>
      <c r="AR234" s="118"/>
      <c r="AS234" s="118">
        <v>96500</v>
      </c>
      <c r="AT234" s="118">
        <v>97772</v>
      </c>
      <c r="AU234" s="500"/>
      <c r="AV234" s="554">
        <f>(Tableau1115[[#This Row],[juin-24]]-Tableau1115[[#This Row],[avr-24]])/Tableau1115[[#This Row],[avr-24]]</f>
        <v>1.3181347150259067E-2</v>
      </c>
      <c r="AW234" s="548">
        <f>Tableau1115[[#This Row],[juin-24]]-Tableau1115[[#This Row],[avr-24]]</f>
        <v>1272</v>
      </c>
    </row>
    <row r="235" spans="1:49" x14ac:dyDescent="0.3">
      <c r="A235" s="57">
        <v>23</v>
      </c>
      <c r="B235" s="389" t="s">
        <v>120</v>
      </c>
      <c r="C235" s="57"/>
      <c r="D235" s="57"/>
      <c r="E235" s="57"/>
      <c r="F235" s="57"/>
      <c r="G235" s="57"/>
      <c r="H235" s="57"/>
      <c r="I235" s="57"/>
      <c r="J235" s="57"/>
      <c r="K235" s="57"/>
      <c r="L235" s="57">
        <v>94675</v>
      </c>
      <c r="M235" s="57">
        <v>98480</v>
      </c>
      <c r="N235" s="57">
        <v>105766</v>
      </c>
      <c r="O235" s="57">
        <v>108768</v>
      </c>
      <c r="P235" s="57">
        <v>111824</v>
      </c>
      <c r="Q235" s="57">
        <v>158823</v>
      </c>
      <c r="R235" s="57">
        <v>168614</v>
      </c>
      <c r="S235" s="57">
        <v>177538</v>
      </c>
      <c r="T235" s="57">
        <v>180671</v>
      </c>
      <c r="U235" s="57">
        <v>183230</v>
      </c>
      <c r="V235" s="57">
        <v>188024</v>
      </c>
      <c r="W235" s="57">
        <v>195881</v>
      </c>
      <c r="X235" s="57">
        <v>207322</v>
      </c>
      <c r="Y235" s="57">
        <v>232620</v>
      </c>
      <c r="Z235" s="57">
        <v>246641</v>
      </c>
      <c r="AA235" s="57">
        <v>254945</v>
      </c>
      <c r="AB235" s="57">
        <v>263153</v>
      </c>
      <c r="AC235" s="57">
        <v>459344</v>
      </c>
      <c r="AD235" s="57">
        <v>499470</v>
      </c>
      <c r="AE235" s="57">
        <v>502878</v>
      </c>
      <c r="AF235" s="57">
        <v>502479</v>
      </c>
      <c r="AG235" s="57">
        <v>504305</v>
      </c>
      <c r="AH235" s="57">
        <v>519247</v>
      </c>
      <c r="AI235" s="57"/>
      <c r="AJ235" s="57">
        <f>Tableau1115[[#This Row],[dec-19]]-Tableau1115[[#This Row],[nov-19]]</f>
        <v>1826</v>
      </c>
      <c r="AK235" s="57">
        <v>683454</v>
      </c>
      <c r="AL235" s="57">
        <v>721926</v>
      </c>
      <c r="AM235" s="57">
        <v>832893</v>
      </c>
      <c r="AN235" s="57">
        <v>869333</v>
      </c>
      <c r="AO235" s="57">
        <v>877005</v>
      </c>
      <c r="AP235" s="57">
        <v>888462</v>
      </c>
      <c r="AQ235" s="118">
        <v>883805</v>
      </c>
      <c r="AR235" s="118">
        <v>880000</v>
      </c>
      <c r="AS235" s="118">
        <v>867000</v>
      </c>
      <c r="AT235" s="118">
        <v>875736</v>
      </c>
      <c r="AU235" s="500"/>
      <c r="AV235" s="554">
        <f>(Tableau1115[[#This Row],[juin-24]]-Tableau1115[[#This Row],[avr-24]])/Tableau1115[[#This Row],[avr-24]]</f>
        <v>1.0076124567474049E-2</v>
      </c>
      <c r="AW235" s="548">
        <f>Tableau1115[[#This Row],[juin-24]]-Tableau1115[[#This Row],[avr-24]]</f>
        <v>8736</v>
      </c>
    </row>
    <row r="236" spans="1:49" x14ac:dyDescent="0.3">
      <c r="A236" s="390"/>
      <c r="B236" s="390" t="s">
        <v>399</v>
      </c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57"/>
      <c r="Z236" s="57"/>
      <c r="AA236" s="57"/>
      <c r="AB236" s="57"/>
      <c r="AC236" s="57"/>
      <c r="AD236" s="116"/>
      <c r="AE236" s="116"/>
      <c r="AF236" s="116"/>
      <c r="AG236" s="116"/>
      <c r="AH236" s="118"/>
      <c r="AI236" s="118" t="e">
        <f>(Tableau1115[[#This Row],[mars-20]]-Tableau1115[[#This Row],[dec-19]])/Tableau1115[[#This Row],[dec-19]]</f>
        <v>#DIV/0!</v>
      </c>
      <c r="AJ236" s="180">
        <f>Tableau1115[[#This Row],[dec-19]]-Tableau1115[[#This Row],[nov-19]]</f>
        <v>0</v>
      </c>
      <c r="AK236" s="118"/>
      <c r="AL236" s="118"/>
      <c r="AM236" s="118"/>
      <c r="AN236" s="118"/>
      <c r="AO236" s="118"/>
      <c r="AP236" s="118"/>
      <c r="AQ236" s="118"/>
      <c r="AR236" s="118"/>
      <c r="AS236" s="118">
        <v>34000</v>
      </c>
      <c r="AT236" s="118">
        <v>35248</v>
      </c>
      <c r="AU236" s="500"/>
      <c r="AV236" s="554">
        <f>(Tableau1115[[#This Row],[juin-24]]-Tableau1115[[#This Row],[avr-24]])/Tableau1115[[#This Row],[avr-24]]</f>
        <v>3.6705882352941178E-2</v>
      </c>
      <c r="AW236" s="548">
        <f>Tableau1115[[#This Row],[juin-24]]-Tableau1115[[#This Row],[avr-24]]</f>
        <v>1248</v>
      </c>
    </row>
    <row r="237" spans="1:49" x14ac:dyDescent="0.3">
      <c r="A237" s="57"/>
      <c r="B237" s="389" t="s">
        <v>205</v>
      </c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>
        <v>45532</v>
      </c>
      <c r="AF237" s="57"/>
      <c r="AG237" s="57"/>
      <c r="AH237" s="57"/>
      <c r="AI237" s="57"/>
      <c r="AJ237" s="57">
        <f>Tableau1115[[#This Row],[dec-19]]-Tableau1115[[#This Row],[nov-19]]</f>
        <v>0</v>
      </c>
      <c r="AK237" s="57"/>
      <c r="AL237" s="57"/>
      <c r="AM237" s="57">
        <v>82288</v>
      </c>
      <c r="AN237" s="57">
        <v>85324</v>
      </c>
      <c r="AO237" s="57">
        <v>85255</v>
      </c>
      <c r="AP237" s="57">
        <v>117000</v>
      </c>
      <c r="AQ237" s="118">
        <v>116759</v>
      </c>
      <c r="AR237" s="118">
        <v>190000</v>
      </c>
      <c r="AS237" s="118">
        <v>219000</v>
      </c>
      <c r="AT237" s="118">
        <v>223414</v>
      </c>
      <c r="AU237" s="500"/>
      <c r="AV237" s="554">
        <f>(Tableau1115[[#This Row],[juin-24]]-Tableau1115[[#This Row],[avr-24]])/Tableau1115[[#This Row],[avr-24]]</f>
        <v>2.0155251141552512E-2</v>
      </c>
      <c r="AW237" s="548">
        <f>Tableau1115[[#This Row],[juin-24]]-Tableau1115[[#This Row],[avr-24]]</f>
        <v>4414</v>
      </c>
    </row>
    <row r="238" spans="1:49" x14ac:dyDescent="0.3">
      <c r="A238" s="57"/>
      <c r="B238" s="389" t="s">
        <v>267</v>
      </c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>
        <v>90247</v>
      </c>
      <c r="AO238" s="57">
        <v>90673</v>
      </c>
      <c r="AP238" s="57">
        <v>96258</v>
      </c>
      <c r="AQ238" s="118">
        <v>96111</v>
      </c>
      <c r="AR238" s="118">
        <v>101000</v>
      </c>
      <c r="AS238" s="118">
        <v>100000</v>
      </c>
      <c r="AT238" s="118">
        <v>100298</v>
      </c>
      <c r="AU238" s="500"/>
      <c r="AV238" s="554">
        <f>(Tableau1115[[#This Row],[juin-24]]-Tableau1115[[#This Row],[avr-24]])/Tableau1115[[#This Row],[avr-24]]</f>
        <v>2.98E-3</v>
      </c>
      <c r="AW238" s="548">
        <f>Tableau1115[[#This Row],[juin-24]]-Tableau1115[[#This Row],[avr-24]]</f>
        <v>298</v>
      </c>
    </row>
    <row r="239" spans="1:49" x14ac:dyDescent="0.3">
      <c r="A239" s="57">
        <v>4</v>
      </c>
      <c r="B239" s="389" t="s">
        <v>90</v>
      </c>
      <c r="C239" s="57"/>
      <c r="D239" s="57"/>
      <c r="E239" s="57"/>
      <c r="F239" s="57"/>
      <c r="G239" s="57"/>
      <c r="H239" s="57"/>
      <c r="I239" s="57"/>
      <c r="J239" s="57"/>
      <c r="K239" s="57"/>
      <c r="L239" s="57">
        <v>492255</v>
      </c>
      <c r="M239" s="57">
        <v>497253</v>
      </c>
      <c r="N239" s="57">
        <v>501844</v>
      </c>
      <c r="O239" s="57">
        <v>507715</v>
      </c>
      <c r="P239" s="57">
        <v>509103</v>
      </c>
      <c r="Q239" s="57">
        <v>525736</v>
      </c>
      <c r="R239" s="57">
        <v>526631</v>
      </c>
      <c r="S239" s="57">
        <v>523947</v>
      </c>
      <c r="T239" s="57">
        <v>520424</v>
      </c>
      <c r="U239" s="57">
        <v>527022</v>
      </c>
      <c r="V239" s="57">
        <v>531905</v>
      </c>
      <c r="W239" s="57">
        <v>539604</v>
      </c>
      <c r="X239" s="57">
        <v>544060</v>
      </c>
      <c r="Y239" s="57">
        <v>544470</v>
      </c>
      <c r="Z239" s="57">
        <v>542272</v>
      </c>
      <c r="AA239" s="57">
        <v>546112</v>
      </c>
      <c r="AB239" s="57">
        <v>549708</v>
      </c>
      <c r="AC239" s="57">
        <v>559402</v>
      </c>
      <c r="AD239" s="57">
        <v>562183</v>
      </c>
      <c r="AE239" s="57">
        <v>562173</v>
      </c>
      <c r="AF239" s="57">
        <v>564471</v>
      </c>
      <c r="AG239" s="57">
        <v>569002</v>
      </c>
      <c r="AH239" s="57">
        <v>576001</v>
      </c>
      <c r="AI239" s="57"/>
      <c r="AJ239" s="57">
        <f>Tableau1115[[#This Row],[dec-19]]-Tableau1115[[#This Row],[nov-19]]</f>
        <v>4531</v>
      </c>
      <c r="AK239" s="57">
        <v>602379</v>
      </c>
      <c r="AL239" s="57">
        <v>601215</v>
      </c>
      <c r="AM239" s="57">
        <v>737532</v>
      </c>
      <c r="AN239" s="57">
        <v>745516</v>
      </c>
      <c r="AO239" s="57">
        <v>743715</v>
      </c>
      <c r="AP239" s="57">
        <v>747000</v>
      </c>
      <c r="AQ239" s="118">
        <v>744103</v>
      </c>
      <c r="AR239" s="118">
        <v>808000</v>
      </c>
      <c r="AS239" s="118">
        <v>831000</v>
      </c>
      <c r="AT239" s="118">
        <v>840748</v>
      </c>
      <c r="AU239" s="500"/>
      <c r="AV239" s="554">
        <f>(Tableau1115[[#This Row],[juin-24]]-Tableau1115[[#This Row],[avr-24]])/Tableau1115[[#This Row],[avr-24]]</f>
        <v>1.1730445246690735E-2</v>
      </c>
      <c r="AW239" s="548">
        <f>Tableau1115[[#This Row],[juin-24]]-Tableau1115[[#This Row],[avr-24]]</f>
        <v>9748</v>
      </c>
    </row>
    <row r="240" spans="1:49" x14ac:dyDescent="0.3">
      <c r="A240" s="57"/>
      <c r="B240" s="389" t="s">
        <v>260</v>
      </c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>
        <v>42855</v>
      </c>
      <c r="AO240" s="57">
        <v>48498</v>
      </c>
      <c r="AP240" s="57">
        <v>53154</v>
      </c>
      <c r="AQ240" s="118">
        <v>54537</v>
      </c>
      <c r="AR240" s="118">
        <v>81300</v>
      </c>
      <c r="AS240" s="118">
        <v>90900</v>
      </c>
      <c r="AT240" s="118">
        <v>98528</v>
      </c>
      <c r="AU240" s="500"/>
      <c r="AV240" s="554">
        <f>(Tableau1115[[#This Row],[juin-24]]-Tableau1115[[#This Row],[avr-24]])/Tableau1115[[#This Row],[avr-24]]</f>
        <v>8.3916391639163923E-2</v>
      </c>
      <c r="AW240" s="548">
        <f>Tableau1115[[#This Row],[juin-24]]-Tableau1115[[#This Row],[avr-24]]</f>
        <v>7628</v>
      </c>
    </row>
    <row r="241" spans="1:49" x14ac:dyDescent="0.3">
      <c r="A241" s="57">
        <v>22</v>
      </c>
      <c r="B241" s="389" t="s">
        <v>149</v>
      </c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>
        <v>141234</v>
      </c>
      <c r="R241" s="57">
        <v>146801</v>
      </c>
      <c r="S241" s="57">
        <v>151549</v>
      </c>
      <c r="T241" s="57">
        <v>157191</v>
      </c>
      <c r="U241" s="57">
        <v>167397</v>
      </c>
      <c r="V241" s="57">
        <v>176982</v>
      </c>
      <c r="W241" s="57">
        <v>184903</v>
      </c>
      <c r="X241" s="57">
        <v>193705</v>
      </c>
      <c r="Y241" s="57">
        <v>196230</v>
      </c>
      <c r="Z241" s="57">
        <v>258531</v>
      </c>
      <c r="AA241" s="57">
        <v>289900</v>
      </c>
      <c r="AB241" s="57">
        <v>296066</v>
      </c>
      <c r="AC241" s="57">
        <v>306182</v>
      </c>
      <c r="AD241" s="57">
        <v>335404</v>
      </c>
      <c r="AE241" s="57">
        <v>351525</v>
      </c>
      <c r="AF241" s="57">
        <v>357648</v>
      </c>
      <c r="AG241" s="57">
        <v>383860</v>
      </c>
      <c r="AH241" s="57">
        <v>442446</v>
      </c>
      <c r="AI241" s="57"/>
      <c r="AJ241" s="57">
        <f>Tableau1115[[#This Row],[dec-19]]-Tableau1115[[#This Row],[nov-19]]</f>
        <v>26212</v>
      </c>
      <c r="AK241" s="57">
        <v>486712</v>
      </c>
      <c r="AL241" s="57">
        <v>512276</v>
      </c>
      <c r="AM241" s="57">
        <v>813498</v>
      </c>
      <c r="AN241" s="57">
        <v>830349</v>
      </c>
      <c r="AO241" s="57">
        <v>856537</v>
      </c>
      <c r="AP241" s="57">
        <v>912181</v>
      </c>
      <c r="AQ241" s="118">
        <v>911579</v>
      </c>
      <c r="AR241" s="118">
        <v>1000000</v>
      </c>
      <c r="AS241" s="118">
        <v>1200000</v>
      </c>
      <c r="AT241" s="118">
        <v>1237719</v>
      </c>
      <c r="AU241" s="500"/>
      <c r="AV241" s="554">
        <f>(Tableau1115[[#This Row],[juin-24]]-Tableau1115[[#This Row],[avr-24]])/Tableau1115[[#This Row],[avr-24]]</f>
        <v>3.1432500000000002E-2</v>
      </c>
      <c r="AW241" s="548">
        <f>Tableau1115[[#This Row],[juin-24]]-Tableau1115[[#This Row],[avr-24]]</f>
        <v>37719</v>
      </c>
    </row>
    <row r="242" spans="1:49" x14ac:dyDescent="0.3">
      <c r="A242" s="390"/>
      <c r="B242" s="390" t="s">
        <v>397</v>
      </c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57"/>
      <c r="Z242" s="57"/>
      <c r="AA242" s="57"/>
      <c r="AB242" s="57"/>
      <c r="AC242" s="57"/>
      <c r="AD242" s="116"/>
      <c r="AE242" s="116"/>
      <c r="AF242" s="116"/>
      <c r="AG242" s="116"/>
      <c r="AH242" s="118"/>
      <c r="AI242" s="118" t="e">
        <f>(Tableau1115[[#This Row],[mars-20]]-Tableau1115[[#This Row],[dec-19]])/Tableau1115[[#This Row],[dec-19]]</f>
        <v>#DIV/0!</v>
      </c>
      <c r="AJ242" s="180">
        <f>Tableau1115[[#This Row],[dec-19]]-Tableau1115[[#This Row],[nov-19]]</f>
        <v>0</v>
      </c>
      <c r="AK242" s="118"/>
      <c r="AL242" s="118"/>
      <c r="AM242" s="118"/>
      <c r="AN242" s="118"/>
      <c r="AO242" s="118"/>
      <c r="AP242" s="118"/>
      <c r="AQ242" s="118"/>
      <c r="AR242" s="118"/>
      <c r="AS242" s="118">
        <v>33200</v>
      </c>
      <c r="AT242" s="118">
        <v>34183</v>
      </c>
      <c r="AU242" s="500"/>
      <c r="AV242" s="554">
        <f>(Tableau1115[[#This Row],[juin-24]]-Tableau1115[[#This Row],[avr-24]])/Tableau1115[[#This Row],[avr-24]]</f>
        <v>2.9608433734939758E-2</v>
      </c>
      <c r="AW242" s="548">
        <f>Tableau1115[[#This Row],[juin-24]]-Tableau1115[[#This Row],[avr-24]]</f>
        <v>983</v>
      </c>
    </row>
    <row r="243" spans="1:49" x14ac:dyDescent="0.3">
      <c r="A243" s="57">
        <v>12</v>
      </c>
      <c r="B243" s="389" t="s">
        <v>114</v>
      </c>
      <c r="C243" s="57"/>
      <c r="D243" s="57"/>
      <c r="E243" s="57"/>
      <c r="F243" s="57"/>
      <c r="G243" s="57"/>
      <c r="H243" s="57"/>
      <c r="I243" s="57"/>
      <c r="J243" s="57"/>
      <c r="K243" s="57"/>
      <c r="L243" s="57">
        <v>194920</v>
      </c>
      <c r="M243" s="57">
        <v>201562</v>
      </c>
      <c r="N243" s="57">
        <v>206326</v>
      </c>
      <c r="O243" s="57">
        <v>209485</v>
      </c>
      <c r="P243" s="57">
        <v>211496</v>
      </c>
      <c r="Q243" s="57">
        <v>229759</v>
      </c>
      <c r="R243" s="57">
        <v>243537</v>
      </c>
      <c r="S243" s="57">
        <v>250318</v>
      </c>
      <c r="T243" s="57">
        <v>251536</v>
      </c>
      <c r="U243" s="57">
        <v>251053</v>
      </c>
      <c r="V243" s="57">
        <v>251135</v>
      </c>
      <c r="W243" s="57">
        <v>251104</v>
      </c>
      <c r="X243" s="57">
        <v>250792</v>
      </c>
      <c r="Y243" s="57">
        <v>256540</v>
      </c>
      <c r="Z243" s="57">
        <v>258969</v>
      </c>
      <c r="AA243" s="57">
        <v>260390</v>
      </c>
      <c r="AB243" s="57">
        <v>258492</v>
      </c>
      <c r="AC243" s="57">
        <v>273382</v>
      </c>
      <c r="AD243" s="57">
        <v>276290</v>
      </c>
      <c r="AE243" s="57">
        <v>275614</v>
      </c>
      <c r="AF243" s="57">
        <v>275127</v>
      </c>
      <c r="AG243" s="57">
        <v>275240</v>
      </c>
      <c r="AH243" s="57">
        <v>272955</v>
      </c>
      <c r="AI243" s="57"/>
      <c r="AJ243" s="57">
        <f>Tableau1115[[#This Row],[dec-19]]-Tableau1115[[#This Row],[nov-19]]</f>
        <v>113</v>
      </c>
      <c r="AK243" s="57">
        <v>303249</v>
      </c>
      <c r="AL243" s="57">
        <v>306893</v>
      </c>
      <c r="AM243" s="57">
        <v>316973</v>
      </c>
      <c r="AN243" s="57">
        <v>311578</v>
      </c>
      <c r="AO243" s="57">
        <v>315951</v>
      </c>
      <c r="AP243" s="57">
        <v>315931</v>
      </c>
      <c r="AQ243" s="118">
        <v>311614</v>
      </c>
      <c r="AR243" s="118">
        <v>315000</v>
      </c>
      <c r="AS243" s="118">
        <v>312000</v>
      </c>
      <c r="AT243" s="118">
        <v>310994</v>
      </c>
      <c r="AU243" s="500"/>
      <c r="AV243" s="554">
        <f>(Tableau1115[[#This Row],[juin-24]]-Tableau1115[[#This Row],[avr-24]])/Tableau1115[[#This Row],[avr-24]]</f>
        <v>-3.2243589743589742E-3</v>
      </c>
      <c r="AW243" s="548">
        <f>Tableau1115[[#This Row],[juin-24]]-Tableau1115[[#This Row],[avr-24]]</f>
        <v>-1006</v>
      </c>
    </row>
    <row r="244" spans="1:49" x14ac:dyDescent="0.3">
      <c r="A244" s="57">
        <v>33</v>
      </c>
      <c r="B244" s="389" t="s">
        <v>159</v>
      </c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>
        <v>55371</v>
      </c>
      <c r="U244" s="57">
        <v>57496</v>
      </c>
      <c r="V244" s="57">
        <v>60098</v>
      </c>
      <c r="W244" s="57">
        <v>63266</v>
      </c>
      <c r="X244" s="57">
        <v>69800</v>
      </c>
      <c r="Y244" s="57">
        <v>77935</v>
      </c>
      <c r="Z244" s="57">
        <v>79733</v>
      </c>
      <c r="AA244" s="57">
        <v>91873</v>
      </c>
      <c r="AB244" s="57">
        <v>93823</v>
      </c>
      <c r="AC244" s="57">
        <v>95103</v>
      </c>
      <c r="AD244" s="57">
        <v>105278</v>
      </c>
      <c r="AE244" s="57">
        <v>109333</v>
      </c>
      <c r="AF244" s="57">
        <v>109122</v>
      </c>
      <c r="AG244" s="57">
        <v>109667</v>
      </c>
      <c r="AH244" s="57">
        <v>118933</v>
      </c>
      <c r="AI244" s="57"/>
      <c r="AJ244" s="57">
        <f>Tableau1115[[#This Row],[dec-19]]-Tableau1115[[#This Row],[nov-19]]</f>
        <v>545</v>
      </c>
      <c r="AK244" s="57">
        <v>167369</v>
      </c>
      <c r="AL244" s="57">
        <v>172773</v>
      </c>
      <c r="AM244" s="57">
        <v>200356</v>
      </c>
      <c r="AN244" s="57">
        <v>200607</v>
      </c>
      <c r="AO244" s="57">
        <v>201514</v>
      </c>
      <c r="AP244" s="57">
        <v>201886</v>
      </c>
      <c r="AQ244" s="118">
        <v>202308</v>
      </c>
      <c r="AR244" s="118">
        <v>216000</v>
      </c>
      <c r="AS244" s="118">
        <v>215000</v>
      </c>
      <c r="AT244" s="118">
        <v>215271</v>
      </c>
      <c r="AU244" s="500"/>
      <c r="AV244" s="554">
        <f>(Tableau1115[[#This Row],[juin-24]]-Tableau1115[[#This Row],[avr-24]])/Tableau1115[[#This Row],[avr-24]]</f>
        <v>1.2604651162790698E-3</v>
      </c>
      <c r="AW244" s="548">
        <f>Tableau1115[[#This Row],[juin-24]]-Tableau1115[[#This Row],[avr-24]]</f>
        <v>271</v>
      </c>
    </row>
    <row r="245" spans="1:49" x14ac:dyDescent="0.3">
      <c r="A245" s="390"/>
      <c r="B245" s="399" t="s">
        <v>312</v>
      </c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57"/>
      <c r="Z245" s="57"/>
      <c r="AA245" s="57"/>
      <c r="AB245" s="57"/>
      <c r="AC245" s="57"/>
      <c r="AD245" s="116"/>
      <c r="AE245" s="116"/>
      <c r="AF245" s="116"/>
      <c r="AG245" s="116"/>
      <c r="AH245" s="118"/>
      <c r="AI245" s="118"/>
      <c r="AJ245" s="180"/>
      <c r="AK245" s="118"/>
      <c r="AL245" s="118"/>
      <c r="AM245" s="118"/>
      <c r="AN245" s="118"/>
      <c r="AO245" s="118"/>
      <c r="AP245" s="118">
        <v>116995</v>
      </c>
      <c r="AQ245" s="118">
        <v>115207</v>
      </c>
      <c r="AR245" s="118">
        <v>115000</v>
      </c>
      <c r="AS245" s="118">
        <v>117000</v>
      </c>
      <c r="AT245" s="118">
        <v>117313</v>
      </c>
      <c r="AU245" s="500"/>
      <c r="AV245" s="554">
        <f>(Tableau1115[[#This Row],[juin-24]]-Tableau1115[[#This Row],[avr-24]])/Tableau1115[[#This Row],[avr-24]]</f>
        <v>2.6752136752136754E-3</v>
      </c>
      <c r="AW245" s="548">
        <f>Tableau1115[[#This Row],[juin-24]]-Tableau1115[[#This Row],[avr-24]]</f>
        <v>313</v>
      </c>
    </row>
    <row r="246" spans="1:49" x14ac:dyDescent="0.3">
      <c r="A246" s="57">
        <v>3</v>
      </c>
      <c r="B246" s="389" t="s">
        <v>89</v>
      </c>
      <c r="C246" s="57"/>
      <c r="D246" s="57"/>
      <c r="E246" s="57"/>
      <c r="F246" s="57"/>
      <c r="G246" s="57"/>
      <c r="H246" s="57"/>
      <c r="I246" s="57"/>
      <c r="J246" s="57"/>
      <c r="K246" s="57"/>
      <c r="L246" s="57">
        <v>914000</v>
      </c>
      <c r="M246" s="57">
        <v>920870</v>
      </c>
      <c r="N246" s="57">
        <v>925165</v>
      </c>
      <c r="O246" s="57">
        <v>940477</v>
      </c>
      <c r="P246" s="57">
        <v>947534</v>
      </c>
      <c r="Q246" s="57">
        <v>988260</v>
      </c>
      <c r="R246" s="57">
        <v>1002110</v>
      </c>
      <c r="S246" s="57">
        <v>1011300</v>
      </c>
      <c r="T246" s="57">
        <v>1019887</v>
      </c>
      <c r="U246" s="57">
        <v>1042695</v>
      </c>
      <c r="V246" s="57">
        <v>1049397</v>
      </c>
      <c r="W246" s="57">
        <v>1054382</v>
      </c>
      <c r="X246" s="57">
        <v>1065815</v>
      </c>
      <c r="Y246" s="57">
        <v>1069710</v>
      </c>
      <c r="Z246" s="57">
        <v>1068773</v>
      </c>
      <c r="AA246" s="57">
        <v>1069208</v>
      </c>
      <c r="AB246" s="57">
        <v>1071724</v>
      </c>
      <c r="AC246" s="57">
        <v>1138082</v>
      </c>
      <c r="AD246" s="57">
        <v>1189271</v>
      </c>
      <c r="AE246" s="57">
        <v>1210005</v>
      </c>
      <c r="AF246" s="57">
        <v>1213990</v>
      </c>
      <c r="AG246" s="57">
        <v>1217847</v>
      </c>
      <c r="AH246" s="57">
        <v>1236037</v>
      </c>
      <c r="AI246" s="57"/>
      <c r="AJ246" s="57">
        <f>Tableau1115[[#This Row],[dec-19]]-Tableau1115[[#This Row],[nov-19]]</f>
        <v>3857</v>
      </c>
      <c r="AK246" s="57">
        <v>1339904</v>
      </c>
      <c r="AL246" s="57">
        <v>1346096</v>
      </c>
      <c r="AM246" s="57">
        <v>1380171</v>
      </c>
      <c r="AN246" s="57">
        <v>1379418</v>
      </c>
      <c r="AO246" s="57">
        <v>1379847</v>
      </c>
      <c r="AP246" s="57">
        <v>1406865</v>
      </c>
      <c r="AQ246" s="118">
        <v>1403182</v>
      </c>
      <c r="AR246" s="118">
        <v>1400000</v>
      </c>
      <c r="AS246" s="118">
        <v>1400000</v>
      </c>
      <c r="AT246" s="118">
        <v>1416980</v>
      </c>
      <c r="AU246" s="500"/>
      <c r="AV246" s="554">
        <f>(Tableau1115[[#This Row],[juin-24]]-Tableau1115[[#This Row],[avr-24]])/Tableau1115[[#This Row],[avr-24]]</f>
        <v>1.2128571428571428E-2</v>
      </c>
      <c r="AW246" s="548">
        <f>Tableau1115[[#This Row],[juin-24]]-Tableau1115[[#This Row],[avr-24]]</f>
        <v>16980</v>
      </c>
    </row>
    <row r="247" spans="1:49" x14ac:dyDescent="0.3">
      <c r="A247" s="57"/>
      <c r="B247" s="389" t="s">
        <v>202</v>
      </c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>
        <v>110401</v>
      </c>
      <c r="AD247" s="57">
        <v>119481</v>
      </c>
      <c r="AE247" s="57">
        <v>140462</v>
      </c>
      <c r="AF247" s="57">
        <v>145773</v>
      </c>
      <c r="AG247" s="57">
        <v>147997</v>
      </c>
      <c r="AH247" s="57">
        <v>160202</v>
      </c>
      <c r="AI247" s="57"/>
      <c r="AJ247" s="57">
        <f>Tableau1115[[#This Row],[dec-19]]-Tableau1115[[#This Row],[nov-19]]</f>
        <v>2224</v>
      </c>
      <c r="AK247" s="57">
        <v>315345</v>
      </c>
      <c r="AL247" s="57">
        <v>351488</v>
      </c>
      <c r="AM247" s="57">
        <v>507212</v>
      </c>
      <c r="AN247" s="57">
        <v>539698</v>
      </c>
      <c r="AO247" s="57">
        <v>547025</v>
      </c>
      <c r="AP247" s="57">
        <v>595000</v>
      </c>
      <c r="AQ247" s="118">
        <v>592568</v>
      </c>
      <c r="AR247" s="118">
        <v>698000</v>
      </c>
      <c r="AS247" s="118">
        <v>712000</v>
      </c>
      <c r="AT247" s="118">
        <v>718196</v>
      </c>
      <c r="AU247" s="500"/>
      <c r="AV247" s="554">
        <f>(Tableau1115[[#This Row],[juin-24]]-Tableau1115[[#This Row],[avr-24]])/Tableau1115[[#This Row],[avr-24]]</f>
        <v>8.7022471910112361E-3</v>
      </c>
      <c r="AW247" s="548">
        <f>Tableau1115[[#This Row],[juin-24]]-Tableau1115[[#This Row],[avr-24]]</f>
        <v>6196</v>
      </c>
    </row>
    <row r="248" spans="1:49" ht="17.45" customHeight="1" x14ac:dyDescent="0.3">
      <c r="A248" s="57">
        <v>39</v>
      </c>
      <c r="B248" s="389" t="s">
        <v>162</v>
      </c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>
        <v>53240</v>
      </c>
      <c r="U248" s="57">
        <v>56915</v>
      </c>
      <c r="V248" s="57">
        <v>64987</v>
      </c>
      <c r="W248" s="57">
        <v>84265</v>
      </c>
      <c r="X248" s="57">
        <v>93660</v>
      </c>
      <c r="Y248" s="57">
        <v>99055</v>
      </c>
      <c r="Z248" s="57">
        <v>105261</v>
      </c>
      <c r="AA248" s="57">
        <v>108379</v>
      </c>
      <c r="AB248" s="57">
        <v>119928</v>
      </c>
      <c r="AC248" s="57">
        <v>129117</v>
      </c>
      <c r="AD248" s="57">
        <v>186249</v>
      </c>
      <c r="AE248" s="57">
        <v>198837</v>
      </c>
      <c r="AF248" s="57">
        <v>207248</v>
      </c>
      <c r="AG248" s="57">
        <v>210260</v>
      </c>
      <c r="AH248" s="57">
        <v>264818</v>
      </c>
      <c r="AI248" s="57"/>
      <c r="AJ248" s="57">
        <f>Tableau1115[[#This Row],[dec-19]]-Tableau1115[[#This Row],[nov-19]]</f>
        <v>3012</v>
      </c>
      <c r="AK248" s="57">
        <v>385947</v>
      </c>
      <c r="AL248" s="57">
        <v>406964</v>
      </c>
      <c r="AM248" s="57">
        <v>480000</v>
      </c>
      <c r="AN248" s="57">
        <v>498255</v>
      </c>
      <c r="AO248" s="57">
        <v>512622</v>
      </c>
      <c r="AP248" s="57">
        <v>577000</v>
      </c>
      <c r="AQ248" s="118">
        <v>593483</v>
      </c>
      <c r="AR248" s="118">
        <v>754000</v>
      </c>
      <c r="AS248" s="118">
        <v>799000</v>
      </c>
      <c r="AT248" s="118">
        <v>811990</v>
      </c>
      <c r="AU248" s="500"/>
      <c r="AV248" s="554">
        <f>(Tableau1115[[#This Row],[juin-24]]-Tableau1115[[#This Row],[avr-24]])/Tableau1115[[#This Row],[avr-24]]</f>
        <v>1.6257822277847309E-2</v>
      </c>
      <c r="AW248" s="548">
        <f>Tableau1115[[#This Row],[juin-24]]-Tableau1115[[#This Row],[avr-24]]</f>
        <v>12990</v>
      </c>
    </row>
    <row r="249" spans="1:49" x14ac:dyDescent="0.3">
      <c r="A249" s="57">
        <v>44</v>
      </c>
      <c r="B249" s="389" t="s">
        <v>187</v>
      </c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>
        <v>163094</v>
      </c>
      <c r="AB249" s="57">
        <v>195684</v>
      </c>
      <c r="AC249" s="57">
        <v>197586</v>
      </c>
      <c r="AD249" s="57">
        <v>197629</v>
      </c>
      <c r="AE249" s="57">
        <v>196503</v>
      </c>
      <c r="AF249" s="57">
        <v>195587</v>
      </c>
      <c r="AG249" s="57">
        <v>194727</v>
      </c>
      <c r="AH249" s="57">
        <v>204142</v>
      </c>
      <c r="AI249" s="57"/>
      <c r="AJ249" s="57">
        <f>Tableau1115[[#This Row],[dec-19]]-Tableau1115[[#This Row],[nov-19]]</f>
        <v>-860</v>
      </c>
      <c r="AK249" s="57">
        <v>327336</v>
      </c>
      <c r="AL249" s="57">
        <v>408757</v>
      </c>
      <c r="AM249" s="57">
        <v>706866</v>
      </c>
      <c r="AN249" s="57">
        <v>718019</v>
      </c>
      <c r="AO249" s="57">
        <v>721294</v>
      </c>
      <c r="AP249" s="57">
        <v>744000</v>
      </c>
      <c r="AQ249" s="118">
        <v>744406</v>
      </c>
      <c r="AR249" s="118">
        <v>747000</v>
      </c>
      <c r="AS249" s="118">
        <v>762000</v>
      </c>
      <c r="AT249" s="118">
        <v>770508</v>
      </c>
      <c r="AU249" s="500"/>
      <c r="AV249" s="554">
        <f>(Tableau1115[[#This Row],[juin-24]]-Tableau1115[[#This Row],[avr-24]])/Tableau1115[[#This Row],[avr-24]]</f>
        <v>1.1165354330708661E-2</v>
      </c>
      <c r="AW249" s="548">
        <f>Tableau1115[[#This Row],[juin-24]]-Tableau1115[[#This Row],[avr-24]]</f>
        <v>8508</v>
      </c>
    </row>
    <row r="250" spans="1:49" x14ac:dyDescent="0.3">
      <c r="A250" s="57">
        <v>5</v>
      </c>
      <c r="B250" s="389" t="s">
        <v>100</v>
      </c>
      <c r="C250" s="57"/>
      <c r="D250" s="57"/>
      <c r="E250" s="57"/>
      <c r="F250" s="57"/>
      <c r="G250" s="57"/>
      <c r="H250" s="57"/>
      <c r="I250" s="57"/>
      <c r="J250" s="57"/>
      <c r="K250" s="57"/>
      <c r="L250" s="57">
        <v>657510</v>
      </c>
      <c r="M250" s="57">
        <v>663185</v>
      </c>
      <c r="N250" s="57">
        <v>669986</v>
      </c>
      <c r="O250" s="57">
        <v>681701</v>
      </c>
      <c r="P250" s="57">
        <v>685864</v>
      </c>
      <c r="Q250" s="57">
        <v>709568</v>
      </c>
      <c r="R250" s="57">
        <v>716728</v>
      </c>
      <c r="S250" s="57">
        <v>724689</v>
      </c>
      <c r="T250" s="57">
        <v>725855</v>
      </c>
      <c r="U250" s="57">
        <v>744166</v>
      </c>
      <c r="V250" s="57">
        <v>753925</v>
      </c>
      <c r="W250" s="57">
        <v>774163</v>
      </c>
      <c r="X250" s="57">
        <v>805000</v>
      </c>
      <c r="Y250" s="57">
        <v>813900</v>
      </c>
      <c r="Z250" s="57">
        <v>818171</v>
      </c>
      <c r="AA250" s="57">
        <v>827452</v>
      </c>
      <c r="AB250" s="57">
        <v>835869</v>
      </c>
      <c r="AC250" s="57">
        <v>898768</v>
      </c>
      <c r="AD250" s="57">
        <v>999842</v>
      </c>
      <c r="AE250" s="57">
        <v>1029043</v>
      </c>
      <c r="AF250" s="57">
        <v>1037003</v>
      </c>
      <c r="AG250" s="57">
        <v>1049453</v>
      </c>
      <c r="AH250" s="57">
        <v>1071038</v>
      </c>
      <c r="AI250" s="57"/>
      <c r="AJ250" s="57">
        <f>Tableau1115[[#This Row],[dec-19]]-Tableau1115[[#This Row],[nov-19]]</f>
        <v>12450</v>
      </c>
      <c r="AK250" s="57">
        <v>1237759</v>
      </c>
      <c r="AL250" s="57">
        <v>1245573</v>
      </c>
      <c r="AM250" s="57">
        <v>1401920</v>
      </c>
      <c r="AN250" s="57">
        <v>1471610</v>
      </c>
      <c r="AO250" s="57">
        <v>1474879</v>
      </c>
      <c r="AP250" s="57">
        <v>1524207</v>
      </c>
      <c r="AQ250" s="118">
        <v>1546831</v>
      </c>
      <c r="AR250" s="118">
        <v>1600000</v>
      </c>
      <c r="AS250" s="118">
        <v>2500000</v>
      </c>
      <c r="AT250" s="118">
        <v>2574881</v>
      </c>
      <c r="AU250" s="500"/>
      <c r="AV250" s="554">
        <f>(Tableau1115[[#This Row],[juin-24]]-Tableau1115[[#This Row],[avr-24]])/Tableau1115[[#This Row],[avr-24]]</f>
        <v>2.9952400000000001E-2</v>
      </c>
      <c r="AW250" s="548">
        <f>Tableau1115[[#This Row],[juin-24]]-Tableau1115[[#This Row],[avr-24]]</f>
        <v>74881</v>
      </c>
    </row>
    <row r="251" spans="1:49" x14ac:dyDescent="0.3">
      <c r="A251" s="57">
        <v>17</v>
      </c>
      <c r="B251" s="389" t="s">
        <v>91</v>
      </c>
      <c r="C251" s="57"/>
      <c r="D251" s="57"/>
      <c r="E251" s="57"/>
      <c r="F251" s="57"/>
      <c r="G251" s="57"/>
      <c r="H251" s="57"/>
      <c r="I251" s="57"/>
      <c r="J251" s="57"/>
      <c r="K251" s="57"/>
      <c r="L251" s="57">
        <v>145285</v>
      </c>
      <c r="M251" s="57">
        <v>149389</v>
      </c>
      <c r="N251" s="57">
        <v>152699</v>
      </c>
      <c r="O251" s="57">
        <v>156164</v>
      </c>
      <c r="P251" s="57">
        <v>158512</v>
      </c>
      <c r="Q251" s="57">
        <v>183054</v>
      </c>
      <c r="R251" s="57">
        <v>188364</v>
      </c>
      <c r="S251" s="57">
        <v>190037</v>
      </c>
      <c r="T251" s="57">
        <v>191967</v>
      </c>
      <c r="U251" s="57">
        <v>193165</v>
      </c>
      <c r="V251" s="57">
        <v>194945</v>
      </c>
      <c r="W251" s="57">
        <v>195925</v>
      </c>
      <c r="X251" s="57">
        <v>197260</v>
      </c>
      <c r="Y251" s="57">
        <v>199265</v>
      </c>
      <c r="Z251" s="57">
        <v>199833</v>
      </c>
      <c r="AA251" s="57">
        <v>201076</v>
      </c>
      <c r="AB251" s="57">
        <v>203924</v>
      </c>
      <c r="AC251" s="57">
        <v>226986</v>
      </c>
      <c r="AD251" s="57">
        <v>234576</v>
      </c>
      <c r="AE251" s="57">
        <v>233996</v>
      </c>
      <c r="AF251" s="57">
        <v>233992</v>
      </c>
      <c r="AG251" s="57">
        <v>234744</v>
      </c>
      <c r="AH251" s="57">
        <v>238376</v>
      </c>
      <c r="AI251" s="57"/>
      <c r="AJ251" s="57">
        <f>Tableau1115[[#This Row],[dec-19]]-Tableau1115[[#This Row],[nov-19]]</f>
        <v>752</v>
      </c>
      <c r="AK251" s="57">
        <v>259430</v>
      </c>
      <c r="AL251" s="57">
        <v>260665</v>
      </c>
      <c r="AM251" s="57">
        <v>263288</v>
      </c>
      <c r="AN251" s="57">
        <v>259891</v>
      </c>
      <c r="AO251" s="57">
        <v>262951</v>
      </c>
      <c r="AP251" s="57">
        <v>275545</v>
      </c>
      <c r="AQ251" s="118">
        <v>273541</v>
      </c>
      <c r="AR251" s="118">
        <v>288000</v>
      </c>
      <c r="AS251" s="118">
        <v>285000</v>
      </c>
      <c r="AT251" s="118">
        <v>286525</v>
      </c>
      <c r="AU251" s="500"/>
      <c r="AV251" s="554">
        <f>(Tableau1115[[#This Row],[juin-24]]-Tableau1115[[#This Row],[avr-24]])/Tableau1115[[#This Row],[avr-24]]</f>
        <v>5.3508771929824559E-3</v>
      </c>
      <c r="AW251" s="548">
        <f>Tableau1115[[#This Row],[juin-24]]-Tableau1115[[#This Row],[avr-24]]</f>
        <v>1525</v>
      </c>
    </row>
    <row r="252" spans="1:49" x14ac:dyDescent="0.3">
      <c r="A252" s="390"/>
      <c r="B252" s="390" t="s">
        <v>403</v>
      </c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57"/>
      <c r="Z252" s="57"/>
      <c r="AA252" s="57"/>
      <c r="AB252" s="57"/>
      <c r="AC252" s="57"/>
      <c r="AD252" s="116"/>
      <c r="AE252" s="116"/>
      <c r="AF252" s="116"/>
      <c r="AG252" s="116"/>
      <c r="AH252" s="118"/>
      <c r="AI252" s="118" t="e">
        <f>(Tableau1115[[#This Row],[mars-20]]-Tableau1115[[#This Row],[dec-19]])/Tableau1115[[#This Row],[dec-19]]</f>
        <v>#DIV/0!</v>
      </c>
      <c r="AJ252" s="180">
        <f>Tableau1115[[#This Row],[dec-19]]-Tableau1115[[#This Row],[nov-19]]</f>
        <v>0</v>
      </c>
      <c r="AK252" s="118"/>
      <c r="AL252" s="118"/>
      <c r="AM252" s="118"/>
      <c r="AN252" s="118"/>
      <c r="AO252" s="118"/>
      <c r="AP252" s="118"/>
      <c r="AQ252" s="118"/>
      <c r="AR252" s="118"/>
      <c r="AS252" s="118">
        <v>40500</v>
      </c>
      <c r="AT252" s="118">
        <v>41799</v>
      </c>
      <c r="AU252" s="500"/>
      <c r="AV252" s="554">
        <f>(Tableau1115[[#This Row],[juin-24]]-Tableau1115[[#This Row],[avr-24]])/Tableau1115[[#This Row],[avr-24]]</f>
        <v>3.2074074074074074E-2</v>
      </c>
      <c r="AW252" s="548">
        <f>Tableau1115[[#This Row],[juin-24]]-Tableau1115[[#This Row],[avr-24]]</f>
        <v>1299</v>
      </c>
    </row>
    <row r="253" spans="1:49" x14ac:dyDescent="0.3">
      <c r="A253" s="57"/>
      <c r="B253" s="389" t="s">
        <v>264</v>
      </c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>
        <v>92991</v>
      </c>
      <c r="AO253" s="57">
        <v>93585</v>
      </c>
      <c r="AP253" s="57">
        <v>117000</v>
      </c>
      <c r="AQ253" s="118">
        <v>117513</v>
      </c>
      <c r="AR253" s="118">
        <v>284000</v>
      </c>
      <c r="AS253" s="118">
        <v>294000</v>
      </c>
      <c r="AT253" s="118">
        <v>297084</v>
      </c>
      <c r="AU253" s="500"/>
      <c r="AV253" s="554">
        <f>(Tableau1115[[#This Row],[juin-24]]-Tableau1115[[#This Row],[avr-24]])/Tableau1115[[#This Row],[avr-24]]</f>
        <v>1.0489795918367347E-2</v>
      </c>
      <c r="AW253" s="548">
        <f>Tableau1115[[#This Row],[juin-24]]-Tableau1115[[#This Row],[avr-24]]</f>
        <v>3084</v>
      </c>
    </row>
    <row r="254" spans="1:49" x14ac:dyDescent="0.3">
      <c r="A254" s="57"/>
      <c r="B254" s="389" t="s">
        <v>231</v>
      </c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>
        <f>Tableau1115[[#This Row],[dec-19]]-Tableau1115[[#This Row],[nov-19]]</f>
        <v>0</v>
      </c>
      <c r="AK254" s="57"/>
      <c r="AL254" s="57"/>
      <c r="AM254" s="57">
        <v>143059</v>
      </c>
      <c r="AN254" s="57">
        <v>158422</v>
      </c>
      <c r="AO254" s="57">
        <v>160867</v>
      </c>
      <c r="AP254" s="57">
        <v>165281</v>
      </c>
      <c r="AQ254" s="118">
        <v>170507</v>
      </c>
      <c r="AR254" s="118">
        <v>190000</v>
      </c>
      <c r="AS254" s="118">
        <v>199000</v>
      </c>
      <c r="AT254" s="118">
        <v>198641</v>
      </c>
      <c r="AU254" s="500"/>
      <c r="AV254" s="554">
        <f>(Tableau1115[[#This Row],[juin-24]]-Tableau1115[[#This Row],[avr-24]])/Tableau1115[[#This Row],[avr-24]]</f>
        <v>-1.8040201005025125E-3</v>
      </c>
      <c r="AW254" s="548">
        <f>Tableau1115[[#This Row],[juin-24]]-Tableau1115[[#This Row],[avr-24]]</f>
        <v>-359</v>
      </c>
    </row>
    <row r="255" spans="1:49" x14ac:dyDescent="0.3">
      <c r="A255" s="57">
        <v>38</v>
      </c>
      <c r="B255" s="389" t="s">
        <v>132</v>
      </c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>
        <v>52026</v>
      </c>
      <c r="P255" s="57">
        <v>53424</v>
      </c>
      <c r="Q255" s="57">
        <v>55575</v>
      </c>
      <c r="R255" s="57">
        <v>55702</v>
      </c>
      <c r="S255" s="57">
        <v>68947</v>
      </c>
      <c r="T255" s="57">
        <v>70321</v>
      </c>
      <c r="U255" s="57">
        <v>70096</v>
      </c>
      <c r="V255" s="57">
        <v>70161</v>
      </c>
      <c r="W255" s="57">
        <v>69963</v>
      </c>
      <c r="X255" s="57">
        <v>70145</v>
      </c>
      <c r="Y255" s="57">
        <v>71710</v>
      </c>
      <c r="Z255" s="57">
        <v>72039</v>
      </c>
      <c r="AA255" s="57">
        <v>79801</v>
      </c>
      <c r="AB255" s="57">
        <v>80887</v>
      </c>
      <c r="AC255" s="57">
        <v>95742</v>
      </c>
      <c r="AD255" s="57">
        <v>99458</v>
      </c>
      <c r="AE255" s="57">
        <v>99162</v>
      </c>
      <c r="AF255" s="57">
        <v>98699</v>
      </c>
      <c r="AG255" s="57">
        <v>98255</v>
      </c>
      <c r="AH255" s="57">
        <v>98446</v>
      </c>
      <c r="AI255" s="57"/>
      <c r="AJ255" s="57">
        <f>Tableau1115[[#This Row],[dec-19]]-Tableau1115[[#This Row],[nov-19]]</f>
        <v>-444</v>
      </c>
      <c r="AK255" s="57">
        <v>104560</v>
      </c>
      <c r="AL255" s="57">
        <v>106262</v>
      </c>
      <c r="AM255" s="57">
        <v>116797</v>
      </c>
      <c r="AN255" s="57">
        <v>113879</v>
      </c>
      <c r="AO255" s="57">
        <v>113847</v>
      </c>
      <c r="AP255" s="57">
        <v>116000</v>
      </c>
      <c r="AQ255" s="118">
        <v>114000</v>
      </c>
      <c r="AR255" s="118">
        <v>126000</v>
      </c>
      <c r="AS255" s="118">
        <v>125000</v>
      </c>
      <c r="AT255" s="118">
        <v>125369</v>
      </c>
      <c r="AU255" s="500"/>
      <c r="AV255" s="554">
        <f>(Tableau1115[[#This Row],[juin-24]]-Tableau1115[[#This Row],[avr-24]])/Tableau1115[[#This Row],[avr-24]]</f>
        <v>2.9520000000000002E-3</v>
      </c>
      <c r="AW255" s="548">
        <f>Tableau1115[[#This Row],[juin-24]]-Tableau1115[[#This Row],[avr-24]]</f>
        <v>369</v>
      </c>
    </row>
    <row r="256" spans="1:49" x14ac:dyDescent="0.3">
      <c r="A256" s="57"/>
      <c r="B256" s="389" t="s">
        <v>258</v>
      </c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>
        <v>79725</v>
      </c>
      <c r="AO256" s="57">
        <v>85979</v>
      </c>
      <c r="AP256" s="57">
        <v>88517</v>
      </c>
      <c r="AQ256" s="118">
        <v>89109</v>
      </c>
      <c r="AR256" s="118">
        <v>91700</v>
      </c>
      <c r="AS256" s="118">
        <v>90600</v>
      </c>
      <c r="AT256" s="118">
        <v>90830</v>
      </c>
      <c r="AU256" s="500"/>
      <c r="AV256" s="554">
        <f>(Tableau1115[[#This Row],[juin-24]]-Tableau1115[[#This Row],[avr-24]])/Tableau1115[[#This Row],[avr-24]]</f>
        <v>2.5386313465783667E-3</v>
      </c>
      <c r="AW256" s="548">
        <f>Tableau1115[[#This Row],[juin-24]]-Tableau1115[[#This Row],[avr-24]]</f>
        <v>230</v>
      </c>
    </row>
    <row r="257" spans="1:50" x14ac:dyDescent="0.3">
      <c r="A257" s="390"/>
      <c r="B257" s="390" t="s">
        <v>400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57"/>
      <c r="Z257" s="57"/>
      <c r="AA257" s="57"/>
      <c r="AB257" s="57"/>
      <c r="AC257" s="57"/>
      <c r="AD257" s="116"/>
      <c r="AE257" s="116"/>
      <c r="AF257" s="116"/>
      <c r="AG257" s="116"/>
      <c r="AH257" s="118"/>
      <c r="AI257" s="118" t="e">
        <f>(Tableau1115[[#This Row],[mars-20]]-Tableau1115[[#This Row],[dec-19]])/Tableau1115[[#This Row],[dec-19]]</f>
        <v>#DIV/0!</v>
      </c>
      <c r="AJ257" s="180">
        <f>Tableau1115[[#This Row],[dec-19]]-Tableau1115[[#This Row],[nov-19]]</f>
        <v>0</v>
      </c>
      <c r="AK257" s="118"/>
      <c r="AL257" s="118"/>
      <c r="AM257" s="118"/>
      <c r="AN257" s="118"/>
      <c r="AO257" s="118"/>
      <c r="AP257" s="118"/>
      <c r="AQ257" s="118"/>
      <c r="AR257" s="118"/>
      <c r="AS257" s="118">
        <v>5569</v>
      </c>
      <c r="AT257" s="118">
        <v>5647</v>
      </c>
      <c r="AU257" s="500"/>
      <c r="AV257" s="554">
        <f>(Tableau1115[[#This Row],[juin-24]]-Tableau1115[[#This Row],[avr-24]])/Tableau1115[[#This Row],[avr-24]]</f>
        <v>1.4006105225354643E-2</v>
      </c>
      <c r="AW257" s="548">
        <f>Tableau1115[[#This Row],[juin-24]]-Tableau1115[[#This Row],[avr-24]]</f>
        <v>78</v>
      </c>
    </row>
    <row r="258" spans="1:50" x14ac:dyDescent="0.3">
      <c r="A258" s="57"/>
      <c r="B258" s="163" t="s">
        <v>204</v>
      </c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>
        <v>35000</v>
      </c>
      <c r="AF258" s="57"/>
      <c r="AG258" s="57"/>
      <c r="AH258" s="57"/>
      <c r="AI258" s="57"/>
      <c r="AJ258" s="57">
        <f>Tableau1115[[#This Row],[dec-19]]-Tableau1115[[#This Row],[nov-19]]</f>
        <v>0</v>
      </c>
      <c r="AK258" s="57"/>
      <c r="AL258" s="57">
        <v>263096</v>
      </c>
      <c r="AM258" s="57">
        <v>478453</v>
      </c>
      <c r="AN258" s="57">
        <v>542863</v>
      </c>
      <c r="AO258" s="57">
        <v>567199</v>
      </c>
      <c r="AP258" s="57">
        <v>732000</v>
      </c>
      <c r="AQ258" s="118">
        <v>755132</v>
      </c>
      <c r="AR258" s="118">
        <v>1300000</v>
      </c>
      <c r="AS258" s="118">
        <v>1400000</v>
      </c>
      <c r="AT258" s="118">
        <v>1656824</v>
      </c>
      <c r="AU258" s="500"/>
      <c r="AV258" s="554">
        <f>(Tableau1115[[#This Row],[juin-24]]-Tableau1115[[#This Row],[avr-24]])/Tableau1115[[#This Row],[avr-24]]</f>
        <v>0.1834457142857143</v>
      </c>
      <c r="AW258" s="548">
        <f>Tableau1115[[#This Row],[juin-24]]-Tableau1115[[#This Row],[avr-24]]</f>
        <v>256824</v>
      </c>
    </row>
    <row r="259" spans="1:50" x14ac:dyDescent="0.3">
      <c r="A259" s="390"/>
      <c r="B259" s="399" t="s">
        <v>302</v>
      </c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57"/>
      <c r="Z259" s="57"/>
      <c r="AA259" s="57"/>
      <c r="AB259" s="57"/>
      <c r="AC259" s="57"/>
      <c r="AD259" s="116"/>
      <c r="AE259" s="116"/>
      <c r="AF259" s="116"/>
      <c r="AG259" s="116"/>
      <c r="AH259" s="118"/>
      <c r="AI259" s="118"/>
      <c r="AJ259" s="180"/>
      <c r="AK259" s="118"/>
      <c r="AL259" s="118"/>
      <c r="AM259" s="118"/>
      <c r="AN259" s="118"/>
      <c r="AO259" s="118"/>
      <c r="AP259" s="118">
        <v>135457</v>
      </c>
      <c r="AQ259" s="118">
        <v>135250</v>
      </c>
      <c r="AR259" s="118">
        <v>147000</v>
      </c>
      <c r="AS259" s="118">
        <v>148000</v>
      </c>
      <c r="AT259" s="118">
        <v>148277</v>
      </c>
      <c r="AU259" s="500"/>
      <c r="AV259" s="554">
        <f>(Tableau1115[[#This Row],[juin-24]]-Tableau1115[[#This Row],[avr-24]])/Tableau1115[[#This Row],[avr-24]]</f>
        <v>1.8716216216216215E-3</v>
      </c>
      <c r="AW259" s="548">
        <f>Tableau1115[[#This Row],[juin-24]]-Tableau1115[[#This Row],[avr-24]]</f>
        <v>277</v>
      </c>
    </row>
    <row r="260" spans="1:50" x14ac:dyDescent="0.3">
      <c r="A260" s="57"/>
      <c r="B260" s="389" t="s">
        <v>230</v>
      </c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>
        <f>Tableau1115[[#This Row],[dec-19]]-Tableau1115[[#This Row],[nov-19]]</f>
        <v>0</v>
      </c>
      <c r="AK260" s="57"/>
      <c r="AL260" s="57"/>
      <c r="AM260" s="57">
        <v>270727</v>
      </c>
      <c r="AN260" s="57">
        <v>302095</v>
      </c>
      <c r="AO260" s="57">
        <v>307923</v>
      </c>
      <c r="AP260" s="57">
        <v>371000</v>
      </c>
      <c r="AQ260" s="118">
        <v>373958</v>
      </c>
      <c r="AR260" s="118">
        <v>518000</v>
      </c>
      <c r="AS260" s="118">
        <v>547000</v>
      </c>
      <c r="AT260" s="118">
        <v>559778</v>
      </c>
      <c r="AU260" s="500"/>
      <c r="AV260" s="554">
        <f>(Tableau1115[[#This Row],[juin-24]]-Tableau1115[[#This Row],[avr-24]])/Tableau1115[[#This Row],[avr-24]]</f>
        <v>2.3360146252285191E-2</v>
      </c>
      <c r="AW260" s="548">
        <f>Tableau1115[[#This Row],[juin-24]]-Tableau1115[[#This Row],[avr-24]]</f>
        <v>12778</v>
      </c>
    </row>
    <row r="261" spans="1:50" x14ac:dyDescent="0.3">
      <c r="A261" s="57"/>
      <c r="B261" s="389" t="s">
        <v>196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>
        <v>29783</v>
      </c>
      <c r="AC261" s="57">
        <v>35858</v>
      </c>
      <c r="AD261" s="57">
        <v>37600</v>
      </c>
      <c r="AE261" s="57">
        <v>37731</v>
      </c>
      <c r="AF261" s="57">
        <v>37699</v>
      </c>
      <c r="AG261" s="57">
        <v>39680</v>
      </c>
      <c r="AH261" s="57">
        <v>41166</v>
      </c>
      <c r="AI261" s="57"/>
      <c r="AJ261" s="57">
        <f>Tableau1115[[#This Row],[dec-19]]-Tableau1115[[#This Row],[nov-19]]</f>
        <v>1981</v>
      </c>
      <c r="AK261" s="57">
        <v>45189</v>
      </c>
      <c r="AL261" s="57">
        <v>46325</v>
      </c>
      <c r="AM261" s="57">
        <v>50449</v>
      </c>
      <c r="AN261" s="57">
        <v>50429</v>
      </c>
      <c r="AO261" s="57">
        <v>50659</v>
      </c>
      <c r="AP261" s="57">
        <v>51529</v>
      </c>
      <c r="AQ261" s="118">
        <v>51578</v>
      </c>
      <c r="AR261" s="118">
        <v>61200</v>
      </c>
      <c r="AS261" s="118">
        <v>66700</v>
      </c>
      <c r="AT261" s="118">
        <v>69089</v>
      </c>
      <c r="AU261" s="500"/>
      <c r="AV261" s="554">
        <f>(Tableau1115[[#This Row],[juin-24]]-Tableau1115[[#This Row],[avr-24]])/Tableau1115[[#This Row],[avr-24]]</f>
        <v>3.5817091454272865E-2</v>
      </c>
      <c r="AW261" s="548">
        <f>Tableau1115[[#This Row],[juin-24]]-Tableau1115[[#This Row],[avr-24]]</f>
        <v>2389</v>
      </c>
    </row>
    <row r="262" spans="1:50" x14ac:dyDescent="0.3">
      <c r="A262" s="151">
        <v>24</v>
      </c>
      <c r="B262" s="584" t="s">
        <v>146</v>
      </c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>
        <v>118159</v>
      </c>
      <c r="R262" s="151">
        <v>120754</v>
      </c>
      <c r="S262" s="151">
        <v>123747</v>
      </c>
      <c r="T262" s="151">
        <v>125841</v>
      </c>
      <c r="U262" s="151">
        <v>129260</v>
      </c>
      <c r="V262" s="151">
        <v>134447</v>
      </c>
      <c r="W262" s="151">
        <v>138422</v>
      </c>
      <c r="X262" s="151">
        <v>140835</v>
      </c>
      <c r="Y262" s="151">
        <v>146015</v>
      </c>
      <c r="Z262" s="151">
        <v>160190</v>
      </c>
      <c r="AA262" s="151">
        <v>161262</v>
      </c>
      <c r="AB262" s="151">
        <v>168371</v>
      </c>
      <c r="AC262" s="151">
        <v>201821</v>
      </c>
      <c r="AD262" s="151">
        <v>205993</v>
      </c>
      <c r="AE262" s="151">
        <v>207194</v>
      </c>
      <c r="AF262" s="151">
        <v>207536</v>
      </c>
      <c r="AG262" s="151">
        <v>213378</v>
      </c>
      <c r="AH262" s="151">
        <v>240396</v>
      </c>
      <c r="AI262" s="151"/>
      <c r="AJ262" s="151">
        <f>Tableau1115[[#This Row],[dec-19]]-Tableau1115[[#This Row],[nov-19]]</f>
        <v>5842</v>
      </c>
      <c r="AK262" s="151">
        <v>346349</v>
      </c>
      <c r="AL262" s="151">
        <v>374899</v>
      </c>
      <c r="AM262" s="151">
        <v>563583</v>
      </c>
      <c r="AN262" s="151">
        <v>621000</v>
      </c>
      <c r="AO262" s="151">
        <v>638546</v>
      </c>
      <c r="AP262" s="151">
        <v>791000</v>
      </c>
      <c r="AQ262" s="285">
        <v>790000</v>
      </c>
      <c r="AR262" s="285">
        <v>1000000</v>
      </c>
      <c r="AS262" s="285">
        <v>1100000</v>
      </c>
      <c r="AT262" s="285">
        <v>1123532</v>
      </c>
      <c r="AU262" s="395"/>
      <c r="AV262" s="554">
        <f>(Tableau1115[[#This Row],[juin-24]]-Tableau1115[[#This Row],[avr-24]])/Tableau1115[[#This Row],[avr-24]]</f>
        <v>2.1392727272727272E-2</v>
      </c>
      <c r="AW262" s="548">
        <f>Tableau1115[[#This Row],[juin-24]]-Tableau1115[[#This Row],[avr-24]]</f>
        <v>23532</v>
      </c>
    </row>
    <row r="263" spans="1:50" x14ac:dyDescent="0.3">
      <c r="A263" s="394"/>
      <c r="B263" s="386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2"/>
      <c r="Z263" s="262"/>
      <c r="AA263" s="262"/>
      <c r="AB263" s="262"/>
      <c r="AC263" s="262"/>
      <c r="AD263" s="387"/>
      <c r="AE263" s="387"/>
      <c r="AF263" s="387"/>
      <c r="AG263" s="387"/>
      <c r="AH263" s="260"/>
      <c r="AI263" s="260"/>
      <c r="AJ263" s="265"/>
      <c r="AK263" s="260"/>
      <c r="AL263" s="260"/>
      <c r="AM263" s="260"/>
      <c r="AN263" s="395"/>
      <c r="AO263" s="395"/>
      <c r="AP263" s="395"/>
      <c r="AQ263" s="395"/>
      <c r="AR263" s="395"/>
      <c r="AS263" s="395"/>
      <c r="AT263" s="395"/>
      <c r="AU263" s="395"/>
      <c r="AV263" s="208"/>
      <c r="AW263" s="304"/>
    </row>
    <row r="264" spans="1:50" x14ac:dyDescent="0.3">
      <c r="A264" s="394"/>
      <c r="B264" s="386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2"/>
      <c r="Z264" s="262"/>
      <c r="AA264" s="262"/>
      <c r="AB264" s="262"/>
      <c r="AC264" s="262"/>
      <c r="AD264" s="387"/>
      <c r="AE264" s="387"/>
      <c r="AF264" s="387"/>
      <c r="AG264" s="387"/>
      <c r="AH264" s="260"/>
      <c r="AI264" s="260"/>
      <c r="AJ264" s="265"/>
      <c r="AK264" s="260"/>
      <c r="AL264" s="260"/>
      <c r="AM264" s="260"/>
      <c r="AN264" s="395"/>
      <c r="AO264" s="395"/>
      <c r="AP264" s="395"/>
      <c r="AQ264" s="395"/>
      <c r="AR264" s="395"/>
      <c r="AS264" s="395"/>
      <c r="AT264" s="395"/>
      <c r="AU264" s="395"/>
      <c r="AV264" s="208"/>
      <c r="AW264" s="304"/>
    </row>
    <row r="265" spans="1:50" x14ac:dyDescent="0.3">
      <c r="A265" s="165"/>
      <c r="B265" s="227"/>
      <c r="C265" s="227"/>
      <c r="I265" s="1"/>
      <c r="J265" s="1"/>
      <c r="K265" s="1"/>
      <c r="L265" s="1"/>
      <c r="M265" s="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70"/>
      <c r="AJ265" s="264"/>
      <c r="AK265" s="265"/>
      <c r="AM265" s="1"/>
      <c r="AN265" s="272"/>
      <c r="AO265" s="272"/>
      <c r="AP265" s="272"/>
      <c r="AQ265" s="272"/>
      <c r="AR265" s="272"/>
      <c r="AS265" s="272"/>
      <c r="AT265" s="272"/>
      <c r="AU265" s="272"/>
      <c r="AV265" s="272"/>
      <c r="AW265" s="208"/>
    </row>
    <row r="266" spans="1:50" x14ac:dyDescent="0.3">
      <c r="A266" s="165"/>
      <c r="B266" s="227"/>
      <c r="H266" s="1"/>
      <c r="I266" s="1"/>
      <c r="J266" s="1"/>
      <c r="K266" s="1"/>
      <c r="L266" s="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70"/>
      <c r="AI266" s="264"/>
      <c r="AJ266" s="265"/>
      <c r="AM266" s="272"/>
      <c r="AN266" s="272"/>
      <c r="AO266" s="272"/>
      <c r="AP266" s="272"/>
      <c r="AQ266" s="272"/>
      <c r="AR266" s="272"/>
      <c r="AS266" s="272"/>
      <c r="AT266" s="272"/>
      <c r="AU266" s="272"/>
      <c r="AV266" s="208"/>
      <c r="AW266" s="219"/>
    </row>
    <row r="267" spans="1:50" x14ac:dyDescent="0.3">
      <c r="A267" s="165"/>
      <c r="B267" s="227"/>
      <c r="H267" s="1"/>
      <c r="I267" s="1"/>
      <c r="J267" s="1"/>
      <c r="K267" s="1"/>
      <c r="L267" s="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70"/>
      <c r="AI267" s="264"/>
      <c r="AJ267" s="265"/>
      <c r="AM267" s="272"/>
      <c r="AN267" s="272"/>
      <c r="AO267" s="272"/>
      <c r="AP267" s="272"/>
      <c r="AQ267" s="272"/>
      <c r="AR267" s="272"/>
      <c r="AS267" s="272"/>
      <c r="AT267" s="272"/>
      <c r="AU267" s="272"/>
      <c r="AV267" s="208"/>
      <c r="AW267" s="219"/>
    </row>
    <row r="268" spans="1:50" s="372" customFormat="1" x14ac:dyDescent="0.3">
      <c r="A268" s="376" t="s">
        <v>185</v>
      </c>
      <c r="B268" s="377" t="s">
        <v>295</v>
      </c>
      <c r="C268" s="378" t="s">
        <v>86</v>
      </c>
      <c r="D268" s="379" t="s">
        <v>99</v>
      </c>
      <c r="E268" s="379" t="s">
        <v>101</v>
      </c>
      <c r="F268" s="379" t="s">
        <v>102</v>
      </c>
      <c r="G268" s="379" t="s">
        <v>105</v>
      </c>
      <c r="H268" s="379" t="s">
        <v>106</v>
      </c>
      <c r="I268" s="379" t="s">
        <v>108</v>
      </c>
      <c r="J268" s="379" t="s">
        <v>109</v>
      </c>
      <c r="K268" s="379" t="s">
        <v>110</v>
      </c>
      <c r="L268" s="379" t="s">
        <v>117</v>
      </c>
      <c r="M268" s="380" t="s">
        <v>127</v>
      </c>
      <c r="N268" s="380" t="s">
        <v>129</v>
      </c>
      <c r="O268" s="380" t="s">
        <v>131</v>
      </c>
      <c r="P268" s="380" t="s">
        <v>142</v>
      </c>
      <c r="Q268" s="380" t="s">
        <v>143</v>
      </c>
      <c r="R268" s="380" t="s">
        <v>151</v>
      </c>
      <c r="S268" s="380" t="s">
        <v>156</v>
      </c>
      <c r="T268" s="380" t="s">
        <v>157</v>
      </c>
      <c r="U268" s="380" t="s">
        <v>163</v>
      </c>
      <c r="V268" s="380" t="s">
        <v>164</v>
      </c>
      <c r="W268" s="380" t="s">
        <v>177</v>
      </c>
      <c r="X268" s="380" t="s">
        <v>179</v>
      </c>
      <c r="Y268" s="380" t="s">
        <v>183</v>
      </c>
      <c r="Z268" s="380" t="s">
        <v>184</v>
      </c>
      <c r="AA268" s="380" t="s">
        <v>186</v>
      </c>
      <c r="AB268" s="380" t="s">
        <v>188</v>
      </c>
      <c r="AC268" s="380" t="s">
        <v>200</v>
      </c>
      <c r="AD268" s="380" t="s">
        <v>201</v>
      </c>
      <c r="AE268" s="380" t="s">
        <v>203</v>
      </c>
      <c r="AF268" s="380" t="s">
        <v>207</v>
      </c>
      <c r="AG268" s="380" t="s">
        <v>208</v>
      </c>
      <c r="AH268" s="381" t="s">
        <v>209</v>
      </c>
      <c r="AI268" s="382" t="s">
        <v>103</v>
      </c>
      <c r="AJ268" s="383" t="s">
        <v>104</v>
      </c>
      <c r="AK268" s="384" t="s">
        <v>210</v>
      </c>
      <c r="AL268" s="384" t="s">
        <v>211</v>
      </c>
      <c r="AM268" s="384" t="s">
        <v>214</v>
      </c>
      <c r="AN268" s="384" t="s">
        <v>213</v>
      </c>
      <c r="AO268" s="384" t="s">
        <v>272</v>
      </c>
      <c r="AP268" s="42" t="s">
        <v>330</v>
      </c>
      <c r="AQ268" s="42" t="s">
        <v>331</v>
      </c>
      <c r="AR268" s="42" t="s">
        <v>333</v>
      </c>
      <c r="AS268" s="42" t="s">
        <v>389</v>
      </c>
      <c r="AT268" s="42" t="s">
        <v>405</v>
      </c>
      <c r="AU268" s="42" t="s">
        <v>411</v>
      </c>
      <c r="AV268" s="385" t="s">
        <v>235</v>
      </c>
      <c r="AW268" s="385" t="s">
        <v>236</v>
      </c>
      <c r="AX268" s="372" t="s">
        <v>354</v>
      </c>
    </row>
    <row r="269" spans="1:50" x14ac:dyDescent="0.3">
      <c r="A269" s="57"/>
      <c r="B269" s="57" t="s">
        <v>239</v>
      </c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>
        <v>0</v>
      </c>
      <c r="AR269" s="57">
        <v>0</v>
      </c>
      <c r="AS269" s="57"/>
      <c r="AT269" s="57"/>
      <c r="AU269" s="57"/>
      <c r="AV269" s="57" t="e">
        <f>(Tableau11[[#This Row],[juin-24]]-Tableau11[[#This Row],[avr-24]])/Tableau11[[#This Row],[avr-24]]</f>
        <v>#DIV/0!</v>
      </c>
      <c r="AW269" s="465">
        <f>Tableau11[[#This Row],[juin-24]]-Tableau11[[#This Row],[avr-24]]</f>
        <v>0</v>
      </c>
      <c r="AX269" s="500"/>
    </row>
    <row r="270" spans="1:50" x14ac:dyDescent="0.3">
      <c r="A270" s="57"/>
      <c r="B270" s="57" t="s">
        <v>301</v>
      </c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>
        <v>0</v>
      </c>
      <c r="AR270" s="57">
        <v>59</v>
      </c>
      <c r="AS270" s="57">
        <v>69</v>
      </c>
      <c r="AT270" s="57">
        <v>77</v>
      </c>
      <c r="AU270" s="57"/>
      <c r="AV270" s="589">
        <f>(Tableau11[[#This Row],[juin-24]]-Tableau11[[#This Row],[avr-24]])/Tableau11[[#This Row],[avr-24]]</f>
        <v>0.11594202898550725</v>
      </c>
      <c r="AW270" s="57">
        <f>Tableau11[[#This Row],[oct-23]]-Tableau11[[#This Row],[nov-22]]</f>
        <v>59</v>
      </c>
      <c r="AX270" s="525" t="s">
        <v>365</v>
      </c>
    </row>
    <row r="271" spans="1:50" x14ac:dyDescent="0.3">
      <c r="A271" s="57"/>
      <c r="B271" s="57" t="s">
        <v>94</v>
      </c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>
        <v>0</v>
      </c>
      <c r="AR271" s="57">
        <v>12200</v>
      </c>
      <c r="AS271" s="57"/>
      <c r="AT271" s="57">
        <v>14700</v>
      </c>
      <c r="AU271" s="57"/>
      <c r="AV271" s="589" t="e">
        <f>(Tableau11[[#This Row],[juin-24]]-Tableau11[[#This Row],[avr-24]])/Tableau11[[#This Row],[avr-24]]</f>
        <v>#DIV/0!</v>
      </c>
      <c r="AW271" s="57">
        <f>Tableau11[[#This Row],[oct-23]]-Tableau11[[#This Row],[nov-22]]</f>
        <v>12200</v>
      </c>
      <c r="AX271" s="525" t="s">
        <v>362</v>
      </c>
    </row>
    <row r="272" spans="1:50" x14ac:dyDescent="0.3">
      <c r="A272" s="57"/>
      <c r="B272" s="57" t="s">
        <v>116</v>
      </c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>
        <v>0</v>
      </c>
      <c r="AR272" s="57">
        <v>0</v>
      </c>
      <c r="AS272" s="57"/>
      <c r="AT272" s="57"/>
      <c r="AU272" s="57"/>
      <c r="AV272" s="589" t="e">
        <f>(Tableau11[[#This Row],[juin-24]]-Tableau11[[#This Row],[avr-24]])/Tableau11[[#This Row],[avr-24]]</f>
        <v>#DIV/0!</v>
      </c>
      <c r="AW272" s="57">
        <f>Tableau11[[#This Row],[oct-23]]-Tableau11[[#This Row],[nov-22]]</f>
        <v>0</v>
      </c>
      <c r="AX272" s="118"/>
    </row>
    <row r="273" spans="1:50" x14ac:dyDescent="0.3">
      <c r="A273" s="57"/>
      <c r="B273" s="57" t="s">
        <v>119</v>
      </c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>
        <v>0</v>
      </c>
      <c r="AR273" s="57">
        <v>0</v>
      </c>
      <c r="AS273" s="57"/>
      <c r="AT273" s="57"/>
      <c r="AU273" s="57"/>
      <c r="AV273" s="589" t="e">
        <f>(Tableau11[[#This Row],[juin-24]]-Tableau11[[#This Row],[avr-24]])/Tableau11[[#This Row],[avr-24]]</f>
        <v>#DIV/0!</v>
      </c>
      <c r="AW273" s="57">
        <f>Tableau11[[#This Row],[oct-23]]-Tableau11[[#This Row],[nov-22]]</f>
        <v>0</v>
      </c>
      <c r="AX273" s="118"/>
    </row>
    <row r="274" spans="1:50" x14ac:dyDescent="0.3">
      <c r="A274" s="57"/>
      <c r="B274" s="57" t="s">
        <v>271</v>
      </c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>
        <v>0</v>
      </c>
      <c r="AR274" s="57">
        <v>0</v>
      </c>
      <c r="AS274" s="57"/>
      <c r="AT274" s="57"/>
      <c r="AU274" s="57"/>
      <c r="AV274" s="589" t="e">
        <f>(Tableau11[[#This Row],[juin-24]]-Tableau11[[#This Row],[avr-24]])/Tableau11[[#This Row],[avr-24]]</f>
        <v>#DIV/0!</v>
      </c>
      <c r="AW274" s="57">
        <f>Tableau11[[#This Row],[oct-23]]-Tableau11[[#This Row],[nov-22]]</f>
        <v>0</v>
      </c>
      <c r="AX274" s="260"/>
    </row>
    <row r="275" spans="1:50" x14ac:dyDescent="0.3">
      <c r="A275" s="57"/>
      <c r="B275" s="57" t="s">
        <v>160</v>
      </c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>
        <v>0</v>
      </c>
      <c r="AR275" s="57">
        <v>0</v>
      </c>
      <c r="AS275" s="57"/>
      <c r="AT275" s="57"/>
      <c r="AU275" s="57"/>
      <c r="AV275" s="589" t="e">
        <f>(Tableau11[[#This Row],[juin-24]]-Tableau11[[#This Row],[avr-24]])/Tableau11[[#This Row],[avr-24]]</f>
        <v>#DIV/0!</v>
      </c>
      <c r="AW275" s="57">
        <f>Tableau11[[#This Row],[oct-23]]-Tableau11[[#This Row],[nov-22]]</f>
        <v>0</v>
      </c>
      <c r="AX275" s="118"/>
    </row>
    <row r="276" spans="1:50" x14ac:dyDescent="0.3">
      <c r="A276" s="390"/>
      <c r="B276" s="57" t="s">
        <v>304</v>
      </c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118"/>
      <c r="AI276" s="118"/>
      <c r="AJ276" s="180"/>
      <c r="AK276" s="118"/>
      <c r="AL276" s="118"/>
      <c r="AM276" s="118"/>
      <c r="AN276" s="118"/>
      <c r="AO276" s="118"/>
      <c r="AP276" s="118"/>
      <c r="AQ276" s="57">
        <v>0</v>
      </c>
      <c r="AR276" s="118">
        <v>0</v>
      </c>
      <c r="AS276" s="118"/>
      <c r="AT276" s="118"/>
      <c r="AU276" s="118"/>
      <c r="AV276" s="589" t="e">
        <f>(Tableau11[[#This Row],[juin-24]]-Tableau11[[#This Row],[avr-24]])/Tableau11[[#This Row],[avr-24]]</f>
        <v>#DIV/0!</v>
      </c>
      <c r="AW276" s="57">
        <f>Tableau11[[#This Row],[oct-23]]-Tableau11[[#This Row],[nov-22]]</f>
        <v>0</v>
      </c>
      <c r="AX276" s="118"/>
    </row>
    <row r="277" spans="1:50" x14ac:dyDescent="0.3">
      <c r="A277" s="57"/>
      <c r="B277" s="57" t="s">
        <v>189</v>
      </c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>
        <v>0</v>
      </c>
      <c r="AR277" s="57">
        <v>0</v>
      </c>
      <c r="AS277" s="57"/>
      <c r="AT277" s="57"/>
      <c r="AU277" s="57"/>
      <c r="AV277" s="589" t="e">
        <f>(Tableau11[[#This Row],[juin-24]]-Tableau11[[#This Row],[avr-24]])/Tableau11[[#This Row],[avr-24]]</f>
        <v>#DIV/0!</v>
      </c>
      <c r="AW277" s="57">
        <f>Tableau11[[#This Row],[oct-23]]-Tableau11[[#This Row],[nov-22]]</f>
        <v>0</v>
      </c>
      <c r="AX277" s="118"/>
    </row>
    <row r="278" spans="1:50" x14ac:dyDescent="0.3">
      <c r="A278" s="57"/>
      <c r="B278" s="57" t="s">
        <v>254</v>
      </c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>
        <v>0</v>
      </c>
      <c r="AR278" s="57">
        <v>0</v>
      </c>
      <c r="AS278" s="57"/>
      <c r="AT278" s="57"/>
      <c r="AU278" s="57"/>
      <c r="AV278" s="589" t="e">
        <f>(Tableau11[[#This Row],[juin-24]]-Tableau11[[#This Row],[avr-24]])/Tableau11[[#This Row],[avr-24]]</f>
        <v>#DIV/0!</v>
      </c>
      <c r="AW278" s="57">
        <f>Tableau11[[#This Row],[oct-23]]-Tableau11[[#This Row],[nov-22]]</f>
        <v>0</v>
      </c>
      <c r="AX278" s="118"/>
    </row>
    <row r="279" spans="1:50" x14ac:dyDescent="0.3">
      <c r="A279" s="57"/>
      <c r="B279" s="57" t="s">
        <v>130</v>
      </c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>
        <v>0</v>
      </c>
      <c r="AR279" s="57">
        <v>0</v>
      </c>
      <c r="AS279" s="57"/>
      <c r="AT279" s="57"/>
      <c r="AU279" s="57"/>
      <c r="AV279" s="589" t="e">
        <f>(Tableau11[[#This Row],[juin-24]]-Tableau11[[#This Row],[avr-24]])/Tableau11[[#This Row],[avr-24]]</f>
        <v>#DIV/0!</v>
      </c>
      <c r="AW279" s="57">
        <f>Tableau11[[#This Row],[oct-23]]-Tableau11[[#This Row],[nov-22]]</f>
        <v>0</v>
      </c>
      <c r="AX279" s="118"/>
    </row>
    <row r="280" spans="1:50" x14ac:dyDescent="0.3">
      <c r="A280" s="57"/>
      <c r="B280" s="57" t="s">
        <v>147</v>
      </c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>
        <v>0</v>
      </c>
      <c r="AR280" s="57">
        <v>0</v>
      </c>
      <c r="AS280" s="57"/>
      <c r="AT280" s="57"/>
      <c r="AU280" s="57"/>
      <c r="AV280" s="589" t="e">
        <f>(Tableau11[[#This Row],[juin-24]]-Tableau11[[#This Row],[avr-24]])/Tableau11[[#This Row],[avr-24]]</f>
        <v>#DIV/0!</v>
      </c>
      <c r="AW280" s="57">
        <f>Tableau11[[#This Row],[oct-23]]-Tableau11[[#This Row],[nov-22]]</f>
        <v>0</v>
      </c>
      <c r="AX280" s="118"/>
    </row>
    <row r="281" spans="1:50" x14ac:dyDescent="0.3">
      <c r="A281" s="57"/>
      <c r="B281" s="57" t="s">
        <v>255</v>
      </c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>
        <v>0</v>
      </c>
      <c r="AR281" s="57">
        <v>0</v>
      </c>
      <c r="AS281" s="57"/>
      <c r="AT281" s="57"/>
      <c r="AU281" s="57"/>
      <c r="AV281" s="589" t="e">
        <f>(Tableau11[[#This Row],[juin-24]]-Tableau11[[#This Row],[avr-24]])/Tableau11[[#This Row],[avr-24]]</f>
        <v>#DIV/0!</v>
      </c>
      <c r="AW281" s="57">
        <f>Tableau11[[#This Row],[oct-23]]-Tableau11[[#This Row],[nov-22]]</f>
        <v>0</v>
      </c>
      <c r="AX281" s="118"/>
    </row>
    <row r="282" spans="1:50" x14ac:dyDescent="0.3">
      <c r="A282" s="57"/>
      <c r="B282" s="57" t="s">
        <v>269</v>
      </c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>
        <v>0</v>
      </c>
      <c r="AR282" s="57">
        <v>0</v>
      </c>
      <c r="AS282" s="57"/>
      <c r="AT282" s="57"/>
      <c r="AU282" s="57"/>
      <c r="AV282" s="589" t="e">
        <f>(Tableau11[[#This Row],[juin-24]]-Tableau11[[#This Row],[avr-24]])/Tableau11[[#This Row],[avr-24]]</f>
        <v>#DIV/0!</v>
      </c>
      <c r="AW282" s="57">
        <f>Tableau11[[#This Row],[oct-23]]-Tableau11[[#This Row],[nov-22]]</f>
        <v>0</v>
      </c>
      <c r="AX282" s="118"/>
    </row>
    <row r="283" spans="1:50" x14ac:dyDescent="0.3">
      <c r="A283" s="57"/>
      <c r="B283" s="57" t="s">
        <v>181</v>
      </c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>
        <v>0</v>
      </c>
      <c r="AR283" s="57">
        <v>0</v>
      </c>
      <c r="AS283" s="57"/>
      <c r="AT283" s="57"/>
      <c r="AU283" s="57"/>
      <c r="AV283" s="589" t="e">
        <f>(Tableau11[[#This Row],[juin-24]]-Tableau11[[#This Row],[avr-24]])/Tableau11[[#This Row],[avr-24]]</f>
        <v>#DIV/0!</v>
      </c>
      <c r="AW283" s="57">
        <f>Tableau11[[#This Row],[oct-23]]-Tableau11[[#This Row],[nov-22]]</f>
        <v>0</v>
      </c>
      <c r="AX283" s="118"/>
    </row>
    <row r="284" spans="1:50" x14ac:dyDescent="0.3">
      <c r="A284" s="57"/>
      <c r="B284" s="57" t="s">
        <v>263</v>
      </c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>
        <v>0</v>
      </c>
      <c r="AR284" s="57">
        <v>0</v>
      </c>
      <c r="AS284" s="57"/>
      <c r="AT284" s="57"/>
      <c r="AU284" s="57"/>
      <c r="AV284" s="589" t="e">
        <f>(Tableau11[[#This Row],[juin-24]]-Tableau11[[#This Row],[avr-24]])/Tableau11[[#This Row],[avr-24]]</f>
        <v>#DIV/0!</v>
      </c>
      <c r="AW284" s="57">
        <f>Tableau11[[#This Row],[oct-23]]-Tableau11[[#This Row],[nov-22]]</f>
        <v>0</v>
      </c>
      <c r="AX284" s="260"/>
    </row>
    <row r="285" spans="1:50" x14ac:dyDescent="0.3">
      <c r="A285" s="57"/>
      <c r="B285" s="57" t="s">
        <v>197</v>
      </c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>
        <v>0</v>
      </c>
      <c r="AR285" s="57">
        <v>0</v>
      </c>
      <c r="AS285" s="57"/>
      <c r="AT285" s="57"/>
      <c r="AU285" s="57"/>
      <c r="AV285" s="589" t="e">
        <f>(Tableau11[[#This Row],[juin-24]]-Tableau11[[#This Row],[avr-24]])/Tableau11[[#This Row],[avr-24]]</f>
        <v>#DIV/0!</v>
      </c>
      <c r="AW285" s="57">
        <f>Tableau11[[#This Row],[oct-23]]-Tableau11[[#This Row],[nov-22]]</f>
        <v>0</v>
      </c>
      <c r="AX285" s="118"/>
    </row>
    <row r="286" spans="1:50" x14ac:dyDescent="0.3">
      <c r="A286" s="57"/>
      <c r="B286" s="57" t="s">
        <v>300</v>
      </c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>
        <v>0</v>
      </c>
      <c r="AR286" s="57">
        <v>0</v>
      </c>
      <c r="AS286" s="57"/>
      <c r="AT286" s="57"/>
      <c r="AU286" s="57"/>
      <c r="AV286" s="589" t="e">
        <f>(Tableau11[[#This Row],[juin-24]]-Tableau11[[#This Row],[avr-24]])/Tableau11[[#This Row],[avr-24]]</f>
        <v>#DIV/0!</v>
      </c>
      <c r="AW286" s="57">
        <f>Tableau11[[#This Row],[oct-23]]-Tableau11[[#This Row],[nov-22]]</f>
        <v>0</v>
      </c>
      <c r="AX286" s="118"/>
    </row>
    <row r="287" spans="1:50" x14ac:dyDescent="0.3">
      <c r="A287" s="57"/>
      <c r="B287" s="388" t="s">
        <v>87</v>
      </c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>
        <v>53000</v>
      </c>
      <c r="AQ287" s="57">
        <v>54200</v>
      </c>
      <c r="AR287" s="57">
        <v>65600</v>
      </c>
      <c r="AS287" s="57">
        <v>69300</v>
      </c>
      <c r="AT287" s="57">
        <v>71500</v>
      </c>
      <c r="AU287" s="57"/>
      <c r="AV287" s="589">
        <f>(Tableau11[[#This Row],[juin-24]]-Tableau11[[#This Row],[avr-24]])/Tableau11[[#This Row],[avr-24]]</f>
        <v>3.1746031746031744E-2</v>
      </c>
      <c r="AW287" s="57">
        <f>Tableau11[[#This Row],[oct-23]]-Tableau11[[#This Row],[nov-22]]</f>
        <v>11400</v>
      </c>
      <c r="AX287" s="118"/>
    </row>
    <row r="288" spans="1:50" x14ac:dyDescent="0.3">
      <c r="A288" s="57"/>
      <c r="B288" s="57" t="s">
        <v>265</v>
      </c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>
        <v>0</v>
      </c>
      <c r="AR288" s="57">
        <v>0</v>
      </c>
      <c r="AS288" s="57"/>
      <c r="AT288" s="57"/>
      <c r="AU288" s="57"/>
      <c r="AV288" s="589" t="e">
        <f>(Tableau11[[#This Row],[juin-24]]-Tableau11[[#This Row],[avr-24]])/Tableau11[[#This Row],[avr-24]]</f>
        <v>#DIV/0!</v>
      </c>
      <c r="AW288" s="57">
        <f>Tableau11[[#This Row],[oct-23]]-Tableau11[[#This Row],[nov-22]]</f>
        <v>0</v>
      </c>
      <c r="AX288" s="118"/>
    </row>
    <row r="289" spans="1:50" x14ac:dyDescent="0.3">
      <c r="A289" s="57"/>
      <c r="B289" s="57" t="s">
        <v>298</v>
      </c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>
        <v>0</v>
      </c>
      <c r="AR289" s="57">
        <v>0</v>
      </c>
      <c r="AS289" s="57"/>
      <c r="AT289" s="57"/>
      <c r="AU289" s="57"/>
      <c r="AV289" s="589" t="e">
        <f>(Tableau11[[#This Row],[juin-24]]-Tableau11[[#This Row],[avr-24]])/Tableau11[[#This Row],[avr-24]]</f>
        <v>#DIV/0!</v>
      </c>
      <c r="AW289" s="57">
        <f>Tableau11[[#This Row],[oct-23]]-Tableau11[[#This Row],[nov-22]]</f>
        <v>0</v>
      </c>
      <c r="AX289" s="118"/>
    </row>
    <row r="290" spans="1:50" x14ac:dyDescent="0.3">
      <c r="A290" s="57"/>
      <c r="B290" s="57" t="s">
        <v>253</v>
      </c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>
        <v>0</v>
      </c>
      <c r="AR290" s="57">
        <v>0</v>
      </c>
      <c r="AS290" s="57"/>
      <c r="AT290" s="57"/>
      <c r="AU290" s="57"/>
      <c r="AV290" s="589" t="e">
        <f>(Tableau11[[#This Row],[juin-24]]-Tableau11[[#This Row],[avr-24]])/Tableau11[[#This Row],[avr-24]]</f>
        <v>#DIV/0!</v>
      </c>
      <c r="AW290" s="57">
        <f>Tableau11[[#This Row],[oct-23]]-Tableau11[[#This Row],[nov-22]]</f>
        <v>0</v>
      </c>
      <c r="AX290" s="118"/>
    </row>
    <row r="291" spans="1:50" x14ac:dyDescent="0.3">
      <c r="A291" s="57"/>
      <c r="B291" s="57" t="s">
        <v>240</v>
      </c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>
        <v>0</v>
      </c>
      <c r="AR291" s="57">
        <v>0</v>
      </c>
      <c r="AS291" s="57"/>
      <c r="AT291" s="57"/>
      <c r="AU291" s="57"/>
      <c r="AV291" s="589" t="e">
        <f>(Tableau11[[#This Row],[juin-24]]-Tableau11[[#This Row],[avr-24]])/Tableau11[[#This Row],[avr-24]]</f>
        <v>#DIV/0!</v>
      </c>
      <c r="AW291" s="57">
        <f>Tableau11[[#This Row],[oct-23]]-Tableau11[[#This Row],[nov-22]]</f>
        <v>0</v>
      </c>
      <c r="AX291" s="118"/>
    </row>
    <row r="292" spans="1:50" x14ac:dyDescent="0.3">
      <c r="A292" s="57"/>
      <c r="B292" s="57" t="s">
        <v>250</v>
      </c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>
        <v>0</v>
      </c>
      <c r="AR292" s="57">
        <v>7487</v>
      </c>
      <c r="AS292" s="57">
        <v>7324</v>
      </c>
      <c r="AT292" s="57">
        <v>7278</v>
      </c>
      <c r="AU292" s="57"/>
      <c r="AV292" s="589">
        <f>(Tableau11[[#This Row],[juin-24]]-Tableau11[[#This Row],[avr-24]])/Tableau11[[#This Row],[avr-24]]</f>
        <v>-6.2807209175314033E-3</v>
      </c>
      <c r="AW292" s="57">
        <f>Tableau11[[#This Row],[oct-23]]-Tableau11[[#This Row],[nov-22]]</f>
        <v>7487</v>
      </c>
      <c r="AX292" s="55" t="s">
        <v>364</v>
      </c>
    </row>
    <row r="293" spans="1:50" x14ac:dyDescent="0.3">
      <c r="A293" s="57"/>
      <c r="B293" s="57" t="s">
        <v>161</v>
      </c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>
        <v>0</v>
      </c>
      <c r="AR293" s="57">
        <v>0</v>
      </c>
      <c r="AS293" s="57"/>
      <c r="AT293" s="57"/>
      <c r="AU293" s="57"/>
      <c r="AV293" s="589" t="e">
        <f>(Tableau11[[#This Row],[juin-24]]-Tableau11[[#This Row],[avr-24]])/Tableau11[[#This Row],[avr-24]]</f>
        <v>#DIV/0!</v>
      </c>
      <c r="AW293" s="57">
        <f>Tableau11[[#This Row],[oct-23]]-Tableau11[[#This Row],[nov-22]]</f>
        <v>0</v>
      </c>
      <c r="AX293" s="118"/>
    </row>
    <row r="294" spans="1:50" x14ac:dyDescent="0.3">
      <c r="A294" s="390"/>
      <c r="B294" s="57" t="s">
        <v>310</v>
      </c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118"/>
      <c r="AI294" s="118"/>
      <c r="AJ294" s="180"/>
      <c r="AK294" s="118"/>
      <c r="AL294" s="118"/>
      <c r="AM294" s="118"/>
      <c r="AN294" s="118"/>
      <c r="AO294" s="118"/>
      <c r="AP294" s="118"/>
      <c r="AQ294" s="57">
        <v>0</v>
      </c>
      <c r="AR294" s="118">
        <v>0</v>
      </c>
      <c r="AS294" s="118"/>
      <c r="AT294" s="118"/>
      <c r="AU294" s="118"/>
      <c r="AV294" s="589" t="e">
        <f>(Tableau11[[#This Row],[juin-24]]-Tableau11[[#This Row],[avr-24]])/Tableau11[[#This Row],[avr-24]]</f>
        <v>#DIV/0!</v>
      </c>
      <c r="AW294" s="57">
        <f>Tableau11[[#This Row],[oct-23]]-Tableau11[[#This Row],[nov-22]]</f>
        <v>0</v>
      </c>
      <c r="AX294" s="118"/>
    </row>
    <row r="295" spans="1:50" x14ac:dyDescent="0.3">
      <c r="A295" s="57"/>
      <c r="B295" s="57" t="s">
        <v>274</v>
      </c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>
        <v>0</v>
      </c>
      <c r="AR295" s="57">
        <v>0</v>
      </c>
      <c r="AS295" s="57"/>
      <c r="AT295" s="57"/>
      <c r="AU295" s="57"/>
      <c r="AV295" s="589" t="e">
        <f>(Tableau11[[#This Row],[juin-24]]-Tableau11[[#This Row],[avr-24]])/Tableau11[[#This Row],[avr-24]]</f>
        <v>#DIV/0!</v>
      </c>
      <c r="AW295" s="57">
        <f>Tableau11[[#This Row],[oct-23]]-Tableau11[[#This Row],[nov-22]]</f>
        <v>0</v>
      </c>
      <c r="AX295" s="118"/>
    </row>
    <row r="296" spans="1:50" x14ac:dyDescent="0.3">
      <c r="A296" s="57"/>
      <c r="B296" s="388" t="s">
        <v>150</v>
      </c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>
        <v>25900</v>
      </c>
      <c r="AQ296" s="57">
        <v>25900</v>
      </c>
      <c r="AR296" s="57">
        <v>26400</v>
      </c>
      <c r="AS296" s="57">
        <v>26800</v>
      </c>
      <c r="AT296" s="57">
        <v>26900</v>
      </c>
      <c r="AU296" s="57"/>
      <c r="AV296" s="589">
        <f>(Tableau11[[#This Row],[juin-24]]-Tableau11[[#This Row],[avr-24]])/Tableau11[[#This Row],[avr-24]]</f>
        <v>3.7313432835820895E-3</v>
      </c>
      <c r="AW296" s="57">
        <f>Tableau11[[#This Row],[oct-23]]-Tableau11[[#This Row],[nov-22]]</f>
        <v>500</v>
      </c>
      <c r="AX296" s="118"/>
    </row>
    <row r="297" spans="1:50" x14ac:dyDescent="0.3">
      <c r="A297" s="57"/>
      <c r="B297" s="57" t="s">
        <v>136</v>
      </c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>
        <v>0</v>
      </c>
      <c r="AR297" s="57">
        <v>0</v>
      </c>
      <c r="AS297" s="57"/>
      <c r="AT297" s="57"/>
      <c r="AU297" s="57"/>
      <c r="AV297" s="589" t="e">
        <f>(Tableau11[[#This Row],[juin-24]]-Tableau11[[#This Row],[avr-24]])/Tableau11[[#This Row],[avr-24]]</f>
        <v>#DIV/0!</v>
      </c>
      <c r="AW297" s="57">
        <f>Tableau11[[#This Row],[oct-23]]-Tableau11[[#This Row],[nov-22]]</f>
        <v>0</v>
      </c>
      <c r="AX297" s="118"/>
    </row>
    <row r="298" spans="1:50" x14ac:dyDescent="0.3">
      <c r="A298" s="390"/>
      <c r="B298" s="57" t="s">
        <v>324</v>
      </c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118"/>
      <c r="AI298" s="118"/>
      <c r="AJ298" s="180"/>
      <c r="AK298" s="118"/>
      <c r="AL298" s="118"/>
      <c r="AM298" s="118"/>
      <c r="AN298" s="118"/>
      <c r="AO298" s="118"/>
      <c r="AP298" s="118"/>
      <c r="AQ298" s="57">
        <v>0</v>
      </c>
      <c r="AR298" s="118">
        <v>0</v>
      </c>
      <c r="AS298" s="118"/>
      <c r="AT298" s="118"/>
      <c r="AU298" s="118"/>
      <c r="AV298" s="589" t="e">
        <f>(Tableau11[[#This Row],[juin-24]]-Tableau11[[#This Row],[avr-24]])/Tableau11[[#This Row],[avr-24]]</f>
        <v>#DIV/0!</v>
      </c>
      <c r="AW298" s="57">
        <f>Tableau11[[#This Row],[oct-23]]-Tableau11[[#This Row],[nov-22]]</f>
        <v>0</v>
      </c>
      <c r="AX298" s="118"/>
    </row>
    <row r="299" spans="1:50" x14ac:dyDescent="0.3">
      <c r="A299" s="57"/>
      <c r="B299" s="57" t="s">
        <v>198</v>
      </c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>
        <v>0</v>
      </c>
      <c r="AR299" s="57">
        <v>0</v>
      </c>
      <c r="AS299" s="57"/>
      <c r="AT299" s="57"/>
      <c r="AU299" s="57"/>
      <c r="AV299" s="589" t="e">
        <f>(Tableau11[[#This Row],[juin-24]]-Tableau11[[#This Row],[avr-24]])/Tableau11[[#This Row],[avr-24]]</f>
        <v>#DIV/0!</v>
      </c>
      <c r="AW299" s="57">
        <f>Tableau11[[#This Row],[oct-23]]-Tableau11[[#This Row],[nov-22]]</f>
        <v>0</v>
      </c>
      <c r="AX299" s="118"/>
    </row>
    <row r="300" spans="1:50" x14ac:dyDescent="0.3">
      <c r="A300" s="57"/>
      <c r="B300" s="57" t="s">
        <v>128</v>
      </c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>
        <v>0</v>
      </c>
      <c r="AR300" s="57">
        <v>0</v>
      </c>
      <c r="AS300" s="57"/>
      <c r="AT300" s="57"/>
      <c r="AU300" s="57"/>
      <c r="AV300" s="589" t="e">
        <f>(Tableau11[[#This Row],[juin-24]]-Tableau11[[#This Row],[avr-24]])/Tableau11[[#This Row],[avr-24]]</f>
        <v>#DIV/0!</v>
      </c>
      <c r="AW300" s="57">
        <f>Tableau11[[#This Row],[oct-23]]-Tableau11[[#This Row],[nov-22]]</f>
        <v>0</v>
      </c>
      <c r="AX300" s="118"/>
    </row>
    <row r="301" spans="1:50" x14ac:dyDescent="0.3">
      <c r="A301" s="57"/>
      <c r="B301" s="57" t="s">
        <v>259</v>
      </c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>
        <v>0</v>
      </c>
      <c r="AR301" s="57">
        <v>0</v>
      </c>
      <c r="AS301" s="57"/>
      <c r="AT301" s="57"/>
      <c r="AU301" s="57"/>
      <c r="AV301" s="589" t="e">
        <f>(Tableau11[[#This Row],[juin-24]]-Tableau11[[#This Row],[avr-24]])/Tableau11[[#This Row],[avr-24]]</f>
        <v>#DIV/0!</v>
      </c>
      <c r="AW301" s="57">
        <f>Tableau11[[#This Row],[oct-23]]-Tableau11[[#This Row],[nov-22]]</f>
        <v>0</v>
      </c>
      <c r="AX301" s="118"/>
    </row>
    <row r="302" spans="1:50" x14ac:dyDescent="0.3">
      <c r="A302" s="57"/>
      <c r="B302" s="57" t="s">
        <v>232</v>
      </c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>
        <v>0</v>
      </c>
      <c r="AR302" s="57">
        <v>0</v>
      </c>
      <c r="AS302" s="57"/>
      <c r="AT302" s="57"/>
      <c r="AU302" s="57"/>
      <c r="AV302" s="589" t="e">
        <f>(Tableau11[[#This Row],[juin-24]]-Tableau11[[#This Row],[avr-24]])/Tableau11[[#This Row],[avr-24]]</f>
        <v>#DIV/0!</v>
      </c>
      <c r="AW302" s="57">
        <f>Tableau11[[#This Row],[oct-23]]-Tableau11[[#This Row],[nov-22]]</f>
        <v>0</v>
      </c>
      <c r="AX302" s="118"/>
    </row>
    <row r="303" spans="1:50" x14ac:dyDescent="0.3">
      <c r="A303" s="390"/>
      <c r="B303" s="57" t="s">
        <v>316</v>
      </c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118"/>
      <c r="AI303" s="118"/>
      <c r="AJ303" s="180"/>
      <c r="AK303" s="118"/>
      <c r="AL303" s="118"/>
      <c r="AM303" s="118"/>
      <c r="AN303" s="118"/>
      <c r="AO303" s="118"/>
      <c r="AP303" s="118"/>
      <c r="AQ303" s="57">
        <v>0</v>
      </c>
      <c r="AR303" s="118">
        <v>0</v>
      </c>
      <c r="AS303" s="118"/>
      <c r="AT303" s="118"/>
      <c r="AU303" s="118"/>
      <c r="AV303" s="589" t="e">
        <f>(Tableau11[[#This Row],[juin-24]]-Tableau11[[#This Row],[avr-24]])/Tableau11[[#This Row],[avr-24]]</f>
        <v>#DIV/0!</v>
      </c>
      <c r="AW303" s="57">
        <f>Tableau11[[#This Row],[oct-23]]-Tableau11[[#This Row],[nov-22]]</f>
        <v>0</v>
      </c>
      <c r="AX303" s="118"/>
    </row>
    <row r="304" spans="1:50" x14ac:dyDescent="0.3">
      <c r="A304" s="57"/>
      <c r="B304" s="57" t="s">
        <v>121</v>
      </c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>
        <v>0</v>
      </c>
      <c r="AR304" s="57">
        <v>0</v>
      </c>
      <c r="AS304" s="57"/>
      <c r="AT304" s="57"/>
      <c r="AU304" s="57"/>
      <c r="AV304" s="589" t="e">
        <f>(Tableau11[[#This Row],[juin-24]]-Tableau11[[#This Row],[avr-24]])/Tableau11[[#This Row],[avr-24]]</f>
        <v>#DIV/0!</v>
      </c>
      <c r="AW304" s="57">
        <f>Tableau11[[#This Row],[oct-23]]-Tableau11[[#This Row],[nov-22]]</f>
        <v>0</v>
      </c>
      <c r="AX304" s="118"/>
    </row>
    <row r="305" spans="1:50" x14ac:dyDescent="0.3">
      <c r="A305" s="57"/>
      <c r="B305" s="57" t="s">
        <v>268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>
        <v>0</v>
      </c>
      <c r="AR305" s="57">
        <v>0</v>
      </c>
      <c r="AS305" s="57"/>
      <c r="AT305" s="57"/>
      <c r="AU305" s="57"/>
      <c r="AV305" s="589" t="e">
        <f>(Tableau11[[#This Row],[juin-24]]-Tableau11[[#This Row],[avr-24]])/Tableau11[[#This Row],[avr-24]]</f>
        <v>#DIV/0!</v>
      </c>
      <c r="AW305" s="57">
        <f>Tableau11[[#This Row],[oct-23]]-Tableau11[[#This Row],[nov-22]]</f>
        <v>0</v>
      </c>
      <c r="AX305" s="118"/>
    </row>
    <row r="306" spans="1:50" x14ac:dyDescent="0.3">
      <c r="A306" s="57"/>
      <c r="B306" s="57" t="s">
        <v>123</v>
      </c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>
        <v>0</v>
      </c>
      <c r="AR306" s="57">
        <v>1345</v>
      </c>
      <c r="AS306" s="57">
        <v>1309</v>
      </c>
      <c r="AT306" s="57">
        <v>1302</v>
      </c>
      <c r="AU306" s="57"/>
      <c r="AV306" s="589">
        <f>(Tableau11[[#This Row],[juin-24]]-Tableau11[[#This Row],[avr-24]])/Tableau11[[#This Row],[avr-24]]</f>
        <v>-5.3475935828877002E-3</v>
      </c>
      <c r="AW306" s="57">
        <f>Tableau11[[#This Row],[oct-23]]-Tableau11[[#This Row],[nov-22]]</f>
        <v>1345</v>
      </c>
      <c r="AX306" s="525" t="s">
        <v>359</v>
      </c>
    </row>
    <row r="307" spans="1:50" x14ac:dyDescent="0.3">
      <c r="A307" s="57"/>
      <c r="B307" s="57" t="s">
        <v>261</v>
      </c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>
        <v>0</v>
      </c>
      <c r="AR307" s="57">
        <v>0</v>
      </c>
      <c r="AS307" s="57"/>
      <c r="AT307" s="57"/>
      <c r="AU307" s="57"/>
      <c r="AV307" s="589" t="e">
        <f>(Tableau11[[#This Row],[juin-24]]-Tableau11[[#This Row],[avr-24]])/Tableau11[[#This Row],[avr-24]]</f>
        <v>#DIV/0!</v>
      </c>
      <c r="AW307" s="57">
        <f>Tableau11[[#This Row],[oct-23]]-Tableau11[[#This Row],[nov-22]]</f>
        <v>0</v>
      </c>
      <c r="AX307" s="118"/>
    </row>
    <row r="308" spans="1:50" x14ac:dyDescent="0.3">
      <c r="A308" s="57"/>
      <c r="B308" s="57" t="s">
        <v>299</v>
      </c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>
        <v>0</v>
      </c>
      <c r="AR308" s="57">
        <v>0</v>
      </c>
      <c r="AS308" s="57"/>
      <c r="AT308" s="57"/>
      <c r="AU308" s="57"/>
      <c r="AV308" s="589" t="e">
        <f>(Tableau11[[#This Row],[juin-24]]-Tableau11[[#This Row],[avr-24]])/Tableau11[[#This Row],[avr-24]]</f>
        <v>#DIV/0!</v>
      </c>
      <c r="AW308" s="57">
        <f>Tableau11[[#This Row],[oct-23]]-Tableau11[[#This Row],[nov-22]]</f>
        <v>0</v>
      </c>
      <c r="AX308" s="118"/>
    </row>
    <row r="309" spans="1:50" x14ac:dyDescent="0.3">
      <c r="A309" s="57"/>
      <c r="B309" s="57" t="s">
        <v>93</v>
      </c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>
        <v>0</v>
      </c>
      <c r="AR309" s="57">
        <v>0</v>
      </c>
      <c r="AS309" s="57"/>
      <c r="AT309" s="57"/>
      <c r="AU309" s="57"/>
      <c r="AV309" s="589" t="e">
        <f>(Tableau11[[#This Row],[juin-24]]-Tableau11[[#This Row],[avr-24]])/Tableau11[[#This Row],[avr-24]]</f>
        <v>#DIV/0!</v>
      </c>
      <c r="AW309" s="57">
        <f>Tableau11[[#This Row],[oct-23]]-Tableau11[[#This Row],[nov-22]]</f>
        <v>0</v>
      </c>
      <c r="AX309" s="118"/>
    </row>
    <row r="310" spans="1:50" x14ac:dyDescent="0.3">
      <c r="A310" s="57"/>
      <c r="B310" s="57" t="s">
        <v>252</v>
      </c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>
        <v>0</v>
      </c>
      <c r="AR310" s="57">
        <v>0</v>
      </c>
      <c r="AS310" s="57"/>
      <c r="AT310" s="57"/>
      <c r="AU310" s="57"/>
      <c r="AV310" s="589" t="e">
        <f>(Tableau11[[#This Row],[juin-24]]-Tableau11[[#This Row],[avr-24]])/Tableau11[[#This Row],[avr-24]]</f>
        <v>#DIV/0!</v>
      </c>
      <c r="AW310" s="57">
        <f>Tableau11[[#This Row],[oct-23]]-Tableau11[[#This Row],[nov-22]]</f>
        <v>0</v>
      </c>
      <c r="AX310" s="118"/>
    </row>
    <row r="311" spans="1:50" x14ac:dyDescent="0.3">
      <c r="A311" s="57"/>
      <c r="B311" s="57" t="s">
        <v>297</v>
      </c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>
        <v>0</v>
      </c>
      <c r="AR311" s="57">
        <v>0</v>
      </c>
      <c r="AS311" s="57"/>
      <c r="AT311" s="57"/>
      <c r="AU311" s="57"/>
      <c r="AV311" s="589" t="e">
        <f>(Tableau11[[#This Row],[juin-24]]-Tableau11[[#This Row],[avr-24]])/Tableau11[[#This Row],[avr-24]]</f>
        <v>#DIV/0!</v>
      </c>
      <c r="AW311" s="57">
        <f>Tableau11[[#This Row],[oct-23]]-Tableau11[[#This Row],[nov-22]]</f>
        <v>0</v>
      </c>
      <c r="AX311" s="118"/>
    </row>
    <row r="312" spans="1:50" x14ac:dyDescent="0.3">
      <c r="A312" s="390"/>
      <c r="B312" s="57" t="s">
        <v>309</v>
      </c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118"/>
      <c r="AI312" s="118"/>
      <c r="AJ312" s="180"/>
      <c r="AK312" s="118"/>
      <c r="AL312" s="118"/>
      <c r="AM312" s="118"/>
      <c r="AN312" s="118"/>
      <c r="AO312" s="118"/>
      <c r="AP312" s="118"/>
      <c r="AQ312" s="57">
        <v>0</v>
      </c>
      <c r="AR312" s="118">
        <v>5259</v>
      </c>
      <c r="AS312" s="118"/>
      <c r="AT312" s="118"/>
      <c r="AU312" s="118"/>
      <c r="AV312" s="589" t="e">
        <f>(Tableau11[[#This Row],[juin-24]]-Tableau11[[#This Row],[avr-24]])/Tableau11[[#This Row],[avr-24]]</f>
        <v>#DIV/0!</v>
      </c>
      <c r="AW312" s="57">
        <f>Tableau11[[#This Row],[oct-23]]-Tableau11[[#This Row],[nov-22]]</f>
        <v>5259</v>
      </c>
      <c r="AX312" s="55" t="s">
        <v>366</v>
      </c>
    </row>
    <row r="313" spans="1:50" x14ac:dyDescent="0.3">
      <c r="A313" s="57"/>
      <c r="B313" s="57" t="s">
        <v>191</v>
      </c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>
        <v>0</v>
      </c>
      <c r="AR313" s="57">
        <v>0</v>
      </c>
      <c r="AS313" s="57"/>
      <c r="AT313" s="57"/>
      <c r="AU313" s="57"/>
      <c r="AV313" s="589" t="e">
        <f>(Tableau11[[#This Row],[juin-24]]-Tableau11[[#This Row],[avr-24]])/Tableau11[[#This Row],[avr-24]]</f>
        <v>#DIV/0!</v>
      </c>
      <c r="AW313" s="57">
        <f>Tableau11[[#This Row],[oct-23]]-Tableau11[[#This Row],[nov-22]]</f>
        <v>0</v>
      </c>
      <c r="AX313" s="118"/>
    </row>
    <row r="314" spans="1:50" x14ac:dyDescent="0.3">
      <c r="A314" s="57"/>
      <c r="B314" s="57" t="s">
        <v>262</v>
      </c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>
        <v>0</v>
      </c>
      <c r="AR314" s="57">
        <v>0</v>
      </c>
      <c r="AS314" s="57"/>
      <c r="AT314" s="57"/>
      <c r="AU314" s="57"/>
      <c r="AV314" s="589" t="e">
        <f>(Tableau11[[#This Row],[juin-24]]-Tableau11[[#This Row],[avr-24]])/Tableau11[[#This Row],[avr-24]]</f>
        <v>#DIV/0!</v>
      </c>
      <c r="AW314" s="57">
        <f>Tableau11[[#This Row],[oct-23]]-Tableau11[[#This Row],[nov-22]]</f>
        <v>0</v>
      </c>
      <c r="AX314" s="118"/>
    </row>
    <row r="315" spans="1:50" x14ac:dyDescent="0.3">
      <c r="A315" s="57"/>
      <c r="B315" s="57" t="s">
        <v>199</v>
      </c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>
        <v>0</v>
      </c>
      <c r="AR315" s="57">
        <v>0</v>
      </c>
      <c r="AS315" s="57"/>
      <c r="AT315" s="57"/>
      <c r="AU315" s="57"/>
      <c r="AV315" s="589" t="e">
        <f>(Tableau11[[#This Row],[juin-24]]-Tableau11[[#This Row],[avr-24]])/Tableau11[[#This Row],[avr-24]]</f>
        <v>#DIV/0!</v>
      </c>
      <c r="AW315" s="57">
        <f>Tableau11[[#This Row],[oct-23]]-Tableau11[[#This Row],[nov-22]]</f>
        <v>0</v>
      </c>
      <c r="AX315" s="118"/>
    </row>
    <row r="316" spans="1:50" x14ac:dyDescent="0.3">
      <c r="A316" s="57"/>
      <c r="B316" s="57" t="s">
        <v>248</v>
      </c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>
        <v>0</v>
      </c>
      <c r="AR316" s="57">
        <v>0</v>
      </c>
      <c r="AS316" s="57"/>
      <c r="AT316" s="57"/>
      <c r="AU316" s="57"/>
      <c r="AV316" s="589" t="e">
        <f>(Tableau11[[#This Row],[juin-24]]-Tableau11[[#This Row],[avr-24]])/Tableau11[[#This Row],[avr-24]]</f>
        <v>#DIV/0!</v>
      </c>
      <c r="AW316" s="57">
        <f>Tableau11[[#This Row],[oct-23]]-Tableau11[[#This Row],[nov-22]]</f>
        <v>0</v>
      </c>
      <c r="AX316" s="118"/>
    </row>
    <row r="317" spans="1:50" x14ac:dyDescent="0.3">
      <c r="A317" s="57"/>
      <c r="B317" s="57" t="s">
        <v>97</v>
      </c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>
        <v>0</v>
      </c>
      <c r="AR317" s="57">
        <v>0</v>
      </c>
      <c r="AS317" s="57"/>
      <c r="AT317" s="57"/>
      <c r="AU317" s="57"/>
      <c r="AV317" s="589" t="e">
        <f>(Tableau11[[#This Row],[juin-24]]-Tableau11[[#This Row],[avr-24]])/Tableau11[[#This Row],[avr-24]]</f>
        <v>#DIV/0!</v>
      </c>
      <c r="AW317" s="57">
        <f>Tableau11[[#This Row],[oct-23]]-Tableau11[[#This Row],[nov-22]]</f>
        <v>0</v>
      </c>
      <c r="AX317" s="118"/>
    </row>
    <row r="318" spans="1:50" x14ac:dyDescent="0.3">
      <c r="A318" s="57"/>
      <c r="B318" s="57" t="s">
        <v>249</v>
      </c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>
        <v>0</v>
      </c>
      <c r="AR318" s="57">
        <v>5320</v>
      </c>
      <c r="AS318" s="57">
        <v>5482</v>
      </c>
      <c r="AT318" s="57">
        <v>5864</v>
      </c>
      <c r="AU318" s="57"/>
      <c r="AV318" s="589">
        <f>(Tableau11[[#This Row],[juin-24]]-Tableau11[[#This Row],[avr-24]])/Tableau11[[#This Row],[avr-24]]</f>
        <v>6.9682597592119658E-2</v>
      </c>
      <c r="AW318" s="57">
        <f>Tableau11[[#This Row],[oct-23]]-Tableau11[[#This Row],[nov-22]]</f>
        <v>5320</v>
      </c>
      <c r="AX318" s="55" t="s">
        <v>363</v>
      </c>
    </row>
    <row r="319" spans="1:50" x14ac:dyDescent="0.3">
      <c r="A319" s="57"/>
      <c r="B319" s="57" t="s">
        <v>120</v>
      </c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>
        <v>0</v>
      </c>
      <c r="AR319" s="57">
        <v>0</v>
      </c>
      <c r="AS319" s="57"/>
      <c r="AT319" s="57"/>
      <c r="AU319" s="57"/>
      <c r="AV319" s="589" t="e">
        <f>(Tableau11[[#This Row],[juin-24]]-Tableau11[[#This Row],[avr-24]])/Tableau11[[#This Row],[avr-24]]</f>
        <v>#DIV/0!</v>
      </c>
      <c r="AW319" s="57">
        <f>Tableau11[[#This Row],[oct-23]]-Tableau11[[#This Row],[nov-22]]</f>
        <v>0</v>
      </c>
      <c r="AX319" s="118"/>
    </row>
    <row r="320" spans="1:50" x14ac:dyDescent="0.3">
      <c r="A320" s="57"/>
      <c r="B320" s="57" t="s">
        <v>251</v>
      </c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>
        <v>0</v>
      </c>
      <c r="AR320" s="57">
        <v>0</v>
      </c>
      <c r="AS320" s="57"/>
      <c r="AT320" s="57"/>
      <c r="AU320" s="57"/>
      <c r="AV320" s="589" t="e">
        <f>(Tableau11[[#This Row],[juin-24]]-Tableau11[[#This Row],[avr-24]])/Tableau11[[#This Row],[avr-24]]</f>
        <v>#DIV/0!</v>
      </c>
      <c r="AW320" s="57">
        <f>Tableau11[[#This Row],[oct-23]]-Tableau11[[#This Row],[nov-22]]</f>
        <v>0</v>
      </c>
      <c r="AX320" s="118"/>
    </row>
    <row r="321" spans="1:50" x14ac:dyDescent="0.3">
      <c r="A321" s="390"/>
      <c r="B321" s="57" t="s">
        <v>307</v>
      </c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118"/>
      <c r="AI321" s="118"/>
      <c r="AJ321" s="180"/>
      <c r="AK321" s="118"/>
      <c r="AL321" s="118"/>
      <c r="AM321" s="118"/>
      <c r="AN321" s="118"/>
      <c r="AO321" s="118"/>
      <c r="AP321" s="118"/>
      <c r="AQ321" s="57">
        <v>0</v>
      </c>
      <c r="AR321" s="118">
        <v>0</v>
      </c>
      <c r="AS321" s="118"/>
      <c r="AT321" s="118"/>
      <c r="AU321" s="118"/>
      <c r="AV321" s="589" t="e">
        <f>(Tableau11[[#This Row],[juin-24]]-Tableau11[[#This Row],[avr-24]])/Tableau11[[#This Row],[avr-24]]</f>
        <v>#DIV/0!</v>
      </c>
      <c r="AW321" s="57">
        <f>Tableau11[[#This Row],[oct-23]]-Tableau11[[#This Row],[nov-22]]</f>
        <v>0</v>
      </c>
      <c r="AX321" s="118"/>
    </row>
    <row r="322" spans="1:50" x14ac:dyDescent="0.3">
      <c r="A322" s="390"/>
      <c r="B322" s="57" t="s">
        <v>303</v>
      </c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118"/>
      <c r="AI322" s="118"/>
      <c r="AJ322" s="180"/>
      <c r="AK322" s="118"/>
      <c r="AL322" s="118"/>
      <c r="AM322" s="118"/>
      <c r="AN322" s="118"/>
      <c r="AO322" s="118"/>
      <c r="AP322" s="118"/>
      <c r="AQ322" s="57">
        <v>0</v>
      </c>
      <c r="AR322" s="118">
        <v>0</v>
      </c>
      <c r="AS322" s="118"/>
      <c r="AT322" s="118"/>
      <c r="AU322" s="118"/>
      <c r="AV322" s="589" t="e">
        <f>(Tableau11[[#This Row],[juin-24]]-Tableau11[[#This Row],[avr-24]])/Tableau11[[#This Row],[avr-24]]</f>
        <v>#DIV/0!</v>
      </c>
      <c r="AW322" s="57">
        <f>Tableau11[[#This Row],[oct-23]]-Tableau11[[#This Row],[nov-22]]</f>
        <v>0</v>
      </c>
      <c r="AX322" s="118"/>
    </row>
    <row r="323" spans="1:50" x14ac:dyDescent="0.3">
      <c r="A323" s="57"/>
      <c r="B323" s="57" t="s">
        <v>206</v>
      </c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>
        <v>0</v>
      </c>
      <c r="AR323" s="57">
        <v>0</v>
      </c>
      <c r="AS323" s="57"/>
      <c r="AT323" s="57"/>
      <c r="AU323" s="57"/>
      <c r="AV323" s="589" t="e">
        <f>(Tableau11[[#This Row],[juin-24]]-Tableau11[[#This Row],[avr-24]])/Tableau11[[#This Row],[avr-24]]</f>
        <v>#DIV/0!</v>
      </c>
      <c r="AW323" s="57">
        <f>Tableau11[[#This Row],[oct-23]]-Tableau11[[#This Row],[nov-22]]</f>
        <v>0</v>
      </c>
      <c r="AX323" s="118"/>
    </row>
    <row r="324" spans="1:50" x14ac:dyDescent="0.3">
      <c r="A324" s="57"/>
      <c r="B324" s="57" t="s">
        <v>296</v>
      </c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>
        <v>0</v>
      </c>
      <c r="AR324" s="57">
        <v>0</v>
      </c>
      <c r="AS324" s="57"/>
      <c r="AT324" s="57"/>
      <c r="AU324" s="57"/>
      <c r="AV324" s="589" t="e">
        <f>(Tableau11[[#This Row],[juin-24]]-Tableau11[[#This Row],[avr-24]])/Tableau11[[#This Row],[avr-24]]</f>
        <v>#DIV/0!</v>
      </c>
      <c r="AW324" s="57">
        <f>Tableau11[[#This Row],[oct-23]]-Tableau11[[#This Row],[nov-22]]</f>
        <v>0</v>
      </c>
      <c r="AX324" s="118"/>
    </row>
    <row r="325" spans="1:50" x14ac:dyDescent="0.3">
      <c r="A325" s="57"/>
      <c r="B325" s="57" t="s">
        <v>267</v>
      </c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>
        <v>0</v>
      </c>
      <c r="AR325" s="57">
        <v>0</v>
      </c>
      <c r="AS325" s="57"/>
      <c r="AT325" s="57"/>
      <c r="AU325" s="57"/>
      <c r="AV325" s="589" t="e">
        <f>(Tableau11[[#This Row],[juin-24]]-Tableau11[[#This Row],[avr-24]])/Tableau11[[#This Row],[avr-24]]</f>
        <v>#DIV/0!</v>
      </c>
      <c r="AW325" s="57">
        <f>Tableau11[[#This Row],[oct-23]]-Tableau11[[#This Row],[nov-22]]</f>
        <v>0</v>
      </c>
      <c r="AX325" s="260"/>
    </row>
    <row r="326" spans="1:50" x14ac:dyDescent="0.3">
      <c r="A326" s="57"/>
      <c r="B326" s="57" t="s">
        <v>90</v>
      </c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>
        <v>0</v>
      </c>
      <c r="AR326" s="57">
        <v>5979</v>
      </c>
      <c r="AS326" s="57">
        <v>6390</v>
      </c>
      <c r="AT326" s="57">
        <v>6524</v>
      </c>
      <c r="AU326" s="57"/>
      <c r="AV326" s="589">
        <f>(Tableau11[[#This Row],[juin-24]]-Tableau11[[#This Row],[avr-24]])/Tableau11[[#This Row],[avr-24]]</f>
        <v>2.0970266040688575E-2</v>
      </c>
      <c r="AW326" s="57">
        <f>Tableau11[[#This Row],[oct-23]]-Tableau11[[#This Row],[nov-22]]</f>
        <v>5979</v>
      </c>
      <c r="AX326" s="585" t="s">
        <v>355</v>
      </c>
    </row>
    <row r="327" spans="1:50" x14ac:dyDescent="0.3">
      <c r="A327" s="57"/>
      <c r="B327" s="57" t="s">
        <v>260</v>
      </c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>
        <v>0</v>
      </c>
      <c r="AR327" s="57">
        <v>0</v>
      </c>
      <c r="AS327" s="57"/>
      <c r="AT327" s="57"/>
      <c r="AU327" s="57"/>
      <c r="AV327" s="589" t="e">
        <f>(Tableau11[[#This Row],[juin-24]]-Tableau11[[#This Row],[avr-24]])/Tableau11[[#This Row],[avr-24]]</f>
        <v>#DIV/0!</v>
      </c>
      <c r="AW327" s="57">
        <f>Tableau11[[#This Row],[oct-23]]-Tableau11[[#This Row],[nov-22]]</f>
        <v>0</v>
      </c>
      <c r="AX327" s="118"/>
    </row>
    <row r="328" spans="1:50" x14ac:dyDescent="0.3">
      <c r="A328" s="57"/>
      <c r="B328" s="57" t="s">
        <v>145</v>
      </c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>
        <v>0</v>
      </c>
      <c r="AR328" s="57">
        <v>0</v>
      </c>
      <c r="AS328" s="57"/>
      <c r="AT328" s="57"/>
      <c r="AU328" s="57"/>
      <c r="AV328" s="589" t="e">
        <f>(Tableau11[[#This Row],[juin-24]]-Tableau11[[#This Row],[avr-24]])/Tableau11[[#This Row],[avr-24]]</f>
        <v>#DIV/0!</v>
      </c>
      <c r="AW328" s="57">
        <f>Tableau11[[#This Row],[oct-23]]-Tableau11[[#This Row],[nov-22]]</f>
        <v>0</v>
      </c>
      <c r="AX328" s="118"/>
    </row>
    <row r="329" spans="1:50" x14ac:dyDescent="0.3">
      <c r="A329" s="390"/>
      <c r="B329" s="57" t="s">
        <v>308</v>
      </c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118"/>
      <c r="AI329" s="118"/>
      <c r="AJ329" s="180"/>
      <c r="AK329" s="118"/>
      <c r="AL329" s="118"/>
      <c r="AM329" s="118"/>
      <c r="AN329" s="118"/>
      <c r="AO329" s="118"/>
      <c r="AP329" s="118"/>
      <c r="AQ329" s="57">
        <v>0</v>
      </c>
      <c r="AR329" s="118">
        <v>0</v>
      </c>
      <c r="AS329" s="118"/>
      <c r="AT329" s="118"/>
      <c r="AU329" s="118"/>
      <c r="AV329" s="589" t="e">
        <f>(Tableau11[[#This Row],[juin-24]]-Tableau11[[#This Row],[avr-24]])/Tableau11[[#This Row],[avr-24]]</f>
        <v>#DIV/0!</v>
      </c>
      <c r="AW329" s="57">
        <f>Tableau11[[#This Row],[oct-23]]-Tableau11[[#This Row],[nov-22]]</f>
        <v>0</v>
      </c>
      <c r="AX329" s="118"/>
    </row>
    <row r="330" spans="1:50" x14ac:dyDescent="0.3">
      <c r="A330" s="57"/>
      <c r="B330" s="57" t="s">
        <v>195</v>
      </c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>
        <v>0</v>
      </c>
      <c r="AR330" s="57">
        <v>0</v>
      </c>
      <c r="AS330" s="57"/>
      <c r="AT330" s="57"/>
      <c r="AU330" s="57"/>
      <c r="AV330" s="589" t="e">
        <f>(Tableau11[[#This Row],[juin-24]]-Tableau11[[#This Row],[avr-24]])/Tableau11[[#This Row],[avr-24]]</f>
        <v>#DIV/0!</v>
      </c>
      <c r="AW330" s="57">
        <f>Tableau11[[#This Row],[oct-23]]-Tableau11[[#This Row],[nov-22]]</f>
        <v>0</v>
      </c>
      <c r="AX330" s="118"/>
    </row>
    <row r="331" spans="1:50" x14ac:dyDescent="0.3">
      <c r="A331" s="390"/>
      <c r="B331" s="57" t="s">
        <v>314</v>
      </c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118"/>
      <c r="AI331" s="118"/>
      <c r="AJ331" s="180"/>
      <c r="AK331" s="118"/>
      <c r="AL331" s="118"/>
      <c r="AM331" s="118"/>
      <c r="AN331" s="118"/>
      <c r="AO331" s="118"/>
      <c r="AP331" s="118"/>
      <c r="AQ331" s="57">
        <v>0</v>
      </c>
      <c r="AR331" s="118">
        <v>0</v>
      </c>
      <c r="AS331" s="118"/>
      <c r="AT331" s="118"/>
      <c r="AU331" s="118"/>
      <c r="AV331" s="589" t="e">
        <f>(Tableau11[[#This Row],[juin-24]]-Tableau11[[#This Row],[avr-24]])/Tableau11[[#This Row],[avr-24]]</f>
        <v>#DIV/0!</v>
      </c>
      <c r="AW331" s="57">
        <f>Tableau11[[#This Row],[oct-23]]-Tableau11[[#This Row],[nov-22]]</f>
        <v>0</v>
      </c>
      <c r="AX331" s="118"/>
    </row>
    <row r="332" spans="1:50" x14ac:dyDescent="0.3">
      <c r="A332" s="57"/>
      <c r="B332" s="57" t="s">
        <v>257</v>
      </c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>
        <v>0</v>
      </c>
      <c r="AR332" s="57">
        <v>0</v>
      </c>
      <c r="AS332" s="57"/>
      <c r="AT332" s="57"/>
      <c r="AU332" s="57"/>
      <c r="AV332" s="589" t="e">
        <f>(Tableau11[[#This Row],[juin-24]]-Tableau11[[#This Row],[avr-24]])/Tableau11[[#This Row],[avr-24]]</f>
        <v>#DIV/0!</v>
      </c>
      <c r="AW332" s="57">
        <f>Tableau11[[#This Row],[oct-23]]-Tableau11[[#This Row],[nov-22]]</f>
        <v>0</v>
      </c>
      <c r="AX332" s="118"/>
    </row>
    <row r="333" spans="1:50" x14ac:dyDescent="0.3">
      <c r="A333" s="57"/>
      <c r="B333" s="57" t="s">
        <v>114</v>
      </c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>
        <v>0</v>
      </c>
      <c r="AR333" s="57">
        <v>0</v>
      </c>
      <c r="AS333" s="57"/>
      <c r="AT333" s="57"/>
      <c r="AU333" s="57"/>
      <c r="AV333" s="589" t="e">
        <f>(Tableau11[[#This Row],[juin-24]]-Tableau11[[#This Row],[avr-24]])/Tableau11[[#This Row],[avr-24]]</f>
        <v>#DIV/0!</v>
      </c>
      <c r="AW333" s="57">
        <f>Tableau11[[#This Row],[oct-23]]-Tableau11[[#This Row],[nov-22]]</f>
        <v>0</v>
      </c>
      <c r="AX333" s="118"/>
    </row>
    <row r="334" spans="1:50" x14ac:dyDescent="0.3">
      <c r="A334" s="57"/>
      <c r="B334" s="57" t="s">
        <v>159</v>
      </c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>
        <v>0</v>
      </c>
      <c r="AR334" s="57">
        <v>0</v>
      </c>
      <c r="AS334" s="57"/>
      <c r="AT334" s="57"/>
      <c r="AU334" s="57"/>
      <c r="AV334" s="589" t="e">
        <f>(Tableau11[[#This Row],[juin-24]]-Tableau11[[#This Row],[avr-24]])/Tableau11[[#This Row],[avr-24]]</f>
        <v>#DIV/0!</v>
      </c>
      <c r="AW334" s="57">
        <f>Tableau11[[#This Row],[oct-23]]-Tableau11[[#This Row],[nov-22]]</f>
        <v>0</v>
      </c>
      <c r="AX334" s="118"/>
    </row>
    <row r="335" spans="1:50" x14ac:dyDescent="0.3">
      <c r="A335" s="390"/>
      <c r="B335" s="57" t="s">
        <v>312</v>
      </c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118"/>
      <c r="AI335" s="118"/>
      <c r="AJ335" s="180"/>
      <c r="AK335" s="118"/>
      <c r="AL335" s="118"/>
      <c r="AM335" s="118"/>
      <c r="AN335" s="118"/>
      <c r="AO335" s="118"/>
      <c r="AP335" s="118"/>
      <c r="AQ335" s="57">
        <v>0</v>
      </c>
      <c r="AR335" s="118">
        <v>0</v>
      </c>
      <c r="AS335" s="118"/>
      <c r="AT335" s="118"/>
      <c r="AU335" s="118"/>
      <c r="AV335" s="589" t="e">
        <f>(Tableau11[[#This Row],[juin-24]]-Tableau11[[#This Row],[avr-24]])/Tableau11[[#This Row],[avr-24]]</f>
        <v>#DIV/0!</v>
      </c>
      <c r="AW335" s="57">
        <f>Tableau11[[#This Row],[oct-23]]-Tableau11[[#This Row],[nov-22]]</f>
        <v>0</v>
      </c>
      <c r="AX335" s="118"/>
    </row>
    <row r="336" spans="1:50" x14ac:dyDescent="0.3">
      <c r="A336" s="390"/>
      <c r="B336" s="57" t="s">
        <v>315</v>
      </c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118"/>
      <c r="AI336" s="118"/>
      <c r="AJ336" s="180"/>
      <c r="AK336" s="118"/>
      <c r="AL336" s="118"/>
      <c r="AM336" s="118"/>
      <c r="AN336" s="118"/>
      <c r="AO336" s="118"/>
      <c r="AP336" s="118"/>
      <c r="AQ336" s="57">
        <v>0</v>
      </c>
      <c r="AR336" s="118">
        <v>0</v>
      </c>
      <c r="AS336" s="118"/>
      <c r="AT336" s="118"/>
      <c r="AU336" s="118"/>
      <c r="AV336" s="589" t="e">
        <f>(Tableau11[[#This Row],[juin-24]]-Tableau11[[#This Row],[avr-24]])/Tableau11[[#This Row],[avr-24]]</f>
        <v>#DIV/0!</v>
      </c>
      <c r="AW336" s="57">
        <f>Tableau11[[#This Row],[oct-23]]-Tableau11[[#This Row],[nov-22]]</f>
        <v>0</v>
      </c>
      <c r="AX336" s="118"/>
    </row>
    <row r="337" spans="1:50" x14ac:dyDescent="0.3">
      <c r="A337" s="57"/>
      <c r="B337" s="57" t="s">
        <v>89</v>
      </c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>
        <v>0</v>
      </c>
      <c r="AR337" s="57">
        <v>0</v>
      </c>
      <c r="AS337" s="57"/>
      <c r="AT337" s="57"/>
      <c r="AU337" s="57"/>
      <c r="AV337" s="589" t="e">
        <f>(Tableau11[[#This Row],[juin-24]]-Tableau11[[#This Row],[avr-24]])/Tableau11[[#This Row],[avr-24]]</f>
        <v>#DIV/0!</v>
      </c>
      <c r="AW337" s="57">
        <f>Tableau11[[#This Row],[oct-23]]-Tableau11[[#This Row],[nov-22]]</f>
        <v>0</v>
      </c>
      <c r="AX337" s="118"/>
    </row>
    <row r="338" spans="1:50" x14ac:dyDescent="0.3">
      <c r="A338" s="390"/>
      <c r="B338" s="57" t="s">
        <v>313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118"/>
      <c r="AI338" s="118"/>
      <c r="AJ338" s="180"/>
      <c r="AK338" s="118"/>
      <c r="AL338" s="118"/>
      <c r="AM338" s="118"/>
      <c r="AN338" s="118"/>
      <c r="AO338" s="118"/>
      <c r="AP338" s="118"/>
      <c r="AQ338" s="57">
        <v>0</v>
      </c>
      <c r="AR338" s="118">
        <v>0</v>
      </c>
      <c r="AS338" s="118"/>
      <c r="AT338" s="118"/>
      <c r="AU338" s="118"/>
      <c r="AV338" s="589" t="e">
        <f>(Tableau11[[#This Row],[juin-24]]-Tableau11[[#This Row],[avr-24]])/Tableau11[[#This Row],[avr-24]]</f>
        <v>#DIV/0!</v>
      </c>
      <c r="AW338" s="57">
        <f>Tableau11[[#This Row],[oct-23]]-Tableau11[[#This Row],[nov-22]]</f>
        <v>0</v>
      </c>
      <c r="AX338" s="118"/>
    </row>
    <row r="339" spans="1:50" x14ac:dyDescent="0.3">
      <c r="A339" s="57"/>
      <c r="B339" s="57" t="s">
        <v>122</v>
      </c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>
        <v>0</v>
      </c>
      <c r="AR339" s="57">
        <v>0</v>
      </c>
      <c r="AS339" s="57"/>
      <c r="AT339" s="57"/>
      <c r="AU339" s="57"/>
      <c r="AV339" s="589" t="e">
        <f>(Tableau11[[#This Row],[juin-24]]-Tableau11[[#This Row],[avr-24]])/Tableau11[[#This Row],[avr-24]]</f>
        <v>#DIV/0!</v>
      </c>
      <c r="AW339" s="57">
        <f>Tableau11[[#This Row],[oct-23]]-Tableau11[[#This Row],[nov-22]]</f>
        <v>0</v>
      </c>
      <c r="AX339" s="118"/>
    </row>
    <row r="340" spans="1:50" x14ac:dyDescent="0.3">
      <c r="A340" s="390"/>
      <c r="B340" s="57" t="s">
        <v>317</v>
      </c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118"/>
      <c r="AI340" s="118"/>
      <c r="AJ340" s="180"/>
      <c r="AK340" s="118"/>
      <c r="AL340" s="118"/>
      <c r="AM340" s="118"/>
      <c r="AN340" s="118"/>
      <c r="AO340" s="118"/>
      <c r="AP340" s="118"/>
      <c r="AQ340" s="57">
        <v>0</v>
      </c>
      <c r="AR340" s="118">
        <v>0</v>
      </c>
      <c r="AS340" s="118"/>
      <c r="AT340" s="118"/>
      <c r="AU340" s="118"/>
      <c r="AV340" s="589" t="e">
        <f>(Tableau11[[#This Row],[juin-24]]-Tableau11[[#This Row],[avr-24]])/Tableau11[[#This Row],[avr-24]]</f>
        <v>#DIV/0!</v>
      </c>
      <c r="AW340" s="57">
        <f>Tableau11[[#This Row],[oct-23]]-Tableau11[[#This Row],[nov-22]]</f>
        <v>0</v>
      </c>
      <c r="AX340" s="118"/>
    </row>
    <row r="341" spans="1:50" x14ac:dyDescent="0.3">
      <c r="A341" s="390"/>
      <c r="B341" s="57" t="s">
        <v>323</v>
      </c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118"/>
      <c r="AI341" s="118"/>
      <c r="AJ341" s="180"/>
      <c r="AK341" s="118"/>
      <c r="AL341" s="118"/>
      <c r="AM341" s="118"/>
      <c r="AN341" s="118"/>
      <c r="AO341" s="118"/>
      <c r="AP341" s="118"/>
      <c r="AQ341" s="57">
        <v>0</v>
      </c>
      <c r="AR341" s="118">
        <v>0</v>
      </c>
      <c r="AS341" s="118"/>
      <c r="AT341" s="118"/>
      <c r="AU341" s="118"/>
      <c r="AV341" s="589" t="e">
        <f>(Tableau11[[#This Row],[juin-24]]-Tableau11[[#This Row],[avr-24]])/Tableau11[[#This Row],[avr-24]]</f>
        <v>#DIV/0!</v>
      </c>
      <c r="AW341" s="57">
        <f>Tableau11[[#This Row],[oct-23]]-Tableau11[[#This Row],[nov-22]]</f>
        <v>0</v>
      </c>
      <c r="AX341" s="118"/>
    </row>
    <row r="342" spans="1:50" x14ac:dyDescent="0.3">
      <c r="A342" s="390"/>
      <c r="B342" s="57" t="s">
        <v>319</v>
      </c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118"/>
      <c r="AI342" s="118"/>
      <c r="AJ342" s="180"/>
      <c r="AK342" s="118"/>
      <c r="AL342" s="118"/>
      <c r="AM342" s="118"/>
      <c r="AN342" s="118"/>
      <c r="AO342" s="118"/>
      <c r="AP342" s="118"/>
      <c r="AQ342" s="57">
        <v>0</v>
      </c>
      <c r="AR342" s="118">
        <v>0</v>
      </c>
      <c r="AS342" s="118"/>
      <c r="AT342" s="118"/>
      <c r="AU342" s="118"/>
      <c r="AV342" s="589" t="e">
        <f>(Tableau11[[#This Row],[juin-24]]-Tableau11[[#This Row],[avr-24]])/Tableau11[[#This Row],[avr-24]]</f>
        <v>#DIV/0!</v>
      </c>
      <c r="AW342" s="57">
        <f>Tableau11[[#This Row],[oct-23]]-Tableau11[[#This Row],[nov-22]]</f>
        <v>0</v>
      </c>
      <c r="AX342" s="118"/>
    </row>
    <row r="343" spans="1:50" x14ac:dyDescent="0.3">
      <c r="A343" s="390"/>
      <c r="B343" s="57" t="s">
        <v>318</v>
      </c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118"/>
      <c r="AI343" s="118"/>
      <c r="AJ343" s="180"/>
      <c r="AK343" s="118"/>
      <c r="AL343" s="118"/>
      <c r="AM343" s="118"/>
      <c r="AN343" s="118"/>
      <c r="AO343" s="118"/>
      <c r="AP343" s="118"/>
      <c r="AQ343" s="57">
        <v>0</v>
      </c>
      <c r="AR343" s="118">
        <v>0</v>
      </c>
      <c r="AS343" s="118"/>
      <c r="AT343" s="118"/>
      <c r="AU343" s="118"/>
      <c r="AV343" s="589" t="e">
        <f>(Tableau11[[#This Row],[juin-24]]-Tableau11[[#This Row],[avr-24]])/Tableau11[[#This Row],[avr-24]]</f>
        <v>#DIV/0!</v>
      </c>
      <c r="AW343" s="57">
        <f>Tableau11[[#This Row],[oct-23]]-Tableau11[[#This Row],[nov-22]]</f>
        <v>0</v>
      </c>
      <c r="AX343" s="118"/>
    </row>
    <row r="344" spans="1:50" x14ac:dyDescent="0.3">
      <c r="A344" s="390"/>
      <c r="B344" s="57" t="s">
        <v>311</v>
      </c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118"/>
      <c r="AI344" s="118"/>
      <c r="AJ344" s="180"/>
      <c r="AK344" s="118"/>
      <c r="AL344" s="118"/>
      <c r="AM344" s="118"/>
      <c r="AN344" s="118"/>
      <c r="AO344" s="118"/>
      <c r="AP344" s="118"/>
      <c r="AQ344" s="57">
        <v>0</v>
      </c>
      <c r="AR344" s="118">
        <v>0</v>
      </c>
      <c r="AS344" s="118"/>
      <c r="AT344" s="118"/>
      <c r="AU344" s="118"/>
      <c r="AV344" s="589" t="e">
        <f>(Tableau11[[#This Row],[juin-24]]-Tableau11[[#This Row],[avr-24]])/Tableau11[[#This Row],[avr-24]]</f>
        <v>#DIV/0!</v>
      </c>
      <c r="AW344" s="57">
        <f>Tableau11[[#This Row],[oct-23]]-Tableau11[[#This Row],[nov-22]]</f>
        <v>0</v>
      </c>
      <c r="AX344" s="118"/>
    </row>
    <row r="345" spans="1:50" x14ac:dyDescent="0.3">
      <c r="A345" s="57"/>
      <c r="B345" s="388" t="s">
        <v>88</v>
      </c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>
        <v>38500</v>
      </c>
      <c r="AQ345" s="57">
        <v>38700</v>
      </c>
      <c r="AR345" s="57">
        <v>174800</v>
      </c>
      <c r="AS345" s="57"/>
      <c r="AT345" s="57">
        <v>42300</v>
      </c>
      <c r="AU345" s="57"/>
      <c r="AV345" s="589" t="e">
        <f>(Tableau11[[#This Row],[juin-24]]-Tableau11[[#This Row],[avr-24]])/Tableau11[[#This Row],[avr-24]]</f>
        <v>#DIV/0!</v>
      </c>
      <c r="AW345" s="57">
        <f>Tableau11[[#This Row],[oct-23]]-Tableau11[[#This Row],[nov-22]]</f>
        <v>136100</v>
      </c>
      <c r="AX345" s="118"/>
    </row>
    <row r="346" spans="1:50" x14ac:dyDescent="0.3">
      <c r="A346" s="57"/>
      <c r="B346" s="57" t="s">
        <v>113</v>
      </c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>
        <v>0</v>
      </c>
      <c r="AR346" s="57">
        <v>0</v>
      </c>
      <c r="AS346" s="57"/>
      <c r="AT346" s="57"/>
      <c r="AU346" s="57"/>
      <c r="AV346" s="589" t="e">
        <f>(Tableau11[[#This Row],[juin-24]]-Tableau11[[#This Row],[avr-24]])/Tableau11[[#This Row],[avr-24]]</f>
        <v>#DIV/0!</v>
      </c>
      <c r="AW346" s="57">
        <f>Tableau11[[#This Row],[oct-23]]-Tableau11[[#This Row],[nov-22]]</f>
        <v>0</v>
      </c>
      <c r="AX346" s="118"/>
    </row>
    <row r="347" spans="1:50" x14ac:dyDescent="0.3">
      <c r="A347" s="57"/>
      <c r="B347" s="57" t="s">
        <v>148</v>
      </c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>
        <v>0</v>
      </c>
      <c r="AR347" s="57">
        <v>0</v>
      </c>
      <c r="AS347" s="57"/>
      <c r="AT347" s="57"/>
      <c r="AU347" s="57"/>
      <c r="AV347" s="589" t="e">
        <f>(Tableau11[[#This Row],[juin-24]]-Tableau11[[#This Row],[avr-24]])/Tableau11[[#This Row],[avr-24]]</f>
        <v>#DIV/0!</v>
      </c>
      <c r="AW347" s="57">
        <f>Tableau11[[#This Row],[oct-23]]-Tableau11[[#This Row],[nov-22]]</f>
        <v>0</v>
      </c>
      <c r="AX347" s="118"/>
    </row>
    <row r="348" spans="1:50" x14ac:dyDescent="0.3">
      <c r="A348" s="57"/>
      <c r="B348" s="57" t="s">
        <v>202</v>
      </c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>
        <v>0</v>
      </c>
      <c r="AR348" s="57">
        <v>0</v>
      </c>
      <c r="AS348" s="57"/>
      <c r="AT348" s="57"/>
      <c r="AU348" s="57"/>
      <c r="AV348" s="589" t="e">
        <f>(Tableau11[[#This Row],[juin-24]]-Tableau11[[#This Row],[avr-24]])/Tableau11[[#This Row],[avr-24]]</f>
        <v>#DIV/0!</v>
      </c>
      <c r="AW348" s="57">
        <f>Tableau11[[#This Row],[oct-23]]-Tableau11[[#This Row],[nov-22]]</f>
        <v>0</v>
      </c>
      <c r="AX348" s="118"/>
    </row>
    <row r="349" spans="1:50" x14ac:dyDescent="0.3">
      <c r="A349" s="57"/>
      <c r="B349" s="57" t="s">
        <v>144</v>
      </c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>
        <v>0</v>
      </c>
      <c r="AR349" s="57">
        <v>0</v>
      </c>
      <c r="AS349" s="57"/>
      <c r="AT349" s="57"/>
      <c r="AU349" s="57"/>
      <c r="AV349" s="589" t="e">
        <f>(Tableau11[[#This Row],[juin-24]]-Tableau11[[#This Row],[avr-24]])/Tableau11[[#This Row],[avr-24]]</f>
        <v>#DIV/0!</v>
      </c>
      <c r="AW349" s="57">
        <f>Tableau11[[#This Row],[oct-23]]-Tableau11[[#This Row],[nov-22]]</f>
        <v>0</v>
      </c>
      <c r="AX349" s="118"/>
    </row>
    <row r="350" spans="1:50" x14ac:dyDescent="0.3">
      <c r="A350" s="57"/>
      <c r="B350" s="57" t="s">
        <v>162</v>
      </c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>
        <v>0</v>
      </c>
      <c r="AR350" s="57">
        <v>32000</v>
      </c>
      <c r="AS350" s="57">
        <v>33900</v>
      </c>
      <c r="AT350" s="57">
        <v>33800</v>
      </c>
      <c r="AU350" s="57"/>
      <c r="AV350" s="589">
        <f>(Tableau11[[#This Row],[juin-24]]-Tableau11[[#This Row],[avr-24]])/Tableau11[[#This Row],[avr-24]]</f>
        <v>-2.9498525073746312E-3</v>
      </c>
      <c r="AW350" s="57">
        <f>Tableau11[[#This Row],[oct-23]]-Tableau11[[#This Row],[nov-22]]</f>
        <v>32000</v>
      </c>
      <c r="AX350" s="525" t="s">
        <v>358</v>
      </c>
    </row>
    <row r="351" spans="1:50" x14ac:dyDescent="0.3">
      <c r="A351" s="57"/>
      <c r="B351" s="57" t="s">
        <v>187</v>
      </c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>
        <v>0</v>
      </c>
      <c r="AR351" s="57">
        <v>13900</v>
      </c>
      <c r="AS351" s="57">
        <v>22300</v>
      </c>
      <c r="AT351" s="57">
        <v>25000</v>
      </c>
      <c r="AU351" s="57"/>
      <c r="AV351" s="589">
        <f>(Tableau11[[#This Row],[juin-24]]-Tableau11[[#This Row],[avr-24]])/Tableau11[[#This Row],[avr-24]]</f>
        <v>0.1210762331838565</v>
      </c>
      <c r="AW351" s="57">
        <f>Tableau11[[#This Row],[oct-23]]-Tableau11[[#This Row],[nov-22]]</f>
        <v>13900</v>
      </c>
      <c r="AX351" s="55" t="s">
        <v>356</v>
      </c>
    </row>
    <row r="352" spans="1:50" x14ac:dyDescent="0.3">
      <c r="A352" s="57"/>
      <c r="B352" s="57" t="s">
        <v>98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>
        <v>0</v>
      </c>
      <c r="AR352" s="57">
        <v>0</v>
      </c>
      <c r="AS352" s="57"/>
      <c r="AT352" s="57"/>
      <c r="AU352" s="57"/>
      <c r="AV352" s="589" t="e">
        <f>(Tableau11[[#This Row],[juin-24]]-Tableau11[[#This Row],[avr-24]])/Tableau11[[#This Row],[avr-24]]</f>
        <v>#DIV/0!</v>
      </c>
      <c r="AW352" s="57">
        <f>Tableau11[[#This Row],[oct-23]]-Tableau11[[#This Row],[nov-22]]</f>
        <v>0</v>
      </c>
      <c r="AX352" s="118"/>
    </row>
    <row r="353" spans="1:50" x14ac:dyDescent="0.3">
      <c r="A353" s="57"/>
      <c r="B353" s="57" t="s">
        <v>100</v>
      </c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>
        <v>0</v>
      </c>
      <c r="AR353" s="57">
        <v>410400</v>
      </c>
      <c r="AS353" s="57">
        <v>622000</v>
      </c>
      <c r="AT353" s="57">
        <v>625000</v>
      </c>
      <c r="AU353" s="57"/>
      <c r="AV353" s="589">
        <f>(Tableau11[[#This Row],[juin-24]]-Tableau11[[#This Row],[avr-24]])/Tableau11[[#This Row],[avr-24]]</f>
        <v>4.8231511254019296E-3</v>
      </c>
      <c r="AW353" s="57">
        <f>Tableau11[[#This Row],[oct-23]]-Tableau11[[#This Row],[nov-22]]</f>
        <v>410400</v>
      </c>
      <c r="AX353" s="525" t="s">
        <v>353</v>
      </c>
    </row>
    <row r="354" spans="1:50" x14ac:dyDescent="0.3">
      <c r="A354" s="390"/>
      <c r="B354" s="57" t="s">
        <v>322</v>
      </c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118"/>
      <c r="AI354" s="118"/>
      <c r="AJ354" s="180"/>
      <c r="AK354" s="118"/>
      <c r="AL354" s="118"/>
      <c r="AM354" s="118"/>
      <c r="AN354" s="118"/>
      <c r="AO354" s="118"/>
      <c r="AP354" s="118"/>
      <c r="AQ354" s="57">
        <v>0</v>
      </c>
      <c r="AR354" s="118">
        <v>0</v>
      </c>
      <c r="AS354" s="118"/>
      <c r="AT354" s="118"/>
      <c r="AU354" s="118"/>
      <c r="AV354" s="589" t="e">
        <f>(Tableau11[[#This Row],[juin-24]]-Tableau11[[#This Row],[avr-24]])/Tableau11[[#This Row],[avr-24]]</f>
        <v>#DIV/0!</v>
      </c>
      <c r="AW354" s="57">
        <f>Tableau11[[#This Row],[oct-23]]-Tableau11[[#This Row],[nov-22]]</f>
        <v>0</v>
      </c>
      <c r="AX354" s="118"/>
    </row>
    <row r="355" spans="1:50" x14ac:dyDescent="0.3">
      <c r="A355" s="57"/>
      <c r="B355" s="57" t="s">
        <v>91</v>
      </c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>
        <v>0</v>
      </c>
      <c r="AR355" s="57">
        <v>0</v>
      </c>
      <c r="AS355" s="57"/>
      <c r="AT355" s="57"/>
      <c r="AU355" s="57"/>
      <c r="AV355" s="589" t="e">
        <f>(Tableau11[[#This Row],[juin-24]]-Tableau11[[#This Row],[avr-24]])/Tableau11[[#This Row],[avr-24]]</f>
        <v>#DIV/0!</v>
      </c>
      <c r="AW355" s="57">
        <f>Tableau11[[#This Row],[oct-23]]-Tableau11[[#This Row],[nov-22]]</f>
        <v>0</v>
      </c>
      <c r="AX355" s="118"/>
    </row>
    <row r="356" spans="1:50" x14ac:dyDescent="0.3">
      <c r="A356" s="57"/>
      <c r="B356" s="57" t="s">
        <v>193</v>
      </c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>
        <v>0</v>
      </c>
      <c r="AR356" s="57">
        <v>0</v>
      </c>
      <c r="AS356" s="57"/>
      <c r="AT356" s="57"/>
      <c r="AU356" s="57"/>
      <c r="AV356" s="589" t="e">
        <f>(Tableau11[[#This Row],[juin-24]]-Tableau11[[#This Row],[avr-24]])/Tableau11[[#This Row],[avr-24]]</f>
        <v>#DIV/0!</v>
      </c>
      <c r="AW356" s="57">
        <f>Tableau11[[#This Row],[oct-23]]-Tableau11[[#This Row],[nov-22]]</f>
        <v>0</v>
      </c>
      <c r="AX356" s="118"/>
    </row>
    <row r="357" spans="1:50" x14ac:dyDescent="0.3">
      <c r="A357" s="391"/>
      <c r="B357" s="57" t="s">
        <v>325</v>
      </c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1"/>
      <c r="AF357" s="151"/>
      <c r="AG357" s="151"/>
      <c r="AH357" s="285"/>
      <c r="AI357" s="285"/>
      <c r="AJ357" s="181"/>
      <c r="AK357" s="285"/>
      <c r="AL357" s="285"/>
      <c r="AM357" s="285"/>
      <c r="AN357" s="285"/>
      <c r="AO357" s="285"/>
      <c r="AP357" s="285"/>
      <c r="AQ357" s="57">
        <v>0</v>
      </c>
      <c r="AR357" s="285">
        <v>0</v>
      </c>
      <c r="AS357" s="285"/>
      <c r="AT357" s="285"/>
      <c r="AU357" s="285"/>
      <c r="AV357" s="589" t="e">
        <f>(Tableau11[[#This Row],[juin-24]]-Tableau11[[#This Row],[avr-24]])/Tableau11[[#This Row],[avr-24]]</f>
        <v>#DIV/0!</v>
      </c>
      <c r="AW357" s="57">
        <f>Tableau11[[#This Row],[oct-23]]-Tableau11[[#This Row],[nov-22]]</f>
        <v>0</v>
      </c>
      <c r="AX357" s="118"/>
    </row>
    <row r="358" spans="1:50" x14ac:dyDescent="0.3">
      <c r="A358" s="151"/>
      <c r="B358" s="57" t="s">
        <v>264</v>
      </c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57">
        <v>0</v>
      </c>
      <c r="AR358" s="151">
        <v>0</v>
      </c>
      <c r="AS358" s="151"/>
      <c r="AT358" s="151"/>
      <c r="AU358" s="151"/>
      <c r="AV358" s="589" t="e">
        <f>(Tableau11[[#This Row],[juin-24]]-Tableau11[[#This Row],[avr-24]])/Tableau11[[#This Row],[avr-24]]</f>
        <v>#DIV/0!</v>
      </c>
      <c r="AW358" s="57">
        <f>Tableau11[[#This Row],[oct-23]]-Tableau11[[#This Row],[nov-22]]</f>
        <v>0</v>
      </c>
      <c r="AX358" s="118"/>
    </row>
    <row r="359" spans="1:50" x14ac:dyDescent="0.3">
      <c r="A359" s="57"/>
      <c r="B359" s="57" t="s">
        <v>231</v>
      </c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>
        <v>0</v>
      </c>
      <c r="AR359" s="57">
        <v>0</v>
      </c>
      <c r="AS359" s="57"/>
      <c r="AT359" s="57"/>
      <c r="AU359" s="57"/>
      <c r="AV359" s="589" t="e">
        <f>(Tableau11[[#This Row],[juin-24]]-Tableau11[[#This Row],[avr-24]])/Tableau11[[#This Row],[avr-24]]</f>
        <v>#DIV/0!</v>
      </c>
      <c r="AW359" s="57">
        <f>Tableau11[[#This Row],[oct-23]]-Tableau11[[#This Row],[nov-22]]</f>
        <v>0</v>
      </c>
      <c r="AX359" s="118"/>
    </row>
    <row r="360" spans="1:50" x14ac:dyDescent="0.3">
      <c r="A360" s="390"/>
      <c r="B360" s="57" t="s">
        <v>320</v>
      </c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118"/>
      <c r="AI360" s="118"/>
      <c r="AJ360" s="180"/>
      <c r="AK360" s="118"/>
      <c r="AL360" s="118"/>
      <c r="AM360" s="118"/>
      <c r="AN360" s="118"/>
      <c r="AO360" s="118"/>
      <c r="AP360" s="118"/>
      <c r="AQ360" s="57">
        <v>0</v>
      </c>
      <c r="AR360" s="118">
        <v>0</v>
      </c>
      <c r="AS360" s="118"/>
      <c r="AT360" s="118"/>
      <c r="AU360" s="118"/>
      <c r="AV360" s="589" t="e">
        <f>(Tableau11[[#This Row],[juin-24]]-Tableau11[[#This Row],[avr-24]])/Tableau11[[#This Row],[avr-24]]</f>
        <v>#DIV/0!</v>
      </c>
      <c r="AW360" s="57">
        <f>Tableau11[[#This Row],[oct-23]]-Tableau11[[#This Row],[nov-22]]</f>
        <v>0</v>
      </c>
      <c r="AX360" s="118"/>
    </row>
    <row r="361" spans="1:50" x14ac:dyDescent="0.3">
      <c r="A361" s="390"/>
      <c r="B361" s="57" t="s">
        <v>321</v>
      </c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118"/>
      <c r="AI361" s="118"/>
      <c r="AJ361" s="180"/>
      <c r="AK361" s="118"/>
      <c r="AL361" s="118"/>
      <c r="AM361" s="118"/>
      <c r="AN361" s="118"/>
      <c r="AO361" s="118"/>
      <c r="AP361" s="118"/>
      <c r="AQ361" s="57">
        <v>0</v>
      </c>
      <c r="AR361" s="118">
        <v>0</v>
      </c>
      <c r="AS361" s="118"/>
      <c r="AT361" s="118"/>
      <c r="AU361" s="118"/>
      <c r="AV361" s="589" t="e">
        <f>(Tableau11[[#This Row],[juin-24]]-Tableau11[[#This Row],[avr-24]])/Tableau11[[#This Row],[avr-24]]</f>
        <v>#DIV/0!</v>
      </c>
      <c r="AW361" s="57">
        <f>Tableau11[[#This Row],[oct-23]]-Tableau11[[#This Row],[nov-22]]</f>
        <v>0</v>
      </c>
      <c r="AX361" s="118"/>
    </row>
    <row r="362" spans="1:50" x14ac:dyDescent="0.3">
      <c r="A362" s="57"/>
      <c r="B362" s="57" t="s">
        <v>132</v>
      </c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>
        <v>0</v>
      </c>
      <c r="AR362" s="57">
        <v>0</v>
      </c>
      <c r="AS362" s="57"/>
      <c r="AT362" s="57"/>
      <c r="AU362" s="57"/>
      <c r="AV362" s="589" t="e">
        <f>(Tableau11[[#This Row],[juin-24]]-Tableau11[[#This Row],[avr-24]])/Tableau11[[#This Row],[avr-24]]</f>
        <v>#DIV/0!</v>
      </c>
      <c r="AW362" s="57">
        <f>Tableau11[[#This Row],[oct-23]]-Tableau11[[#This Row],[nov-22]]</f>
        <v>0</v>
      </c>
      <c r="AX362" s="118"/>
    </row>
    <row r="363" spans="1:50" x14ac:dyDescent="0.3">
      <c r="A363" s="57"/>
      <c r="B363" s="57" t="s">
        <v>258</v>
      </c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>
        <v>0</v>
      </c>
      <c r="AR363" s="57">
        <v>0</v>
      </c>
      <c r="AS363" s="57"/>
      <c r="AT363" s="57"/>
      <c r="AU363" s="57"/>
      <c r="AV363" s="589" t="e">
        <f>(Tableau11[[#This Row],[juin-24]]-Tableau11[[#This Row],[avr-24]])/Tableau11[[#This Row],[avr-24]]</f>
        <v>#DIV/0!</v>
      </c>
      <c r="AW363" s="57">
        <f>Tableau11[[#This Row],[oct-23]]-Tableau11[[#This Row],[nov-22]]</f>
        <v>0</v>
      </c>
      <c r="AX363" s="118"/>
    </row>
    <row r="364" spans="1:50" x14ac:dyDescent="0.3">
      <c r="A364" s="57"/>
      <c r="B364" s="57" t="s">
        <v>266</v>
      </c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>
        <v>0</v>
      </c>
      <c r="AR364" s="57">
        <v>0</v>
      </c>
      <c r="AS364" s="57"/>
      <c r="AT364" s="57"/>
      <c r="AU364" s="57"/>
      <c r="AV364" s="589" t="e">
        <f>(Tableau11[[#This Row],[juin-24]]-Tableau11[[#This Row],[avr-24]])/Tableau11[[#This Row],[avr-24]]</f>
        <v>#DIV/0!</v>
      </c>
      <c r="AW364" s="57">
        <f>Tableau11[[#This Row],[oct-23]]-Tableau11[[#This Row],[nov-22]]</f>
        <v>0</v>
      </c>
      <c r="AX364" s="260"/>
    </row>
    <row r="365" spans="1:50" x14ac:dyDescent="0.3">
      <c r="A365" s="57"/>
      <c r="B365" s="57" t="s">
        <v>190</v>
      </c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>
        <v>0</v>
      </c>
      <c r="AR365" s="57">
        <v>0</v>
      </c>
      <c r="AS365" s="57"/>
      <c r="AT365" s="57"/>
      <c r="AU365" s="57"/>
      <c r="AV365" s="589" t="e">
        <f>(Tableau11[[#This Row],[juin-24]]-Tableau11[[#This Row],[avr-24]])/Tableau11[[#This Row],[avr-24]]</f>
        <v>#DIV/0!</v>
      </c>
      <c r="AW365" s="57">
        <f>Tableau11[[#This Row],[oct-23]]-Tableau11[[#This Row],[nov-22]]</f>
        <v>0</v>
      </c>
      <c r="AX365" s="118"/>
    </row>
    <row r="366" spans="1:50" x14ac:dyDescent="0.3">
      <c r="A366" s="390"/>
      <c r="B366" s="57" t="s">
        <v>302</v>
      </c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118"/>
      <c r="AI366" s="118"/>
      <c r="AJ366" s="180"/>
      <c r="AK366" s="118"/>
      <c r="AL366" s="118"/>
      <c r="AM366" s="118"/>
      <c r="AN366" s="118"/>
      <c r="AO366" s="118"/>
      <c r="AP366" s="118"/>
      <c r="AQ366" s="57">
        <v>0</v>
      </c>
      <c r="AR366" s="118">
        <v>0</v>
      </c>
      <c r="AS366" s="118"/>
      <c r="AT366" s="118"/>
      <c r="AU366" s="118"/>
      <c r="AV366" s="589" t="e">
        <f>(Tableau11[[#This Row],[juin-24]]-Tableau11[[#This Row],[avr-24]])/Tableau11[[#This Row],[avr-24]]</f>
        <v>#DIV/0!</v>
      </c>
      <c r="AW366" s="57">
        <f>Tableau11[[#This Row],[oct-23]]-Tableau11[[#This Row],[nov-22]]</f>
        <v>0</v>
      </c>
      <c r="AX366" s="118"/>
    </row>
    <row r="367" spans="1:50" x14ac:dyDescent="0.3">
      <c r="A367" s="57"/>
      <c r="B367" s="57" t="s">
        <v>92</v>
      </c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>
        <v>0</v>
      </c>
      <c r="AR367" s="57">
        <v>115</v>
      </c>
      <c r="AS367" s="57"/>
      <c r="AT367" s="57">
        <v>118</v>
      </c>
      <c r="AU367" s="57"/>
      <c r="AV367" s="589" t="e">
        <f>(Tableau11[[#This Row],[juin-24]]-Tableau11[[#This Row],[avr-24]])/Tableau11[[#This Row],[avr-24]]</f>
        <v>#DIV/0!</v>
      </c>
      <c r="AW367" s="57">
        <f>Tableau11[[#This Row],[oct-23]]-Tableau11[[#This Row],[nov-22]]</f>
        <v>115</v>
      </c>
      <c r="AX367" s="525" t="s">
        <v>361</v>
      </c>
    </row>
    <row r="368" spans="1:50" x14ac:dyDescent="0.3">
      <c r="A368" s="57"/>
      <c r="B368" s="57" t="s">
        <v>194</v>
      </c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>
        <v>0</v>
      </c>
      <c r="AR368" s="57">
        <v>0</v>
      </c>
      <c r="AS368" s="57"/>
      <c r="AT368" s="57"/>
      <c r="AU368" s="57"/>
      <c r="AV368" s="589" t="e">
        <f>(Tableau11[[#This Row],[juin-24]]-Tableau11[[#This Row],[avr-24]])/Tableau11[[#This Row],[avr-24]]</f>
        <v>#DIV/0!</v>
      </c>
      <c r="AW368" s="57">
        <f>Tableau11[[#This Row],[oct-23]]-Tableau11[[#This Row],[nov-22]]</f>
        <v>0</v>
      </c>
      <c r="AX368" s="118"/>
    </row>
    <row r="369" spans="1:50" x14ac:dyDescent="0.3">
      <c r="A369" s="57"/>
      <c r="B369" s="57" t="s">
        <v>230</v>
      </c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>
        <v>0</v>
      </c>
      <c r="AR369" s="57">
        <v>0</v>
      </c>
      <c r="AS369" s="57"/>
      <c r="AT369" s="57"/>
      <c r="AU369" s="57"/>
      <c r="AV369" s="589" t="e">
        <f>(Tableau11[[#This Row],[juin-24]]-Tableau11[[#This Row],[avr-24]])/Tableau11[[#This Row],[avr-24]]</f>
        <v>#DIV/0!</v>
      </c>
      <c r="AW369" s="57">
        <f>Tableau11[[#This Row],[oct-23]]-Tableau11[[#This Row],[nov-22]]</f>
        <v>0</v>
      </c>
      <c r="AX369" s="118"/>
    </row>
    <row r="370" spans="1:50" x14ac:dyDescent="0.3">
      <c r="A370" s="57"/>
      <c r="B370" s="57" t="s">
        <v>256</v>
      </c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>
        <v>0</v>
      </c>
      <c r="AR370" s="57">
        <v>0</v>
      </c>
      <c r="AS370" s="57"/>
      <c r="AT370" s="57"/>
      <c r="AU370" s="57"/>
      <c r="AV370" s="589" t="e">
        <f>(Tableau11[[#This Row],[juin-24]]-Tableau11[[#This Row],[avr-24]])/Tableau11[[#This Row],[avr-24]]</f>
        <v>#DIV/0!</v>
      </c>
      <c r="AW370" s="57">
        <f>Tableau11[[#This Row],[oct-23]]-Tableau11[[#This Row],[nov-22]]</f>
        <v>0</v>
      </c>
      <c r="AX370" s="118"/>
    </row>
    <row r="371" spans="1:50" x14ac:dyDescent="0.3">
      <c r="A371" s="57"/>
      <c r="B371" s="57" t="s">
        <v>196</v>
      </c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>
        <v>0</v>
      </c>
      <c r="AR371" s="57">
        <v>0</v>
      </c>
      <c r="AS371" s="57"/>
      <c r="AT371" s="57"/>
      <c r="AU371" s="57"/>
      <c r="AV371" s="589" t="e">
        <f>(Tableau11[[#This Row],[juin-24]]-Tableau11[[#This Row],[avr-24]])/Tableau11[[#This Row],[avr-24]]</f>
        <v>#DIV/0!</v>
      </c>
      <c r="AW371" s="57">
        <f>Tableau11[[#This Row],[oct-23]]-Tableau11[[#This Row],[nov-22]]</f>
        <v>0</v>
      </c>
      <c r="AX371" s="118"/>
    </row>
    <row r="372" spans="1:50" x14ac:dyDescent="0.3">
      <c r="A372" s="57"/>
      <c r="B372" s="57" t="s">
        <v>95</v>
      </c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>
        <v>0</v>
      </c>
      <c r="AR372" s="57">
        <v>0</v>
      </c>
      <c r="AS372" s="57"/>
      <c r="AT372" s="57"/>
      <c r="AU372" s="57"/>
      <c r="AV372" s="589" t="e">
        <f>(Tableau11[[#This Row],[juin-24]]-Tableau11[[#This Row],[avr-24]])/Tableau11[[#This Row],[avr-24]]</f>
        <v>#DIV/0!</v>
      </c>
      <c r="AW372" s="57">
        <f>Tableau11[[#This Row],[oct-23]]-Tableau11[[#This Row],[nov-22]]</f>
        <v>0</v>
      </c>
      <c r="AX372" s="55"/>
    </row>
    <row r="373" spans="1:50" x14ac:dyDescent="0.3">
      <c r="A373" s="57"/>
      <c r="B373" s="57" t="s">
        <v>192</v>
      </c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>
        <v>0</v>
      </c>
      <c r="AR373" s="57">
        <v>0</v>
      </c>
      <c r="AS373" s="57"/>
      <c r="AT373" s="57"/>
      <c r="AU373" s="57"/>
      <c r="AV373" s="589" t="e">
        <f>(Tableau11[[#This Row],[juin-24]]-Tableau11[[#This Row],[avr-24]])/Tableau11[[#This Row],[avr-24]]</f>
        <v>#DIV/0!</v>
      </c>
      <c r="AW373" s="57">
        <f>Tableau11[[#This Row],[oct-23]]-Tableau11[[#This Row],[nov-22]]</f>
        <v>0</v>
      </c>
      <c r="AX373" s="118"/>
    </row>
    <row r="374" spans="1:50" x14ac:dyDescent="0.3">
      <c r="A374" s="390"/>
      <c r="B374" s="57" t="s">
        <v>306</v>
      </c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118"/>
      <c r="AI374" s="118"/>
      <c r="AJ374" s="180"/>
      <c r="AK374" s="118"/>
      <c r="AL374" s="118"/>
      <c r="AM374" s="118"/>
      <c r="AN374" s="118"/>
      <c r="AO374" s="118"/>
      <c r="AP374" s="118"/>
      <c r="AQ374" s="57">
        <v>0</v>
      </c>
      <c r="AR374" s="118">
        <v>0</v>
      </c>
      <c r="AS374" s="118"/>
      <c r="AT374" s="118"/>
      <c r="AU374" s="118"/>
      <c r="AV374" s="589" t="e">
        <f>(Tableau11[[#This Row],[juin-24]]-Tableau11[[#This Row],[avr-24]])/Tableau11[[#This Row],[avr-24]]</f>
        <v>#DIV/0!</v>
      </c>
      <c r="AW374" s="57">
        <f>Tableau11[[#This Row],[oct-23]]-Tableau11[[#This Row],[nov-22]]</f>
        <v>0</v>
      </c>
      <c r="AX374" s="118"/>
    </row>
    <row r="375" spans="1:50" x14ac:dyDescent="0.3">
      <c r="A375" s="57"/>
      <c r="B375" s="57" t="s">
        <v>96</v>
      </c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>
        <v>0</v>
      </c>
      <c r="AR375" s="57">
        <v>85</v>
      </c>
      <c r="AS375" s="57"/>
      <c r="AT375" s="57"/>
      <c r="AU375" s="57"/>
      <c r="AV375" s="589" t="e">
        <f>(Tableau11[[#This Row],[juin-24]]-Tableau11[[#This Row],[avr-24]])/Tableau11[[#This Row],[avr-24]]</f>
        <v>#DIV/0!</v>
      </c>
      <c r="AW375" s="57">
        <f>Tableau11[[#This Row],[oct-23]]-Tableau11[[#This Row],[nov-22]]</f>
        <v>85</v>
      </c>
      <c r="AX375" s="525" t="s">
        <v>357</v>
      </c>
    </row>
    <row r="376" spans="1:50" x14ac:dyDescent="0.3">
      <c r="A376" s="57"/>
      <c r="B376" s="57" t="s">
        <v>124</v>
      </c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>
        <v>0</v>
      </c>
      <c r="AR376" s="57">
        <v>0</v>
      </c>
      <c r="AS376" s="57"/>
      <c r="AT376" s="57"/>
      <c r="AU376" s="57"/>
      <c r="AV376" s="589" t="e">
        <f>(Tableau11[[#This Row],[juin-24]]-Tableau11[[#This Row],[avr-24]])/Tableau11[[#This Row],[avr-24]]</f>
        <v>#DIV/0!</v>
      </c>
      <c r="AW376" s="57">
        <f>Tableau11[[#This Row],[oct-23]]-Tableau11[[#This Row],[nov-22]]</f>
        <v>0</v>
      </c>
      <c r="AX376" s="118"/>
    </row>
    <row r="377" spans="1:50" x14ac:dyDescent="0.3">
      <c r="A377" s="57"/>
      <c r="B377" s="57" t="s">
        <v>178</v>
      </c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>
        <v>0</v>
      </c>
      <c r="AR377" s="57">
        <v>0</v>
      </c>
      <c r="AS377" s="57"/>
      <c r="AT377" s="57"/>
      <c r="AU377" s="57"/>
      <c r="AV377" s="589" t="e">
        <f>(Tableau11[[#This Row],[juin-24]]-Tableau11[[#This Row],[avr-24]])/Tableau11[[#This Row],[avr-24]]</f>
        <v>#DIV/0!</v>
      </c>
      <c r="AW377" s="57">
        <f>Tableau11[[#This Row],[oct-23]]-Tableau11[[#This Row],[nov-22]]</f>
        <v>0</v>
      </c>
      <c r="AX377" s="118"/>
    </row>
    <row r="378" spans="1:50" x14ac:dyDescent="0.3">
      <c r="A378" s="57"/>
      <c r="B378" s="57" t="s">
        <v>146</v>
      </c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>
        <v>0</v>
      </c>
      <c r="AR378" s="57">
        <v>4346</v>
      </c>
      <c r="AS378" s="57">
        <v>5855</v>
      </c>
      <c r="AT378" s="57">
        <v>4921</v>
      </c>
      <c r="AU378" s="57"/>
      <c r="AV378" s="589">
        <f>(Tableau11[[#This Row],[juin-24]]-Tableau11[[#This Row],[avr-24]])/Tableau11[[#This Row],[avr-24]]</f>
        <v>-0.15952177625960717</v>
      </c>
      <c r="AW378" s="57">
        <f>Tableau11[[#This Row],[oct-23]]-Tableau11[[#This Row],[nov-22]]</f>
        <v>4346</v>
      </c>
      <c r="AX378" s="525" t="s">
        <v>360</v>
      </c>
    </row>
    <row r="379" spans="1:50" x14ac:dyDescent="0.3">
      <c r="A379" s="390"/>
      <c r="B379" s="57" t="s">
        <v>305</v>
      </c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118"/>
      <c r="AI379" s="118"/>
      <c r="AJ379" s="180"/>
      <c r="AK379" s="118"/>
      <c r="AL379" s="118"/>
      <c r="AM379" s="118"/>
      <c r="AN379" s="118"/>
      <c r="AO379" s="118"/>
      <c r="AP379" s="118"/>
      <c r="AQ379" s="57">
        <v>0</v>
      </c>
      <c r="AR379" s="118">
        <v>0</v>
      </c>
      <c r="AS379" s="118"/>
      <c r="AT379" s="118"/>
      <c r="AU379" s="118"/>
      <c r="AV379" s="589" t="e">
        <f>(Tableau11[[#This Row],[juin-24]]-Tableau11[[#This Row],[avr-24]])/Tableau11[[#This Row],[avr-24]]</f>
        <v>#DIV/0!</v>
      </c>
      <c r="AW379" s="57">
        <f>Tableau11[[#This Row],[oct-23]]-Tableau11[[#This Row],[nov-22]]</f>
        <v>0</v>
      </c>
      <c r="AX379" s="118"/>
    </row>
    <row r="380" spans="1:50" x14ac:dyDescent="0.3">
      <c r="A380" s="57"/>
      <c r="B380" s="57" t="s">
        <v>182</v>
      </c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>
        <v>0</v>
      </c>
      <c r="AR380" s="57">
        <v>0</v>
      </c>
      <c r="AS380" s="57"/>
      <c r="AT380" s="57"/>
      <c r="AU380" s="57"/>
      <c r="AV380" s="589" t="e">
        <f>(Tableau11[[#This Row],[juin-24]]-Tableau11[[#This Row],[avr-24]])/Tableau11[[#This Row],[avr-24]]</f>
        <v>#DIV/0!</v>
      </c>
      <c r="AW380" s="57">
        <f>Tableau11[[#This Row],[oct-23]]-Tableau11[[#This Row],[nov-22]]</f>
        <v>0</v>
      </c>
      <c r="AX380" s="118"/>
    </row>
    <row r="381" spans="1:50" x14ac:dyDescent="0.3">
      <c r="A381" s="390"/>
      <c r="B381" s="393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118"/>
      <c r="AI381" s="118"/>
      <c r="AJ381" s="180"/>
      <c r="AK381" s="118"/>
      <c r="AL381" s="118"/>
      <c r="AM381" s="118"/>
      <c r="AN381" s="118"/>
      <c r="AO381" s="118"/>
      <c r="AP381" s="118"/>
      <c r="AQ381" s="118"/>
      <c r="AR381" s="118"/>
      <c r="AS381" s="118"/>
      <c r="AT381" s="118"/>
      <c r="AU381" s="118"/>
      <c r="AV381" s="57"/>
      <c r="AW381" s="57"/>
      <c r="AX381" s="118"/>
    </row>
    <row r="382" spans="1:50" x14ac:dyDescent="0.3">
      <c r="A382" s="391"/>
      <c r="B382" s="396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285"/>
      <c r="AI382" s="285"/>
      <c r="AJ382" s="181"/>
      <c r="AK382" s="285"/>
      <c r="AL382" s="285"/>
      <c r="AM382" s="285"/>
      <c r="AN382" s="285"/>
      <c r="AO382" s="285"/>
      <c r="AP382" s="285"/>
      <c r="AQ382" s="285"/>
      <c r="AR382" s="285"/>
      <c r="AS382" s="285"/>
      <c r="AT382" s="285"/>
      <c r="AU382" s="285"/>
      <c r="AV382" s="57"/>
      <c r="AW382" s="151"/>
      <c r="AX382" s="285"/>
    </row>
    <row r="383" spans="1:50" x14ac:dyDescent="0.3">
      <c r="A383"/>
      <c r="J383"/>
      <c r="K383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19"/>
    </row>
    <row r="384" spans="1:50" x14ac:dyDescent="0.3">
      <c r="A384" s="1" t="s">
        <v>185</v>
      </c>
      <c r="B384" s="1" t="s">
        <v>139</v>
      </c>
      <c r="C384" s="1" t="s">
        <v>86</v>
      </c>
      <c r="D384" s="1" t="s">
        <v>99</v>
      </c>
      <c r="E384" s="1" t="s">
        <v>101</v>
      </c>
      <c r="F384" s="1" t="s">
        <v>102</v>
      </c>
      <c r="G384" s="1" t="s">
        <v>105</v>
      </c>
      <c r="H384" s="1" t="s">
        <v>106</v>
      </c>
      <c r="I384" s="1" t="s">
        <v>108</v>
      </c>
      <c r="J384" s="1" t="s">
        <v>109</v>
      </c>
      <c r="K384" s="1" t="s">
        <v>110</v>
      </c>
      <c r="L384" s="1" t="s">
        <v>117</v>
      </c>
      <c r="M384" s="1" t="s">
        <v>127</v>
      </c>
      <c r="N384" s="1" t="s">
        <v>129</v>
      </c>
      <c r="O384" s="1" t="s">
        <v>131</v>
      </c>
      <c r="P384" s="1" t="s">
        <v>142</v>
      </c>
      <c r="Q384" s="1" t="s">
        <v>143</v>
      </c>
      <c r="R384" s="1" t="s">
        <v>151</v>
      </c>
      <c r="S384" s="42" t="s">
        <v>156</v>
      </c>
      <c r="T384" s="42" t="s">
        <v>157</v>
      </c>
      <c r="U384" s="42" t="s">
        <v>163</v>
      </c>
      <c r="V384" s="42" t="s">
        <v>164</v>
      </c>
      <c r="W384" s="42" t="s">
        <v>177</v>
      </c>
      <c r="X384" s="42" t="s">
        <v>179</v>
      </c>
      <c r="Y384" s="42" t="s">
        <v>183</v>
      </c>
      <c r="Z384" s="42" t="s">
        <v>184</v>
      </c>
      <c r="AA384" s="42" t="s">
        <v>186</v>
      </c>
      <c r="AB384" s="42" t="s">
        <v>188</v>
      </c>
      <c r="AC384" s="42" t="s">
        <v>200</v>
      </c>
      <c r="AD384" s="42" t="s">
        <v>201</v>
      </c>
      <c r="AE384" s="42" t="s">
        <v>203</v>
      </c>
      <c r="AF384" s="42" t="s">
        <v>207</v>
      </c>
      <c r="AG384" s="42" t="s">
        <v>208</v>
      </c>
      <c r="AH384" s="42" t="s">
        <v>209</v>
      </c>
      <c r="AI384" s="1" t="s">
        <v>103</v>
      </c>
      <c r="AJ384" s="1" t="s">
        <v>104</v>
      </c>
      <c r="AK384" s="42" t="s">
        <v>210</v>
      </c>
      <c r="AL384" s="42" t="s">
        <v>211</v>
      </c>
      <c r="AM384" s="42" t="s">
        <v>214</v>
      </c>
      <c r="AN384" s="42" t="s">
        <v>213</v>
      </c>
      <c r="AO384" s="42" t="s">
        <v>272</v>
      </c>
      <c r="AP384" s="42" t="s">
        <v>330</v>
      </c>
      <c r="AQ384" s="42" t="s">
        <v>331</v>
      </c>
      <c r="AR384" s="42" t="s">
        <v>333</v>
      </c>
      <c r="AS384" s="42" t="s">
        <v>389</v>
      </c>
      <c r="AT384" s="42" t="s">
        <v>405</v>
      </c>
      <c r="AU384" s="42"/>
      <c r="AV384" s="208" t="s">
        <v>233</v>
      </c>
      <c r="AW384" s="208" t="s">
        <v>104</v>
      </c>
      <c r="AX384" s="245"/>
    </row>
    <row r="385" spans="1:56" x14ac:dyDescent="0.3">
      <c r="A385" s="54"/>
      <c r="B385" s="533" t="s">
        <v>239</v>
      </c>
      <c r="C385" s="6"/>
      <c r="D385" s="6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6" t="e">
        <v>#N/A</v>
      </c>
      <c r="R385" s="6" t="e">
        <v>#N/A</v>
      </c>
      <c r="S385" s="6" t="e">
        <v>#N/A</v>
      </c>
      <c r="T385" s="6" t="e">
        <v>#N/A</v>
      </c>
      <c r="U385" s="6" t="e">
        <v>#N/A</v>
      </c>
      <c r="V385" s="6" t="e">
        <v>#N/A</v>
      </c>
      <c r="W385" s="6" t="e">
        <v>#N/A</v>
      </c>
      <c r="X385" s="6" t="e">
        <v>#N/A</v>
      </c>
      <c r="Y385" s="6"/>
      <c r="Z385" s="6" t="e">
        <v>#N/A</v>
      </c>
      <c r="AA385" s="6" t="e">
        <v>#N/A</v>
      </c>
      <c r="AB385" s="6" t="e">
        <v>#N/A</v>
      </c>
      <c r="AC385" s="6" t="e">
        <v>#N/A</v>
      </c>
      <c r="AD385" s="6" t="e">
        <v>#N/A</v>
      </c>
      <c r="AE385" s="6" t="e">
        <v>#N/A</v>
      </c>
      <c r="AF385" s="6" t="e">
        <v>#N/A</v>
      </c>
      <c r="AG385" s="6" t="e">
        <v>#N/A</v>
      </c>
      <c r="AH385" s="6" t="e">
        <v>#N/A</v>
      </c>
      <c r="AI385" s="6" t="e">
        <v>#N/A</v>
      </c>
      <c r="AJ385" s="6" t="e">
        <v>#N/A</v>
      </c>
      <c r="AK385" s="6" t="e">
        <v>#N/A</v>
      </c>
      <c r="AL385" s="6" t="e">
        <v>#N/A</v>
      </c>
      <c r="AM385" s="6" t="e">
        <v>#N/A</v>
      </c>
      <c r="AN385" s="6">
        <v>134176</v>
      </c>
      <c r="AO385" s="6">
        <v>134627</v>
      </c>
      <c r="AP385" s="6">
        <v>138138</v>
      </c>
      <c r="AQ385" s="6">
        <v>137171</v>
      </c>
      <c r="AR385" s="6">
        <v>185900</v>
      </c>
      <c r="AS385" s="6">
        <v>188996</v>
      </c>
      <c r="AT38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194941</v>
      </c>
      <c r="AU385" s="233"/>
      <c r="AV385" s="208">
        <f>(Tableau1517[[#This Row],[juin-24]]-Tableau1517[[#This Row],[avr-24]])/Tableau1517[[#This Row],[avr-24]]</f>
        <v>3.1455692183961569E-2</v>
      </c>
      <c r="AW385" s="219">
        <f>Tableau1517[[#This Row],[juin-24]]-Tableau1517[[#This Row],[avr-24]]</f>
        <v>5945</v>
      </c>
      <c r="AY385" s="18">
        <v>291185</v>
      </c>
      <c r="BB385" s="537" t="str">
        <f>Tableau1517[[#This Row],[Coureurs]]</f>
        <v>Adam Yates</v>
      </c>
      <c r="BC385" s="539">
        <f>AV385</f>
        <v>3.1455692183961569E-2</v>
      </c>
      <c r="BD385" s="246"/>
    </row>
    <row r="386" spans="1:56" x14ac:dyDescent="0.3">
      <c r="A386" s="54"/>
      <c r="B386" s="533" t="s">
        <v>301</v>
      </c>
      <c r="C386" s="88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>
        <v>0</v>
      </c>
      <c r="AP386" s="6">
        <v>105756</v>
      </c>
      <c r="AQ386" s="6">
        <v>105788</v>
      </c>
      <c r="AR386" s="6">
        <v>116300</v>
      </c>
      <c r="AS386" s="6">
        <v>119421</v>
      </c>
      <c r="AT38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121549</v>
      </c>
      <c r="AU386" s="233"/>
      <c r="AV386" s="208">
        <f>(Tableau1517[[#This Row],[juin-24]]-Tableau1517[[#This Row],[avr-24]])/Tableau1517[[#This Row],[avr-24]]</f>
        <v>1.781931151137572E-2</v>
      </c>
      <c r="AW386" s="219">
        <f>Tableau1517[[#This Row],[juin-24]]-Tableau1517[[#This Row],[avr-24]]</f>
        <v>2128</v>
      </c>
      <c r="AY386" s="18">
        <v>279409</v>
      </c>
      <c r="BB386" s="537" t="str">
        <f>B417</f>
        <v>Mads Pedersen</v>
      </c>
      <c r="BC386" s="539">
        <f>AV417</f>
        <v>1.9431716584711666E-2</v>
      </c>
      <c r="BD386" s="246"/>
    </row>
    <row r="387" spans="1:56" x14ac:dyDescent="0.3">
      <c r="A387" s="54"/>
      <c r="B387" s="533" t="s">
        <v>270</v>
      </c>
      <c r="C387" s="88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>
        <v>12532</v>
      </c>
      <c r="AO387" s="6">
        <v>13773</v>
      </c>
      <c r="AP387" s="6">
        <v>17976</v>
      </c>
      <c r="AQ387" s="6">
        <v>17607</v>
      </c>
      <c r="AR387" s="6">
        <v>18168</v>
      </c>
      <c r="AS387" s="6">
        <v>19852</v>
      </c>
      <c r="AT38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20059</v>
      </c>
      <c r="AU387" s="590"/>
      <c r="AV387" s="208">
        <f>(Tableau1517[[#This Row],[juin-24]]-Tableau1517[[#This Row],[avr-24]])/Tableau1517[[#This Row],[avr-24]]</f>
        <v>1.0427160991335886E-2</v>
      </c>
      <c r="AW387" s="219">
        <f>Tableau1517[[#This Row],[juin-24]]-Tableau1517[[#This Row],[avr-24]]</f>
        <v>207</v>
      </c>
      <c r="AY387" s="18">
        <v>228896</v>
      </c>
      <c r="BB387" s="537" t="str">
        <f>B391</f>
        <v>Biniam Girmay</v>
      </c>
      <c r="BC387" s="539">
        <f>AV391</f>
        <v>2.1572863369338641E-2</v>
      </c>
      <c r="BD387" s="246"/>
    </row>
    <row r="388" spans="1:56" x14ac:dyDescent="0.3">
      <c r="A388" s="54"/>
      <c r="B388" s="533" t="s">
        <v>189</v>
      </c>
      <c r="C388" s="88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>
        <v>529078</v>
      </c>
      <c r="AD388" s="6">
        <v>529489</v>
      </c>
      <c r="AE388" s="6">
        <v>529770</v>
      </c>
      <c r="AF388" s="6">
        <v>529082</v>
      </c>
      <c r="AG388" s="6">
        <v>528382</v>
      </c>
      <c r="AH388" s="6">
        <v>529295</v>
      </c>
      <c r="AI388" s="6">
        <v>1.7279165452267489E-3</v>
      </c>
      <c r="AJ388" s="6">
        <v>913</v>
      </c>
      <c r="AK388" s="6">
        <v>547629</v>
      </c>
      <c r="AL388" s="6">
        <v>575317</v>
      </c>
      <c r="AM388" s="6">
        <v>502511</v>
      </c>
      <c r="AN388" s="6">
        <v>656689</v>
      </c>
      <c r="AO388" s="6">
        <v>656485</v>
      </c>
      <c r="AP388" s="6">
        <v>657037</v>
      </c>
      <c r="AQ388" s="6">
        <v>654766</v>
      </c>
      <c r="AR388" s="6">
        <v>656029</v>
      </c>
      <c r="AS388" s="6">
        <v>652193</v>
      </c>
      <c r="AT38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651103</v>
      </c>
      <c r="AU388" s="233"/>
      <c r="AV388" s="208">
        <f>(Tableau1517[[#This Row],[juin-24]]-Tableau1517[[#This Row],[avr-24]])/Tableau1517[[#This Row],[avr-24]]</f>
        <v>-1.671284420409296E-3</v>
      </c>
      <c r="AW388" s="219">
        <f>Tableau1517[[#This Row],[juin-24]]-Tableau1517[[#This Row],[avr-24]]</f>
        <v>-1090</v>
      </c>
      <c r="AY388" s="18">
        <v>226737</v>
      </c>
      <c r="BB388" s="537" t="str">
        <f>B397</f>
        <v>Daniel Felipe Martinez</v>
      </c>
      <c r="BC388" s="539">
        <f>AV397</f>
        <v>3.3301461937378041E-2</v>
      </c>
      <c r="BD388" s="246"/>
    </row>
    <row r="389" spans="1:56" x14ac:dyDescent="0.3">
      <c r="A389" s="54"/>
      <c r="B389" s="535" t="s">
        <v>398</v>
      </c>
      <c r="C389" s="88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6" t="e">
        <v>#N/A</v>
      </c>
      <c r="R389" s="6" t="e">
        <v>#N/A</v>
      </c>
      <c r="S389" s="6" t="e">
        <v>#N/A</v>
      </c>
      <c r="T389" s="6" t="e">
        <v>#N/A</v>
      </c>
      <c r="U389" s="6" t="e">
        <v>#N/A</v>
      </c>
      <c r="V389" s="6" t="e">
        <v>#N/A</v>
      </c>
      <c r="W389" s="6" t="e">
        <v>#N/A</v>
      </c>
      <c r="X389" s="6" t="e">
        <v>#N/A</v>
      </c>
      <c r="Y389" s="6"/>
      <c r="Z389" s="6" t="e">
        <v>#N/A</v>
      </c>
      <c r="AA389" s="6" t="e">
        <v>#N/A</v>
      </c>
      <c r="AB389" s="6" t="e">
        <v>#N/A</v>
      </c>
      <c r="AC389" s="6" t="e">
        <v>#N/A</v>
      </c>
      <c r="AD389" s="6" t="e">
        <v>#N/A</v>
      </c>
      <c r="AE389" s="6" t="e">
        <v>#N/A</v>
      </c>
      <c r="AF389" s="6" t="e">
        <v>#N/A</v>
      </c>
      <c r="AG389" s="6" t="e">
        <v>#N/A</v>
      </c>
      <c r="AH389" s="6" t="e">
        <v>#N/A</v>
      </c>
      <c r="AI389" s="6" t="e">
        <v>#N/A</v>
      </c>
      <c r="AJ389" s="6" t="e">
        <v>#N/A</v>
      </c>
      <c r="AK389" s="6" t="e">
        <v>#N/A</v>
      </c>
      <c r="AL389" s="6" t="e">
        <v>#N/A</v>
      </c>
      <c r="AM389" s="6" t="e">
        <v>#N/A</v>
      </c>
      <c r="AN389" s="6" t="e">
        <v>#N/A</v>
      </c>
      <c r="AO389" s="6" t="e">
        <v>#N/A</v>
      </c>
      <c r="AP389" s="6" t="e">
        <v>#REF!</v>
      </c>
      <c r="AQ389" s="6" t="e">
        <v>#N/A</v>
      </c>
      <c r="AR389" s="6" t="e">
        <v>#N/A</v>
      </c>
      <c r="AS389" s="6">
        <v>41010</v>
      </c>
      <c r="AT38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53084</v>
      </c>
      <c r="AU389" s="233"/>
      <c r="AV389" s="208">
        <f>(Tableau1517[[#This Row],[juin-24]]-Tableau1517[[#This Row],[avr-24]])/Tableau1517[[#This Row],[avr-24]]</f>
        <v>0.29441599609851254</v>
      </c>
      <c r="AW389" s="219">
        <f>Tableau1517[[#This Row],[juin-24]]-Tableau1517[[#This Row],[avr-24]]</f>
        <v>12074</v>
      </c>
      <c r="AY389" s="18">
        <v>208644</v>
      </c>
      <c r="BB389" s="537" t="str">
        <f>B432</f>
        <v>Romain Bardet</v>
      </c>
      <c r="BC389" s="539">
        <f>AV432</f>
        <v>3.7987371438532608E-3</v>
      </c>
      <c r="BD389" s="246"/>
    </row>
    <row r="390" spans="1:56" x14ac:dyDescent="0.3">
      <c r="A390" s="54"/>
      <c r="B390" s="534" t="s">
        <v>255</v>
      </c>
      <c r="C390" s="88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>
        <v>25396</v>
      </c>
      <c r="AO390" s="6">
        <v>26556</v>
      </c>
      <c r="AP390" s="6">
        <v>29383</v>
      </c>
      <c r="AQ390" s="6">
        <v>30152</v>
      </c>
      <c r="AR390" s="6">
        <v>42752</v>
      </c>
      <c r="AS390" s="6">
        <v>46696</v>
      </c>
      <c r="AT39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52536</v>
      </c>
      <c r="AU390" s="233"/>
      <c r="AV390" s="208">
        <f>(Tableau1517[[#This Row],[juin-24]]-Tableau1517[[#This Row],[avr-24]])/Tableau1517[[#This Row],[avr-24]]</f>
        <v>0.12506424533150592</v>
      </c>
      <c r="AW390" s="219">
        <f>Tableau1517[[#This Row],[juin-24]]-Tableau1517[[#This Row],[avr-24]]</f>
        <v>5840</v>
      </c>
      <c r="AY390" s="18">
        <v>192191</v>
      </c>
      <c r="BB390" s="537" t="str">
        <f>B433</f>
        <v>Santiago Buitrago</v>
      </c>
      <c r="BC390" s="539">
        <f>AV433</f>
        <v>2.6305098517164331E-2</v>
      </c>
      <c r="BD390" s="246"/>
    </row>
    <row r="391" spans="1:56" x14ac:dyDescent="0.3">
      <c r="A391" s="54"/>
      <c r="B391" s="533" t="s">
        <v>269</v>
      </c>
      <c r="C391" s="88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>
        <v>37425</v>
      </c>
      <c r="AO391" s="6" t="e">
        <v>#N/A</v>
      </c>
      <c r="AP391" s="6" t="e">
        <v>#N/A</v>
      </c>
      <c r="AQ391" s="6" t="e">
        <v>#N/A</v>
      </c>
      <c r="AR391" s="6" t="e">
        <v>#N/A</v>
      </c>
      <c r="AS391" s="6">
        <v>131925</v>
      </c>
      <c r="AT39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134771</v>
      </c>
      <c r="AU391" s="233"/>
      <c r="AV391" s="208">
        <f>(Tableau1517[[#This Row],[juin-24]]-Tableau1517[[#This Row],[avr-24]])/Tableau1517[[#This Row],[avr-24]]</f>
        <v>2.1572863369338641E-2</v>
      </c>
      <c r="AW391" s="219">
        <f>Tableau1517[[#This Row],[juin-24]]-Tableau1517[[#This Row],[avr-24]]</f>
        <v>2846</v>
      </c>
      <c r="AY391" s="18">
        <v>188022</v>
      </c>
      <c r="BB391" s="538" t="str">
        <f>B431</f>
        <v>Rigoberto Uran</v>
      </c>
      <c r="BC391" s="539">
        <f>AV431</f>
        <v>1.3471383688838399E-2</v>
      </c>
      <c r="BD391" s="246"/>
    </row>
    <row r="392" spans="1:56" x14ac:dyDescent="0.3">
      <c r="A392" s="54"/>
      <c r="B392" s="534" t="s">
        <v>263</v>
      </c>
      <c r="C392" s="88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>
        <v>15343</v>
      </c>
      <c r="AO392" s="6" t="e">
        <v>#N/A</v>
      </c>
      <c r="AP392" s="6" t="e">
        <v>#N/A</v>
      </c>
      <c r="AQ392" s="6" t="e">
        <v>#N/A</v>
      </c>
      <c r="AR392" s="6" t="e">
        <v>#N/A</v>
      </c>
      <c r="AS392" s="6">
        <v>30634</v>
      </c>
      <c r="AT39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111856</v>
      </c>
      <c r="AU392" s="233"/>
      <c r="AV392" s="208">
        <f>(Tableau1517[[#This Row],[juin-24]]-Tableau1517[[#This Row],[avr-24]])/Tableau1517[[#This Row],[avr-24]]</f>
        <v>2.6513677613109619</v>
      </c>
      <c r="AW392" s="219">
        <f>Tableau1517[[#This Row],[juin-24]]-Tableau1517[[#This Row],[avr-24]]</f>
        <v>81222</v>
      </c>
      <c r="AY392" s="18">
        <v>180776</v>
      </c>
      <c r="BB392" s="537" t="str">
        <f>B422</f>
        <v>Mattias Skjelmose</v>
      </c>
      <c r="BC392" s="539">
        <f>AV422</f>
        <v>2.6038466991162988E-2</v>
      </c>
      <c r="BD392" s="246"/>
    </row>
    <row r="393" spans="1:56" x14ac:dyDescent="0.3">
      <c r="A393" s="54"/>
      <c r="B393" s="533" t="s">
        <v>197</v>
      </c>
      <c r="C393" s="88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 t="e">
        <v>#N/A</v>
      </c>
      <c r="AD393" s="6" t="e">
        <v>#N/A</v>
      </c>
      <c r="AE393" s="6" t="e">
        <v>#N/A</v>
      </c>
      <c r="AF393" s="6" t="e">
        <v>#N/A</v>
      </c>
      <c r="AG393" s="6" t="e">
        <v>#N/A</v>
      </c>
      <c r="AH393" s="6" t="e">
        <v>#N/A</v>
      </c>
      <c r="AI393" s="6" t="e">
        <v>#N/A</v>
      </c>
      <c r="AJ393" s="6" t="e">
        <v>#N/A</v>
      </c>
      <c r="AK393" s="6">
        <v>165461</v>
      </c>
      <c r="AL393" s="6" t="e">
        <v>#N/A</v>
      </c>
      <c r="AM393" s="6" t="e">
        <v>#N/A</v>
      </c>
      <c r="AN393" s="6" t="e">
        <v>#N/A</v>
      </c>
      <c r="AO393" s="6" t="e">
        <v>#N/A</v>
      </c>
      <c r="AP393" s="6" t="e">
        <v>#N/A</v>
      </c>
      <c r="AQ393" s="6" t="e">
        <v>#N/A</v>
      </c>
      <c r="AR393" s="6" t="e">
        <v>#N/A</v>
      </c>
      <c r="AS393" s="6">
        <v>217621</v>
      </c>
      <c r="AT39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297405</v>
      </c>
      <c r="AU393" s="233"/>
      <c r="AV393" s="208">
        <f>(Tableau1517[[#This Row],[juin-24]]-Tableau1517[[#This Row],[avr-24]])/Tableau1517[[#This Row],[avr-24]]</f>
        <v>0.36661903033255061</v>
      </c>
      <c r="AW393" s="219">
        <f>Tableau1517[[#This Row],[juin-24]]-Tableau1517[[#This Row],[avr-24]]</f>
        <v>79784</v>
      </c>
      <c r="AY393" s="18">
        <v>164482</v>
      </c>
      <c r="BD393" s="246"/>
    </row>
    <row r="394" spans="1:56" x14ac:dyDescent="0.3">
      <c r="A394" s="54"/>
      <c r="B394" s="535" t="s">
        <v>401</v>
      </c>
      <c r="C394" s="88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6" t="e">
        <v>#N/A</v>
      </c>
      <c r="R394" s="6" t="e">
        <v>#N/A</v>
      </c>
      <c r="S394" s="6" t="e">
        <v>#N/A</v>
      </c>
      <c r="T394" s="6" t="e">
        <v>#N/A</v>
      </c>
      <c r="U394" s="6" t="e">
        <v>#N/A</v>
      </c>
      <c r="V394" s="6" t="e">
        <v>#N/A</v>
      </c>
      <c r="W394" s="6" t="e">
        <v>#N/A</v>
      </c>
      <c r="X394" s="6" t="e">
        <v>#N/A</v>
      </c>
      <c r="Y394" s="6"/>
      <c r="Z394" s="6" t="e">
        <v>#N/A</v>
      </c>
      <c r="AA394" s="6" t="e">
        <v>#N/A</v>
      </c>
      <c r="AB394" s="6" t="e">
        <v>#N/A</v>
      </c>
      <c r="AC394" s="6" t="e">
        <v>#N/A</v>
      </c>
      <c r="AD394" s="6" t="e">
        <v>#N/A</v>
      </c>
      <c r="AE394" s="6" t="e">
        <v>#N/A</v>
      </c>
      <c r="AF394" s="6" t="e">
        <v>#N/A</v>
      </c>
      <c r="AG394" s="6" t="e">
        <v>#N/A</v>
      </c>
      <c r="AH394" s="6" t="e">
        <v>#N/A</v>
      </c>
      <c r="AI394" s="6" t="e">
        <v>#N/A</v>
      </c>
      <c r="AJ394" s="6" t="e">
        <v>#N/A</v>
      </c>
      <c r="AK394" s="6" t="e">
        <v>#N/A</v>
      </c>
      <c r="AL394" s="6" t="e">
        <v>#N/A</v>
      </c>
      <c r="AM394" s="6" t="e">
        <v>#N/A</v>
      </c>
      <c r="AN394" s="6" t="e">
        <v>#N/A</v>
      </c>
      <c r="AO394" s="6" t="e">
        <v>#N/A</v>
      </c>
      <c r="AP394" s="6" t="e">
        <v>#REF!</v>
      </c>
      <c r="AQ394" s="6" t="e">
        <v>#N/A</v>
      </c>
      <c r="AR394" s="6" t="e">
        <v>#N/A</v>
      </c>
      <c r="AS394" s="6">
        <v>97086</v>
      </c>
      <c r="AT394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100157</v>
      </c>
      <c r="AU394" s="233"/>
      <c r="AV394" s="208">
        <f>(Tableau1517[[#This Row],[juin-24]]-Tableau1517[[#This Row],[avr-24]])/Tableau1517[[#This Row],[avr-24]]</f>
        <v>3.1631749170838226E-2</v>
      </c>
      <c r="AW394" s="219">
        <f>Tableau1517[[#This Row],[juin-24]]-Tableau1517[[#This Row],[avr-24]]</f>
        <v>3071</v>
      </c>
      <c r="AY394" s="18">
        <v>161661</v>
      </c>
      <c r="BB394" s="537" t="str">
        <f>B385</f>
        <v>Adam Yates</v>
      </c>
      <c r="BC394" s="540">
        <f>AS385</f>
        <v>188996</v>
      </c>
      <c r="BD394" s="246"/>
    </row>
    <row r="395" spans="1:56" x14ac:dyDescent="0.3">
      <c r="A395" s="54"/>
      <c r="B395" s="533" t="s">
        <v>87</v>
      </c>
      <c r="C395" s="88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6">
        <v>2340143</v>
      </c>
      <c r="R395" s="6">
        <v>2354004</v>
      </c>
      <c r="S395" s="6">
        <v>2360249</v>
      </c>
      <c r="T395" s="6">
        <v>2359087</v>
      </c>
      <c r="U395" s="6">
        <v>2391387</v>
      </c>
      <c r="V395" s="6">
        <v>2400736</v>
      </c>
      <c r="W395" s="6">
        <v>2410944</v>
      </c>
      <c r="X395" s="6">
        <v>2424360</v>
      </c>
      <c r="Y395" s="6">
        <v>2428265</v>
      </c>
      <c r="Z395" s="6">
        <v>2431309</v>
      </c>
      <c r="AA395" s="6">
        <v>2447630</v>
      </c>
      <c r="AB395" s="6">
        <v>2471620</v>
      </c>
      <c r="AC395" s="6">
        <v>2520158</v>
      </c>
      <c r="AD395" s="6">
        <v>2534812</v>
      </c>
      <c r="AE395" s="6">
        <v>2541471</v>
      </c>
      <c r="AF395" s="6">
        <v>2548388</v>
      </c>
      <c r="AG395" s="6">
        <v>2555854</v>
      </c>
      <c r="AH395" s="6">
        <v>2569922</v>
      </c>
      <c r="AI395" s="6">
        <v>5.5042267672566585E-3</v>
      </c>
      <c r="AJ395" s="6">
        <v>14068</v>
      </c>
      <c r="AK395" s="6">
        <v>2653121</v>
      </c>
      <c r="AL395" s="6">
        <v>2672639</v>
      </c>
      <c r="AM395" s="6" t="e">
        <v>#N/A</v>
      </c>
      <c r="AN395" s="6">
        <v>3255357</v>
      </c>
      <c r="AO395" s="6">
        <v>3189736</v>
      </c>
      <c r="AP395" s="6">
        <v>3202830</v>
      </c>
      <c r="AQ395" s="6">
        <v>3177385</v>
      </c>
      <c r="AR395" s="6">
        <v>3120000</v>
      </c>
      <c r="AS395" s="6">
        <v>3181001</v>
      </c>
      <c r="AT39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3192629</v>
      </c>
      <c r="AU395" s="233"/>
      <c r="AV395" s="208">
        <f>(Tableau1517[[#This Row],[juin-24]]-Tableau1517[[#This Row],[avr-24]])/Tableau1517[[#This Row],[avr-24]]</f>
        <v>3.6554531105145835E-3</v>
      </c>
      <c r="AW395" s="219">
        <f>Tableau1517[[#This Row],[juin-24]]-Tableau1517[[#This Row],[avr-24]]</f>
        <v>11628</v>
      </c>
      <c r="AY395" s="18">
        <v>146542</v>
      </c>
      <c r="BB395" s="537" t="str">
        <f>B386</f>
        <v>Alberto Bettiol</v>
      </c>
      <c r="BC395" s="540">
        <f>AS386</f>
        <v>119421</v>
      </c>
      <c r="BD395" s="246"/>
    </row>
    <row r="396" spans="1:56" x14ac:dyDescent="0.3">
      <c r="A396" s="54"/>
      <c r="B396" s="535" t="s">
        <v>404</v>
      </c>
      <c r="C396" s="88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6" t="e">
        <v>#N/A</v>
      </c>
      <c r="R396" s="6" t="e">
        <v>#N/A</v>
      </c>
      <c r="S396" s="6" t="e">
        <v>#N/A</v>
      </c>
      <c r="T396" s="6" t="e">
        <v>#N/A</v>
      </c>
      <c r="U396" s="6" t="e">
        <v>#N/A</v>
      </c>
      <c r="V396" s="6" t="e">
        <v>#N/A</v>
      </c>
      <c r="W396" s="6" t="e">
        <v>#N/A</v>
      </c>
      <c r="X396" s="6" t="e">
        <v>#N/A</v>
      </c>
      <c r="Y396" s="6"/>
      <c r="Z396" s="6" t="e">
        <v>#N/A</v>
      </c>
      <c r="AA396" s="6" t="e">
        <v>#N/A</v>
      </c>
      <c r="AB396" s="6" t="e">
        <v>#N/A</v>
      </c>
      <c r="AC396" s="6" t="e">
        <v>#N/A</v>
      </c>
      <c r="AD396" s="6" t="e">
        <v>#N/A</v>
      </c>
      <c r="AE396" s="6" t="e">
        <v>#N/A</v>
      </c>
      <c r="AF396" s="6" t="e">
        <v>#N/A</v>
      </c>
      <c r="AG396" s="6" t="e">
        <v>#N/A</v>
      </c>
      <c r="AH396" s="6" t="e">
        <v>#N/A</v>
      </c>
      <c r="AI396" s="6" t="e">
        <v>#N/A</v>
      </c>
      <c r="AJ396" s="6" t="e">
        <v>#N/A</v>
      </c>
      <c r="AK396" s="6" t="e">
        <v>#N/A</v>
      </c>
      <c r="AL396" s="6" t="e">
        <v>#N/A</v>
      </c>
      <c r="AM396" s="6" t="e">
        <v>#N/A</v>
      </c>
      <c r="AN396" s="6" t="e">
        <v>#N/A</v>
      </c>
      <c r="AO396" s="6" t="e">
        <v>#N/A</v>
      </c>
      <c r="AP396" s="6" t="e">
        <v>#REF!</v>
      </c>
      <c r="AQ396" s="6" t="e">
        <v>#N/A</v>
      </c>
      <c r="AR396" s="6" t="e">
        <v>#N/A</v>
      </c>
      <c r="AS396" s="6">
        <v>42148</v>
      </c>
      <c r="AT39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47459</v>
      </c>
      <c r="AU396" s="233"/>
      <c r="AV396" s="208">
        <f>(Tableau1517[[#This Row],[juin-24]]-Tableau1517[[#This Row],[avr-24]])/Tableau1517[[#This Row],[avr-24]]</f>
        <v>0.12600835152320394</v>
      </c>
      <c r="AW396" s="219">
        <f>Tableau1517[[#This Row],[juin-24]]-Tableau1517[[#This Row],[avr-24]]</f>
        <v>5311</v>
      </c>
      <c r="AX396" s="283"/>
      <c r="AY396" s="18">
        <v>142611</v>
      </c>
      <c r="BB396" s="537" t="str">
        <f>B387</f>
        <v>Alexandr Vlasov</v>
      </c>
      <c r="BC396" s="540">
        <f>AS387</f>
        <v>19852</v>
      </c>
      <c r="BD396" s="246"/>
    </row>
    <row r="397" spans="1:56" x14ac:dyDescent="0.3">
      <c r="A397" s="54"/>
      <c r="B397" s="533" t="s">
        <v>253</v>
      </c>
      <c r="C397" s="88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>
        <v>236737</v>
      </c>
      <c r="AO397" s="6">
        <v>245580</v>
      </c>
      <c r="AP397" s="6">
        <v>257671</v>
      </c>
      <c r="AQ397" s="6">
        <v>260793</v>
      </c>
      <c r="AR397" s="6">
        <v>273800</v>
      </c>
      <c r="AS397" s="6">
        <v>281339</v>
      </c>
      <c r="AT39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290708</v>
      </c>
      <c r="AU397" s="233"/>
      <c r="AV397" s="208">
        <f>(Tableau1517[[#This Row],[juin-24]]-Tableau1517[[#This Row],[avr-24]])/Tableau1517[[#This Row],[avr-24]]</f>
        <v>3.3301461937378041E-2</v>
      </c>
      <c r="AW397" s="219">
        <f>Tableau1517[[#This Row],[juin-24]]-Tableau1517[[#This Row],[avr-24]]</f>
        <v>9369</v>
      </c>
      <c r="AX397" s="245"/>
      <c r="AY397" s="18">
        <v>125867</v>
      </c>
      <c r="BB397" s="537" t="str">
        <f>B388</f>
        <v xml:space="preserve">Andrey Amador </v>
      </c>
      <c r="BC397" s="540">
        <f>AS388</f>
        <v>652193</v>
      </c>
      <c r="BD397" s="246"/>
    </row>
    <row r="398" spans="1:56" x14ac:dyDescent="0.3">
      <c r="A398" s="54"/>
      <c r="B398" s="533" t="s">
        <v>250</v>
      </c>
      <c r="C398" s="88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>
        <v>97964</v>
      </c>
      <c r="AO398" s="6">
        <v>98591</v>
      </c>
      <c r="AP398" s="6">
        <v>126888</v>
      </c>
      <c r="AQ398" s="6">
        <v>126513</v>
      </c>
      <c r="AR398" s="6">
        <v>148300</v>
      </c>
      <c r="AS398" s="6">
        <v>153180</v>
      </c>
      <c r="AT39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153096</v>
      </c>
      <c r="AU398" s="233"/>
      <c r="AV398" s="208">
        <f>(Tableau1517[[#This Row],[juin-24]]-Tableau1517[[#This Row],[avr-24]])/Tableau1517[[#This Row],[avr-24]]</f>
        <v>-5.4837446141793968E-4</v>
      </c>
      <c r="AW398" s="219">
        <f>Tableau1517[[#This Row],[juin-24]]-Tableau1517[[#This Row],[avr-24]]</f>
        <v>-84</v>
      </c>
      <c r="AX398" s="245"/>
      <c r="AY398" s="18">
        <v>88628</v>
      </c>
      <c r="BB398" s="537" t="str">
        <f>B397</f>
        <v>Daniel Felipe Martinez</v>
      </c>
      <c r="BC398" s="540">
        <f>AS397</f>
        <v>281339</v>
      </c>
      <c r="BD398" s="246"/>
    </row>
    <row r="399" spans="1:56" x14ac:dyDescent="0.3">
      <c r="A399" s="54"/>
      <c r="B399" s="533" t="s">
        <v>161</v>
      </c>
      <c r="C399" s="88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6">
        <v>0</v>
      </c>
      <c r="R399" s="6">
        <v>0</v>
      </c>
      <c r="S399" s="6">
        <v>0</v>
      </c>
      <c r="T399" s="6">
        <v>214329</v>
      </c>
      <c r="U399" s="6">
        <v>226242</v>
      </c>
      <c r="V399" s="6">
        <v>228921</v>
      </c>
      <c r="W399" s="6">
        <v>233808</v>
      </c>
      <c r="X399" s="6">
        <v>247685</v>
      </c>
      <c r="Y399" s="6">
        <v>261605</v>
      </c>
      <c r="Z399" s="6">
        <v>267405</v>
      </c>
      <c r="AA399" s="6">
        <v>279137</v>
      </c>
      <c r="AB399" s="6">
        <v>285539</v>
      </c>
      <c r="AC399" s="6">
        <v>310933</v>
      </c>
      <c r="AD399" s="6">
        <v>310172</v>
      </c>
      <c r="AE399" s="6">
        <v>310457</v>
      </c>
      <c r="AF399" s="6">
        <v>321087</v>
      </c>
      <c r="AG399" s="6">
        <v>323732</v>
      </c>
      <c r="AH399" s="6">
        <v>305148</v>
      </c>
      <c r="AI399" s="6">
        <v>-5.7405508259918699E-2</v>
      </c>
      <c r="AJ399" s="6">
        <v>-18584</v>
      </c>
      <c r="AK399" s="6">
        <v>331440</v>
      </c>
      <c r="AL399" s="6">
        <v>350826</v>
      </c>
      <c r="AM399" s="6">
        <v>448158</v>
      </c>
      <c r="AN399" s="6">
        <v>507557</v>
      </c>
      <c r="AO399" s="6">
        <v>512364</v>
      </c>
      <c r="AP399" s="6">
        <v>551464</v>
      </c>
      <c r="AQ399" s="6">
        <v>560149</v>
      </c>
      <c r="AR399" s="6">
        <v>589433</v>
      </c>
      <c r="AS399" s="6">
        <v>612035</v>
      </c>
      <c r="AT39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623856</v>
      </c>
      <c r="AU399" s="233"/>
      <c r="AV399" s="208">
        <f>(Tableau1517[[#This Row],[juin-24]]-Tableau1517[[#This Row],[avr-24]])/Tableau1517[[#This Row],[avr-24]]</f>
        <v>1.9314254903722825E-2</v>
      </c>
      <c r="AW399" s="219">
        <f>Tableau1517[[#This Row],[juin-24]]-Tableau1517[[#This Row],[avr-24]]</f>
        <v>11821</v>
      </c>
      <c r="AY399" s="18">
        <v>83824</v>
      </c>
      <c r="BB399" s="537" t="str">
        <f>B394</f>
        <v>Carlos Rodríguez</v>
      </c>
      <c r="BC399" s="540">
        <f>AS394</f>
        <v>97086</v>
      </c>
      <c r="BD399" s="246"/>
    </row>
    <row r="400" spans="1:56" x14ac:dyDescent="0.3">
      <c r="A400" s="54"/>
      <c r="B400" s="533" t="s">
        <v>274</v>
      </c>
      <c r="C400" s="88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>
        <v>53530</v>
      </c>
      <c r="AO400" s="6">
        <v>69403</v>
      </c>
      <c r="AP400" s="6">
        <v>76549</v>
      </c>
      <c r="AQ400" s="6">
        <v>76772</v>
      </c>
      <c r="AR400" s="6">
        <v>101100</v>
      </c>
      <c r="AS400" s="6">
        <v>102371</v>
      </c>
      <c r="AT40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102644</v>
      </c>
      <c r="AU400" s="233"/>
      <c r="AV400" s="208">
        <f>(Tableau1517[[#This Row],[juin-24]]-Tableau1517[[#This Row],[avr-24]])/Tableau1517[[#This Row],[avr-24]]</f>
        <v>2.6667708628420159E-3</v>
      </c>
      <c r="AW400" s="219">
        <f>Tableau1517[[#This Row],[juin-24]]-Tableau1517[[#This Row],[avr-24]]</f>
        <v>273</v>
      </c>
      <c r="AY400" s="18">
        <v>73095</v>
      </c>
      <c r="BB400" s="208"/>
      <c r="BD400" s="246"/>
    </row>
    <row r="401" spans="1:56" x14ac:dyDescent="0.3">
      <c r="A401" s="54"/>
      <c r="B401" s="533" t="s">
        <v>150</v>
      </c>
      <c r="C401" s="88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6" t="e">
        <v>#N/A</v>
      </c>
      <c r="R401" s="6" t="e">
        <v>#N/A</v>
      </c>
      <c r="S401" s="6" t="e">
        <v>#N/A</v>
      </c>
      <c r="T401" s="6" t="e">
        <v>#N/A</v>
      </c>
      <c r="U401" s="6" t="e">
        <v>#N/A</v>
      </c>
      <c r="V401" s="6" t="e">
        <v>#N/A</v>
      </c>
      <c r="W401" s="6" t="e">
        <v>#N/A</v>
      </c>
      <c r="X401" s="6" t="e">
        <v>#N/A</v>
      </c>
      <c r="Y401" s="6" t="e">
        <v>#N/A</v>
      </c>
      <c r="Z401" s="6" t="e">
        <v>#N/A</v>
      </c>
      <c r="AA401" s="6" t="e">
        <v>#N/A</v>
      </c>
      <c r="AB401" s="6" t="e">
        <v>#N/A</v>
      </c>
      <c r="AC401" s="6" t="e">
        <v>#N/A</v>
      </c>
      <c r="AD401" s="6" t="e">
        <v>#N/A</v>
      </c>
      <c r="AE401" s="6" t="e">
        <v>#N/A</v>
      </c>
      <c r="AF401" s="6" t="e">
        <v>#N/A</v>
      </c>
      <c r="AG401" s="6" t="e">
        <v>#N/A</v>
      </c>
      <c r="AH401" s="6">
        <v>1004592</v>
      </c>
      <c r="AI401" s="6" t="e">
        <v>#N/A</v>
      </c>
      <c r="AJ401" s="6" t="e">
        <v>#N/A</v>
      </c>
      <c r="AK401" s="6">
        <v>1189655</v>
      </c>
      <c r="AL401" s="6" t="e">
        <v>#N/A</v>
      </c>
      <c r="AM401" s="6">
        <v>1638377</v>
      </c>
      <c r="AN401" s="6">
        <v>1811108</v>
      </c>
      <c r="AO401" s="6">
        <v>1858334</v>
      </c>
      <c r="AP401" s="6">
        <v>1858207</v>
      </c>
      <c r="AQ401" s="6">
        <v>1844039</v>
      </c>
      <c r="AR401" s="6">
        <v>1763300</v>
      </c>
      <c r="AS401" s="6">
        <v>1790970</v>
      </c>
      <c r="AT40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1836881</v>
      </c>
      <c r="AU401" s="233"/>
      <c r="AV401" s="208">
        <f>(Tableau1517[[#This Row],[juin-24]]-Tableau1517[[#This Row],[avr-24]])/Tableau1517[[#This Row],[avr-24]]</f>
        <v>2.5634711915889154E-2</v>
      </c>
      <c r="AW401" s="219">
        <f>Tableau1517[[#This Row],[juin-24]]-Tableau1517[[#This Row],[avr-24]]</f>
        <v>45911</v>
      </c>
      <c r="AY401" s="18">
        <v>65209</v>
      </c>
      <c r="BB401" s="208"/>
      <c r="BD401" s="246"/>
    </row>
    <row r="402" spans="1:56" x14ac:dyDescent="0.3">
      <c r="A402" s="54"/>
      <c r="B402" s="533" t="s">
        <v>136</v>
      </c>
      <c r="C402" s="88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6">
        <v>165763</v>
      </c>
      <c r="R402" s="6">
        <v>172257</v>
      </c>
      <c r="S402" s="6">
        <v>179994</v>
      </c>
      <c r="T402" s="6">
        <v>193273</v>
      </c>
      <c r="U402" s="6">
        <v>195264</v>
      </c>
      <c r="V402" s="6">
        <v>198843</v>
      </c>
      <c r="W402" s="6">
        <v>206699</v>
      </c>
      <c r="X402" s="6">
        <v>209325</v>
      </c>
      <c r="Y402" s="6">
        <v>215035</v>
      </c>
      <c r="Z402" s="6">
        <v>217144</v>
      </c>
      <c r="AA402" s="6">
        <v>230747</v>
      </c>
      <c r="AB402" s="6">
        <v>236365</v>
      </c>
      <c r="AC402" s="6">
        <v>257916</v>
      </c>
      <c r="AD402" s="6">
        <v>270664</v>
      </c>
      <c r="AE402" s="6">
        <v>273405</v>
      </c>
      <c r="AF402" s="6">
        <v>276715</v>
      </c>
      <c r="AG402" s="6">
        <v>278674</v>
      </c>
      <c r="AH402" s="6">
        <v>287852</v>
      </c>
      <c r="AI402" s="6">
        <v>3.2934540000143536E-2</v>
      </c>
      <c r="AJ402" s="6">
        <v>9178</v>
      </c>
      <c r="AK402" s="6">
        <v>303899</v>
      </c>
      <c r="AL402" s="6">
        <v>305240</v>
      </c>
      <c r="AM402" s="6">
        <v>390455</v>
      </c>
      <c r="AN402" s="6">
        <v>396507</v>
      </c>
      <c r="AO402" s="6">
        <v>397486</v>
      </c>
      <c r="AP402" s="6">
        <v>397975</v>
      </c>
      <c r="AQ402" s="6">
        <v>397200</v>
      </c>
      <c r="AR402" s="6">
        <v>391800</v>
      </c>
      <c r="AS402" s="6">
        <v>387987</v>
      </c>
      <c r="AT40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388102</v>
      </c>
      <c r="AU402" s="233"/>
      <c r="AV402" s="208">
        <f>(Tableau1517[[#This Row],[juin-24]]-Tableau1517[[#This Row],[avr-24]])/Tableau1517[[#This Row],[avr-24]]</f>
        <v>2.9640168356156262E-4</v>
      </c>
      <c r="AW402" s="219">
        <f>Tableau1517[[#This Row],[juin-24]]-Tableau1517[[#This Row],[avr-24]]</f>
        <v>115</v>
      </c>
      <c r="AY402" s="18">
        <v>54910</v>
      </c>
      <c r="BB402" s="208"/>
      <c r="BD402" s="246"/>
    </row>
    <row r="403" spans="1:56" x14ac:dyDescent="0.3">
      <c r="A403" s="54"/>
      <c r="B403" s="533" t="s">
        <v>198</v>
      </c>
      <c r="C403" s="88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>
        <v>102238</v>
      </c>
      <c r="AC403" s="6">
        <v>120755</v>
      </c>
      <c r="AD403" s="6">
        <v>130304</v>
      </c>
      <c r="AE403" s="6">
        <v>131891</v>
      </c>
      <c r="AF403" s="6">
        <v>133129</v>
      </c>
      <c r="AG403" s="6">
        <v>134100</v>
      </c>
      <c r="AH403" s="6">
        <v>136737</v>
      </c>
      <c r="AI403" s="6">
        <v>1.9664429530201342E-2</v>
      </c>
      <c r="AJ403" s="6">
        <v>2637</v>
      </c>
      <c r="AK403" s="6">
        <v>158732</v>
      </c>
      <c r="AL403" s="6">
        <v>177987</v>
      </c>
      <c r="AM403" s="6">
        <v>225641</v>
      </c>
      <c r="AN403" s="6">
        <v>229775</v>
      </c>
      <c r="AO403" s="6">
        <v>232384</v>
      </c>
      <c r="AP403" s="6">
        <v>247592</v>
      </c>
      <c r="AQ403" s="6">
        <v>250236</v>
      </c>
      <c r="AR403" s="6">
        <v>263100</v>
      </c>
      <c r="AS403" s="6">
        <v>260691</v>
      </c>
      <c r="AT40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259781</v>
      </c>
      <c r="AU403" s="233"/>
      <c r="AV403" s="208">
        <f>(Tableau1517[[#This Row],[juin-24]]-Tableau1517[[#This Row],[avr-24]])/Tableau1517[[#This Row],[avr-24]]</f>
        <v>-3.4907227330441019E-3</v>
      </c>
      <c r="AW403" s="219">
        <f>Tableau1517[[#This Row],[juin-24]]-Tableau1517[[#This Row],[avr-24]]</f>
        <v>-910</v>
      </c>
      <c r="AY403" s="18">
        <v>52526</v>
      </c>
      <c r="BB403" s="208"/>
      <c r="BD403" s="246"/>
    </row>
    <row r="404" spans="1:56" x14ac:dyDescent="0.3">
      <c r="A404" s="54"/>
      <c r="B404" s="533" t="s">
        <v>121</v>
      </c>
      <c r="C404" s="88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6" t="e">
        <v>#N/A</v>
      </c>
      <c r="R404" s="6" t="e">
        <v>#N/A</v>
      </c>
      <c r="S404" s="6" t="e">
        <v>#N/A</v>
      </c>
      <c r="T404" s="6" t="e">
        <v>#N/A</v>
      </c>
      <c r="U404" s="6" t="e">
        <v>#N/A</v>
      </c>
      <c r="V404" s="6" t="e">
        <v>#N/A</v>
      </c>
      <c r="W404" s="6" t="e">
        <v>#N/A</v>
      </c>
      <c r="X404" s="6" t="e">
        <v>#N/A</v>
      </c>
      <c r="Y404" s="6" t="e">
        <v>#N/A</v>
      </c>
      <c r="Z404" s="6" t="e">
        <v>#N/A</v>
      </c>
      <c r="AA404" s="6" t="e">
        <v>#N/A</v>
      </c>
      <c r="AB404" s="6" t="e">
        <v>#N/A</v>
      </c>
      <c r="AC404" s="6" t="e">
        <v>#N/A</v>
      </c>
      <c r="AD404" s="6" t="e">
        <v>#N/A</v>
      </c>
      <c r="AE404" s="6" t="e">
        <v>#N/A</v>
      </c>
      <c r="AF404" s="6" t="e">
        <v>#N/A</v>
      </c>
      <c r="AG404" s="6" t="e">
        <v>#N/A</v>
      </c>
      <c r="AH404" s="6" t="e">
        <v>#N/A</v>
      </c>
      <c r="AI404" s="6" t="e">
        <v>#N/A</v>
      </c>
      <c r="AJ404" s="6" t="e">
        <v>#N/A</v>
      </c>
      <c r="AK404" s="6">
        <v>527471</v>
      </c>
      <c r="AL404" s="6" t="e">
        <v>#N/A</v>
      </c>
      <c r="AM404" s="6" t="e">
        <v>#N/A</v>
      </c>
      <c r="AN404" s="6" t="e">
        <v>#N/A</v>
      </c>
      <c r="AO404" s="6" t="e">
        <v>#N/A</v>
      </c>
      <c r="AP404" s="6" t="e">
        <v>#N/A</v>
      </c>
      <c r="AQ404" s="6" t="e">
        <v>#N/A</v>
      </c>
      <c r="AR404" s="6" t="e">
        <v>#N/A</v>
      </c>
      <c r="AS404" s="6">
        <v>13000</v>
      </c>
      <c r="AT404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371741</v>
      </c>
      <c r="AU404" s="233"/>
      <c r="AV404" s="208">
        <f>(Tableau1517[[#This Row],[juin-24]]-Tableau1517[[#This Row],[avr-24]])/Tableau1517[[#This Row],[avr-24]]</f>
        <v>27.595461538461539</v>
      </c>
      <c r="AW404" s="219">
        <f>Tableau1517[[#This Row],[juin-24]]-Tableau1517[[#This Row],[avr-24]]</f>
        <v>358741</v>
      </c>
      <c r="AY404" s="18">
        <v>49394</v>
      </c>
      <c r="BB404" s="208"/>
      <c r="BD404" s="246"/>
    </row>
    <row r="405" spans="1:56" x14ac:dyDescent="0.3">
      <c r="A405" s="54"/>
      <c r="B405" s="533" t="s">
        <v>268</v>
      </c>
      <c r="C405" s="88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>
        <v>275117</v>
      </c>
      <c r="AO405" s="6" t="e">
        <v>#N/A</v>
      </c>
      <c r="AP405" s="6" t="e">
        <v>#N/A</v>
      </c>
      <c r="AQ405" s="6" t="e">
        <v>#N/A</v>
      </c>
      <c r="AR405" s="6" t="e">
        <v>#N/A</v>
      </c>
      <c r="AS405" s="6">
        <v>376684</v>
      </c>
      <c r="AT40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406807</v>
      </c>
      <c r="AU405" s="233"/>
      <c r="AV405" s="208">
        <f>(Tableau1517[[#This Row],[juin-24]]-Tableau1517[[#This Row],[avr-24]])/Tableau1517[[#This Row],[avr-24]]</f>
        <v>7.9968886387529067E-2</v>
      </c>
      <c r="AW405" s="219">
        <f>Tableau1517[[#This Row],[juin-24]]-Tableau1517[[#This Row],[avr-24]]</f>
        <v>30123</v>
      </c>
      <c r="AY405" s="18">
        <v>46794</v>
      </c>
      <c r="BB405" s="208"/>
      <c r="BD405" s="246"/>
    </row>
    <row r="406" spans="1:56" x14ac:dyDescent="0.3">
      <c r="A406" s="54"/>
      <c r="B406" s="533" t="s">
        <v>123</v>
      </c>
      <c r="C406" s="88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6">
        <v>875165</v>
      </c>
      <c r="R406" s="6">
        <v>896356</v>
      </c>
      <c r="S406" s="6">
        <v>902445</v>
      </c>
      <c r="T406" s="6">
        <v>904819</v>
      </c>
      <c r="U406" s="6">
        <v>908713</v>
      </c>
      <c r="V406" s="6">
        <v>923727</v>
      </c>
      <c r="W406" s="6">
        <v>928563</v>
      </c>
      <c r="X406" s="6">
        <v>933838</v>
      </c>
      <c r="Y406" s="6">
        <v>939025</v>
      </c>
      <c r="Z406" s="6">
        <v>942909</v>
      </c>
      <c r="AA406" s="6">
        <v>950687</v>
      </c>
      <c r="AB406" s="6">
        <v>962366</v>
      </c>
      <c r="AC406" s="6">
        <v>1042460</v>
      </c>
      <c r="AD406" s="6">
        <v>1065070</v>
      </c>
      <c r="AE406" s="6">
        <v>1066818</v>
      </c>
      <c r="AF406" s="6">
        <v>1067153</v>
      </c>
      <c r="AG406" s="6">
        <v>1065437</v>
      </c>
      <c r="AH406" s="6">
        <v>1083553</v>
      </c>
      <c r="AI406" s="6">
        <v>1.7003351676354396E-2</v>
      </c>
      <c r="AJ406" s="6">
        <v>18116</v>
      </c>
      <c r="AK406" s="6">
        <v>1146876</v>
      </c>
      <c r="AL406" s="6">
        <v>1170409</v>
      </c>
      <c r="AM406" s="6">
        <v>726604</v>
      </c>
      <c r="AN406" s="6">
        <v>1224343</v>
      </c>
      <c r="AO406" s="6">
        <v>1227334</v>
      </c>
      <c r="AP406" s="6">
        <v>1271347</v>
      </c>
      <c r="AQ406" s="6">
        <v>1264554</v>
      </c>
      <c r="AR406" s="6">
        <v>1340600</v>
      </c>
      <c r="AS406" s="6">
        <v>1345245</v>
      </c>
      <c r="AT40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1381478</v>
      </c>
      <c r="AU406" s="233"/>
      <c r="AV406" s="208">
        <f>(Tableau1517[[#This Row],[juin-24]]-Tableau1517[[#This Row],[avr-24]])/Tableau1517[[#This Row],[avr-24]]</f>
        <v>2.6934127240762835E-2</v>
      </c>
      <c r="AW406" s="219">
        <f>Tableau1517[[#This Row],[juin-24]]-Tableau1517[[#This Row],[avr-24]]</f>
        <v>36233</v>
      </c>
      <c r="AY406" s="18">
        <v>38536</v>
      </c>
      <c r="BB406" s="208"/>
      <c r="BD406" s="246"/>
    </row>
    <row r="407" spans="1:56" x14ac:dyDescent="0.3">
      <c r="A407" s="54"/>
      <c r="B407" s="533" t="s">
        <v>299</v>
      </c>
      <c r="C407" s="88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>
        <v>0</v>
      </c>
      <c r="AP407" s="6">
        <v>161661</v>
      </c>
      <c r="AQ407" s="6">
        <v>160437</v>
      </c>
      <c r="AR407" s="6">
        <v>191500</v>
      </c>
      <c r="AS407" s="6">
        <v>191313</v>
      </c>
      <c r="AT40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191390</v>
      </c>
      <c r="AU407" s="233"/>
      <c r="AV407" s="208">
        <f>(Tableau1517[[#This Row],[juin-24]]-Tableau1517[[#This Row],[avr-24]])/Tableau1517[[#This Row],[avr-24]]</f>
        <v>4.0248179684600628E-4</v>
      </c>
      <c r="AW407" s="219">
        <f>Tableau1517[[#This Row],[juin-24]]-Tableau1517[[#This Row],[avr-24]]</f>
        <v>77</v>
      </c>
      <c r="AY407" s="18">
        <v>33794</v>
      </c>
      <c r="BB407" s="208"/>
      <c r="BD407" s="246"/>
    </row>
    <row r="408" spans="1:56" x14ac:dyDescent="0.3">
      <c r="A408" s="54"/>
      <c r="B408" s="533" t="s">
        <v>309</v>
      </c>
      <c r="C408" s="88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6" t="e">
        <v>#N/A</v>
      </c>
      <c r="R408" s="6" t="e">
        <v>#N/A</v>
      </c>
      <c r="S408" s="6" t="e">
        <v>#N/A</v>
      </c>
      <c r="T408" s="6" t="e">
        <v>#N/A</v>
      </c>
      <c r="U408" s="6" t="e">
        <v>#N/A</v>
      </c>
      <c r="V408" s="6" t="e">
        <v>#N/A</v>
      </c>
      <c r="W408" s="6" t="e">
        <v>#N/A</v>
      </c>
      <c r="X408" s="6" t="e">
        <v>#N/A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>
        <v>0</v>
      </c>
      <c r="AO408" s="6" t="e">
        <v>#N/A</v>
      </c>
      <c r="AP408" s="6" t="e">
        <v>#N/A</v>
      </c>
      <c r="AQ408" s="6" t="e">
        <v>#N/A</v>
      </c>
      <c r="AR408" s="6" t="e">
        <v>#N/A</v>
      </c>
      <c r="AS408" s="6">
        <v>91747</v>
      </c>
      <c r="AT40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138765</v>
      </c>
      <c r="AU408" s="233"/>
      <c r="AV408" s="208">
        <f>(Tableau1517[[#This Row],[juin-24]]-Tableau1517[[#This Row],[avr-24]])/Tableau1517[[#This Row],[avr-24]]</f>
        <v>0.51247452232770552</v>
      </c>
      <c r="AW408" s="219">
        <f>Tableau1517[[#This Row],[juin-24]]-Tableau1517[[#This Row],[avr-24]]</f>
        <v>47018</v>
      </c>
      <c r="AY408" s="283">
        <v>27563</v>
      </c>
      <c r="BB408" s="208"/>
      <c r="BD408" s="246"/>
    </row>
    <row r="409" spans="1:56" x14ac:dyDescent="0.3">
      <c r="A409" s="54"/>
      <c r="B409" s="533" t="s">
        <v>262</v>
      </c>
      <c r="C409" s="88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>
        <v>44667</v>
      </c>
      <c r="AO409" s="6">
        <v>46981</v>
      </c>
      <c r="AP409" s="6">
        <v>70100</v>
      </c>
      <c r="AQ409" s="6">
        <v>71322</v>
      </c>
      <c r="AR409" s="6">
        <v>217055</v>
      </c>
      <c r="AS409" s="6">
        <v>273404</v>
      </c>
      <c r="AT40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300900</v>
      </c>
      <c r="AU409" s="233"/>
      <c r="AV409" s="208">
        <f>(Tableau1517[[#This Row],[juin-24]]-Tableau1517[[#This Row],[avr-24]])/Tableau1517[[#This Row],[avr-24]]</f>
        <v>0.1005691211540431</v>
      </c>
      <c r="AW409" s="219">
        <f>Tableau1517[[#This Row],[juin-24]]-Tableau1517[[#This Row],[avr-24]]</f>
        <v>27496</v>
      </c>
      <c r="AY409" s="18">
        <v>26088</v>
      </c>
      <c r="BB409" s="208"/>
      <c r="BD409" s="246"/>
    </row>
    <row r="410" spans="1:56" x14ac:dyDescent="0.3">
      <c r="A410" s="54"/>
      <c r="B410" s="533" t="s">
        <v>199</v>
      </c>
      <c r="C410" s="88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>
        <v>89396</v>
      </c>
      <c r="AC410" s="6">
        <v>93174</v>
      </c>
      <c r="AD410" s="6">
        <v>95008</v>
      </c>
      <c r="AE410" s="6">
        <v>95913</v>
      </c>
      <c r="AF410" s="6">
        <v>96378</v>
      </c>
      <c r="AG410" s="6">
        <v>96618</v>
      </c>
      <c r="AH410" s="6">
        <v>96665</v>
      </c>
      <c r="AI410" s="6">
        <v>4.8645179987165952E-4</v>
      </c>
      <c r="AJ410" s="6">
        <v>47</v>
      </c>
      <c r="AK410" s="6">
        <v>105696</v>
      </c>
      <c r="AL410" s="6">
        <v>106388</v>
      </c>
      <c r="AM410" s="6">
        <v>158159</v>
      </c>
      <c r="AN410" s="6">
        <v>162778</v>
      </c>
      <c r="AO410" s="6">
        <v>164244</v>
      </c>
      <c r="AP410" s="6">
        <v>171083</v>
      </c>
      <c r="AQ410" s="6">
        <v>171101</v>
      </c>
      <c r="AR410" s="6">
        <v>176300</v>
      </c>
      <c r="AS410" s="6">
        <v>182207</v>
      </c>
      <c r="AT41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183413</v>
      </c>
      <c r="AU410" s="233"/>
      <c r="AV410" s="208">
        <f>(Tableau1517[[#This Row],[juin-24]]-Tableau1517[[#This Row],[avr-24]])/Tableau1517[[#This Row],[avr-24]]</f>
        <v>6.6188455986872074E-3</v>
      </c>
      <c r="AW410" s="219">
        <f>Tableau1517[[#This Row],[juin-24]]-Tableau1517[[#This Row],[avr-24]]</f>
        <v>1206</v>
      </c>
      <c r="AY410" s="18">
        <v>19550</v>
      </c>
      <c r="BB410" s="208"/>
      <c r="BD410" s="246"/>
    </row>
    <row r="411" spans="1:56" x14ac:dyDescent="0.3">
      <c r="A411" s="54"/>
      <c r="B411" s="533" t="s">
        <v>248</v>
      </c>
      <c r="C411" s="88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>
        <v>153451</v>
      </c>
      <c r="AO411" s="6">
        <v>154774</v>
      </c>
      <c r="AP411" s="6">
        <v>181612</v>
      </c>
      <c r="AQ411" s="6">
        <v>181758</v>
      </c>
      <c r="AR411" s="6">
        <v>208900</v>
      </c>
      <c r="AS411" s="6">
        <v>208609</v>
      </c>
      <c r="AT41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212160</v>
      </c>
      <c r="AU411" s="233"/>
      <c r="AV411" s="208">
        <f>(Tableau1517[[#This Row],[juin-24]]-Tableau1517[[#This Row],[avr-24]])/Tableau1517[[#This Row],[avr-24]]</f>
        <v>1.7022276124232415E-2</v>
      </c>
      <c r="AW411" s="219">
        <f>Tableau1517[[#This Row],[juin-24]]-Tableau1517[[#This Row],[avr-24]]</f>
        <v>3551</v>
      </c>
      <c r="AY411" s="18">
        <v>17463</v>
      </c>
      <c r="BB411" s="208"/>
      <c r="BD411" s="246"/>
    </row>
    <row r="412" spans="1:56" x14ac:dyDescent="0.3">
      <c r="A412" s="54"/>
      <c r="B412" s="533" t="s">
        <v>249</v>
      </c>
      <c r="C412" s="88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>
        <v>71740</v>
      </c>
      <c r="AO412" s="6" t="e">
        <v>#N/A</v>
      </c>
      <c r="AP412" s="6" t="e">
        <v>#N/A</v>
      </c>
      <c r="AQ412" s="6" t="e">
        <v>#N/A</v>
      </c>
      <c r="AR412" s="6" t="e">
        <v>#N/A</v>
      </c>
      <c r="AS412" s="6">
        <v>743482</v>
      </c>
      <c r="AT41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835146</v>
      </c>
      <c r="AU412" s="233"/>
      <c r="AV412" s="208">
        <f>(Tableau1517[[#This Row],[juin-24]]-Tableau1517[[#This Row],[avr-24]])/Tableau1517[[#This Row],[avr-24]]</f>
        <v>0.12329014017824237</v>
      </c>
      <c r="AW412" s="219">
        <f>Tableau1517[[#This Row],[juin-24]]-Tableau1517[[#This Row],[avr-24]]</f>
        <v>91664</v>
      </c>
      <c r="AY412" s="18">
        <v>14275</v>
      </c>
      <c r="BB412" s="208"/>
      <c r="BD412" s="246"/>
    </row>
    <row r="413" spans="1:56" ht="15" customHeight="1" x14ac:dyDescent="0.3">
      <c r="A413" s="54"/>
      <c r="B413" s="535" t="s">
        <v>402</v>
      </c>
      <c r="C413" s="88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6" t="e">
        <v>#N/A</v>
      </c>
      <c r="R413" s="6" t="e">
        <v>#N/A</v>
      </c>
      <c r="S413" s="6" t="e">
        <v>#N/A</v>
      </c>
      <c r="T413" s="6" t="e">
        <v>#N/A</v>
      </c>
      <c r="U413" s="6" t="e">
        <v>#N/A</v>
      </c>
      <c r="V413" s="6" t="e">
        <v>#N/A</v>
      </c>
      <c r="W413" s="6" t="e">
        <v>#N/A</v>
      </c>
      <c r="X413" s="6" t="e">
        <v>#N/A</v>
      </c>
      <c r="Y413" s="6"/>
      <c r="Z413" s="6" t="e">
        <v>#N/A</v>
      </c>
      <c r="AA413" s="6" t="e">
        <v>#N/A</v>
      </c>
      <c r="AB413" s="6" t="e">
        <v>#N/A</v>
      </c>
      <c r="AC413" s="6" t="e">
        <v>#N/A</v>
      </c>
      <c r="AD413" s="6" t="e">
        <v>#N/A</v>
      </c>
      <c r="AE413" s="6" t="e">
        <v>#N/A</v>
      </c>
      <c r="AF413" s="6" t="e">
        <v>#N/A</v>
      </c>
      <c r="AG413" s="6" t="e">
        <v>#N/A</v>
      </c>
      <c r="AH413" s="6" t="e">
        <v>#N/A</v>
      </c>
      <c r="AI413" s="6" t="e">
        <v>#N/A</v>
      </c>
      <c r="AJ413" s="6" t="e">
        <v>#N/A</v>
      </c>
      <c r="AK413" s="6" t="e">
        <v>#N/A</v>
      </c>
      <c r="AL413" s="6" t="e">
        <v>#N/A</v>
      </c>
      <c r="AM413" s="6" t="e">
        <v>#N/A</v>
      </c>
      <c r="AN413" s="6" t="e">
        <v>#N/A</v>
      </c>
      <c r="AO413" s="6" t="e">
        <v>#N/A</v>
      </c>
      <c r="AP413" s="6" t="e">
        <v>#REF!</v>
      </c>
      <c r="AQ413" s="6" t="e">
        <v>#N/A</v>
      </c>
      <c r="AR413" s="6" t="e">
        <v>#N/A</v>
      </c>
      <c r="AS413" s="6">
        <v>35586</v>
      </c>
      <c r="AT41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108287</v>
      </c>
      <c r="AU413" s="233"/>
      <c r="AV413" s="208">
        <f>(Tableau1517[[#This Row],[juin-24]]-Tableau1517[[#This Row],[avr-24]])/Tableau1517[[#This Row],[avr-24]]</f>
        <v>2.0429663350755916</v>
      </c>
      <c r="AW413" s="219">
        <f>Tableau1517[[#This Row],[juin-24]]-Tableau1517[[#This Row],[avr-24]]</f>
        <v>72701</v>
      </c>
      <c r="AY413" s="18">
        <v>13983</v>
      </c>
      <c r="BB413" s="208"/>
      <c r="BD413" s="246"/>
    </row>
    <row r="414" spans="1:56" x14ac:dyDescent="0.3">
      <c r="A414" s="54"/>
      <c r="B414" s="535" t="s">
        <v>396</v>
      </c>
      <c r="C414" s="88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6" t="e">
        <v>#REF!</v>
      </c>
      <c r="R414" s="6" t="e">
        <v>#REF!</v>
      </c>
      <c r="S414" s="6" t="e">
        <v>#REF!</v>
      </c>
      <c r="T414" s="6" t="e">
        <v>#REF!</v>
      </c>
      <c r="U414" s="6" t="e">
        <v>#REF!</v>
      </c>
      <c r="V414" s="6" t="e">
        <v>#REF!</v>
      </c>
      <c r="W414" s="6" t="e">
        <v>#REF!</v>
      </c>
      <c r="X414" s="6" t="e">
        <v>#REF!</v>
      </c>
      <c r="Y414" s="6"/>
      <c r="Z414" s="6" t="e">
        <v>#REF!</v>
      </c>
      <c r="AA414" s="6" t="e">
        <v>#REF!</v>
      </c>
      <c r="AB414" s="6" t="e">
        <v>#REF!</v>
      </c>
      <c r="AC414" s="6" t="e">
        <v>#REF!</v>
      </c>
      <c r="AD414" s="6" t="e">
        <v>#REF!</v>
      </c>
      <c r="AE414" s="6" t="e">
        <v>#REF!</v>
      </c>
      <c r="AF414" s="6" t="e">
        <v>#REF!</v>
      </c>
      <c r="AG414" s="6" t="e">
        <v>#REF!</v>
      </c>
      <c r="AH414" s="6" t="e">
        <v>#REF!</v>
      </c>
      <c r="AI414" s="6" t="e">
        <v>#REF!</v>
      </c>
      <c r="AJ414" s="6" t="e">
        <v>#REF!</v>
      </c>
      <c r="AK414" s="6" t="e">
        <v>#REF!</v>
      </c>
      <c r="AL414" s="6" t="e">
        <v>#REF!</v>
      </c>
      <c r="AM414" s="6" t="e">
        <v>#REF!</v>
      </c>
      <c r="AN414" s="6" t="e">
        <v>#REF!</v>
      </c>
      <c r="AO414" s="6" t="e">
        <v>#REF!</v>
      </c>
      <c r="AP414" s="6" t="e">
        <v>#REF!</v>
      </c>
      <c r="AQ414" s="6" t="e">
        <v>#REF!</v>
      </c>
      <c r="AR414" s="6" t="e">
        <v>#N/A</v>
      </c>
      <c r="AS414" s="6">
        <v>129700</v>
      </c>
      <c r="AT414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137534</v>
      </c>
      <c r="AU414" s="233"/>
      <c r="AV414" s="208">
        <f>(Tableau1517[[#This Row],[juin-24]]-Tableau1517[[#This Row],[avr-24]])/Tableau1517[[#This Row],[avr-24]]</f>
        <v>6.0400925212027758E-2</v>
      </c>
      <c r="AW414" s="219">
        <f>Tableau1517[[#This Row],[juin-24]]-Tableau1517[[#This Row],[avr-24]]</f>
        <v>7834</v>
      </c>
      <c r="AY414" s="18">
        <v>13094</v>
      </c>
      <c r="BB414" s="208"/>
      <c r="BD414" s="246"/>
    </row>
    <row r="415" spans="1:56" x14ac:dyDescent="0.3">
      <c r="A415" s="54"/>
      <c r="B415" s="533" t="s">
        <v>120</v>
      </c>
      <c r="C415" s="88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6">
        <v>270437</v>
      </c>
      <c r="R415" s="6">
        <v>283260</v>
      </c>
      <c r="S415" s="6">
        <v>295323</v>
      </c>
      <c r="T415" s="6">
        <v>299281</v>
      </c>
      <c r="U415" s="6">
        <v>302575</v>
      </c>
      <c r="V415" s="6">
        <v>308675</v>
      </c>
      <c r="W415" s="6">
        <v>317815</v>
      </c>
      <c r="X415" s="6">
        <v>331492</v>
      </c>
      <c r="Y415" s="6">
        <v>364035</v>
      </c>
      <c r="Z415" s="6">
        <v>381325</v>
      </c>
      <c r="AA415" s="6">
        <v>390159</v>
      </c>
      <c r="AB415" s="6">
        <v>347709</v>
      </c>
      <c r="AC415" s="6">
        <v>561605</v>
      </c>
      <c r="AD415" s="6">
        <v>602588</v>
      </c>
      <c r="AE415" s="6">
        <v>580922</v>
      </c>
      <c r="AF415" s="6">
        <v>580281</v>
      </c>
      <c r="AG415" s="6">
        <v>581830</v>
      </c>
      <c r="AH415" s="6">
        <v>596421</v>
      </c>
      <c r="AI415" s="6">
        <v>2.507777185775914E-2</v>
      </c>
      <c r="AJ415" s="6">
        <v>14591</v>
      </c>
      <c r="AK415" s="6">
        <v>760897</v>
      </c>
      <c r="AL415" s="6">
        <v>799497</v>
      </c>
      <c r="AM415" s="6">
        <v>1508941</v>
      </c>
      <c r="AN415" s="6">
        <v>1209491</v>
      </c>
      <c r="AO415" s="6">
        <v>1221897</v>
      </c>
      <c r="AP415" s="6">
        <v>1247420</v>
      </c>
      <c r="AQ415" s="6">
        <v>1242310</v>
      </c>
      <c r="AR415" s="6">
        <v>1244448</v>
      </c>
      <c r="AS415" s="6">
        <v>1229255</v>
      </c>
      <c r="AT41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1239217</v>
      </c>
      <c r="AU415" s="233"/>
      <c r="AV415" s="208">
        <f>(Tableau1517[[#This Row],[juin-24]]-Tableau1517[[#This Row],[avr-24]])/Tableau1517[[#This Row],[avr-24]]</f>
        <v>8.1040955700810661E-3</v>
      </c>
      <c r="AW415" s="219">
        <f>Tableau1517[[#This Row],[juin-24]]-Tableau1517[[#This Row],[avr-24]]</f>
        <v>9962</v>
      </c>
      <c r="AY415" s="18">
        <v>11491</v>
      </c>
      <c r="BB415" s="208"/>
      <c r="BD415" s="246"/>
    </row>
    <row r="416" spans="1:56" x14ac:dyDescent="0.3">
      <c r="A416" s="54"/>
      <c r="B416" s="535" t="s">
        <v>399</v>
      </c>
      <c r="C416" s="88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6" t="e">
        <v>#N/A</v>
      </c>
      <c r="R416" s="6" t="e">
        <v>#N/A</v>
      </c>
      <c r="S416" s="6" t="e">
        <v>#N/A</v>
      </c>
      <c r="T416" s="6" t="e">
        <v>#N/A</v>
      </c>
      <c r="U416" s="6" t="e">
        <v>#N/A</v>
      </c>
      <c r="V416" s="6" t="e">
        <v>#N/A</v>
      </c>
      <c r="W416" s="6" t="e">
        <v>#N/A</v>
      </c>
      <c r="X416" s="6" t="e">
        <v>#N/A</v>
      </c>
      <c r="Y416" s="6"/>
      <c r="Z416" s="6" t="e">
        <v>#N/A</v>
      </c>
      <c r="AA416" s="6" t="e">
        <v>#N/A</v>
      </c>
      <c r="AB416" s="6" t="e">
        <v>#N/A</v>
      </c>
      <c r="AC416" s="6" t="e">
        <v>#N/A</v>
      </c>
      <c r="AD416" s="6" t="e">
        <v>#N/A</v>
      </c>
      <c r="AE416" s="6" t="e">
        <v>#N/A</v>
      </c>
      <c r="AF416" s="6" t="e">
        <v>#N/A</v>
      </c>
      <c r="AG416" s="6" t="e">
        <v>#N/A</v>
      </c>
      <c r="AH416" s="6" t="e">
        <v>#N/A</v>
      </c>
      <c r="AI416" s="6" t="e">
        <v>#N/A</v>
      </c>
      <c r="AJ416" s="6" t="e">
        <v>#N/A</v>
      </c>
      <c r="AK416" s="6" t="e">
        <v>#N/A</v>
      </c>
      <c r="AL416" s="6" t="e">
        <v>#N/A</v>
      </c>
      <c r="AM416" s="6" t="e">
        <v>#N/A</v>
      </c>
      <c r="AN416" s="6" t="e">
        <v>#N/A</v>
      </c>
      <c r="AO416" s="6" t="e">
        <v>#N/A</v>
      </c>
      <c r="AP416" s="6" t="e">
        <v>#REF!</v>
      </c>
      <c r="AQ416" s="6" t="e">
        <v>#N/A</v>
      </c>
      <c r="AR416" s="6" t="e">
        <v>#N/A</v>
      </c>
      <c r="AS416" s="6">
        <v>38996</v>
      </c>
      <c r="AT41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40288</v>
      </c>
      <c r="AU416" s="233"/>
      <c r="AV416" s="208">
        <f>(Tableau1517[[#This Row],[juin-24]]-Tableau1517[[#This Row],[avr-24]])/Tableau1517[[#This Row],[avr-24]]</f>
        <v>3.3131603241358089E-2</v>
      </c>
      <c r="AW416" s="219">
        <f>Tableau1517[[#This Row],[juin-24]]-Tableau1517[[#This Row],[avr-24]]</f>
        <v>1292</v>
      </c>
      <c r="AY416" s="245">
        <v>11470</v>
      </c>
      <c r="BB416" s="208"/>
      <c r="BD416" s="246"/>
    </row>
    <row r="417" spans="1:56" x14ac:dyDescent="0.3">
      <c r="A417" s="54"/>
      <c r="B417" s="533" t="s">
        <v>205</v>
      </c>
      <c r="C417" s="88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>
        <v>60339</v>
      </c>
      <c r="AF417" s="6">
        <v>0</v>
      </c>
      <c r="AG417" s="6">
        <v>0</v>
      </c>
      <c r="AH417" s="6">
        <v>0</v>
      </c>
      <c r="AI417" s="6" t="e">
        <v>#DIV/0!</v>
      </c>
      <c r="AJ417" s="6">
        <v>0</v>
      </c>
      <c r="AK417" s="6">
        <v>0</v>
      </c>
      <c r="AL417" s="6">
        <v>0</v>
      </c>
      <c r="AM417" s="6">
        <v>44440</v>
      </c>
      <c r="AN417" s="6">
        <v>44621</v>
      </c>
      <c r="AO417" s="6">
        <v>111628</v>
      </c>
      <c r="AP417" s="6">
        <v>160365</v>
      </c>
      <c r="AQ417" s="6">
        <v>160657</v>
      </c>
      <c r="AR417" s="6">
        <v>248200</v>
      </c>
      <c r="AS417" s="6">
        <v>286336</v>
      </c>
      <c r="AT41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291900</v>
      </c>
      <c r="AU417" s="233"/>
      <c r="AV417" s="208">
        <f>(Tableau1517[[#This Row],[juin-24]]-Tableau1517[[#This Row],[avr-24]])/Tableau1517[[#This Row],[avr-24]]</f>
        <v>1.9431716584711666E-2</v>
      </c>
      <c r="AW417" s="219">
        <f>Tableau1517[[#This Row],[juin-24]]-Tableau1517[[#This Row],[avr-24]]</f>
        <v>5564</v>
      </c>
      <c r="AY417" s="18">
        <v>10432</v>
      </c>
      <c r="BB417" s="208"/>
      <c r="BD417" s="246"/>
    </row>
    <row r="418" spans="1:56" x14ac:dyDescent="0.3">
      <c r="A418" s="54"/>
      <c r="B418" s="533" t="s">
        <v>267</v>
      </c>
      <c r="C418" s="88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>
        <v>106155</v>
      </c>
      <c r="AO418" s="6" t="e">
        <v>#N/A</v>
      </c>
      <c r="AP418" s="6" t="e">
        <v>#N/A</v>
      </c>
      <c r="AQ418" s="6" t="e">
        <v>#N/A</v>
      </c>
      <c r="AR418" s="6" t="e">
        <v>#N/A</v>
      </c>
      <c r="AS418" s="6">
        <v>116396</v>
      </c>
      <c r="AT41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122931</v>
      </c>
      <c r="AU418" s="233"/>
      <c r="AV418" s="208">
        <f>(Tableau1517[[#This Row],[juin-24]]-Tableau1517[[#This Row],[avr-24]])/Tableau1517[[#This Row],[avr-24]]</f>
        <v>5.6144541049520602E-2</v>
      </c>
      <c r="AW418" s="219">
        <f>Tableau1517[[#This Row],[juin-24]]-Tableau1517[[#This Row],[avr-24]]</f>
        <v>6535</v>
      </c>
      <c r="AY418" s="245">
        <v>9614</v>
      </c>
      <c r="BB418" s="208"/>
      <c r="BD418" s="246"/>
    </row>
    <row r="419" spans="1:56" x14ac:dyDescent="0.3">
      <c r="A419" s="54"/>
      <c r="B419" s="533" t="s">
        <v>90</v>
      </c>
      <c r="C419" s="88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6">
        <v>2544975</v>
      </c>
      <c r="R419" s="6">
        <v>2544910</v>
      </c>
      <c r="S419" s="6">
        <v>2541407</v>
      </c>
      <c r="T419" s="6">
        <v>2542721</v>
      </c>
      <c r="U419" s="6">
        <v>2538215</v>
      </c>
      <c r="V419" s="6">
        <v>2540007</v>
      </c>
      <c r="W419" s="6">
        <v>2544115</v>
      </c>
      <c r="X419" s="6">
        <v>2545010</v>
      </c>
      <c r="Y419" s="6">
        <v>2543325</v>
      </c>
      <c r="Z419" s="6">
        <v>2539280</v>
      </c>
      <c r="AA419" s="6">
        <v>2540621</v>
      </c>
      <c r="AB419" s="6">
        <v>2543048</v>
      </c>
      <c r="AC419" s="6">
        <v>2558156</v>
      </c>
      <c r="AD419" s="6">
        <v>2559028</v>
      </c>
      <c r="AE419" s="6">
        <v>2556476</v>
      </c>
      <c r="AF419" s="6">
        <v>2556737</v>
      </c>
      <c r="AG419" s="6">
        <v>2558037</v>
      </c>
      <c r="AH419" s="6">
        <v>2554107</v>
      </c>
      <c r="AI419" s="6">
        <v>-1.5363343063450607E-3</v>
      </c>
      <c r="AJ419" s="6">
        <v>-3930</v>
      </c>
      <c r="AK419" s="6">
        <v>2554521</v>
      </c>
      <c r="AL419" s="6">
        <v>2551411</v>
      </c>
      <c r="AM419" s="6">
        <v>1933237</v>
      </c>
      <c r="AN419" s="6">
        <v>2675301</v>
      </c>
      <c r="AO419" s="6">
        <v>2671674</v>
      </c>
      <c r="AP419" s="6">
        <v>2676870</v>
      </c>
      <c r="AQ419" s="6">
        <v>2660197</v>
      </c>
      <c r="AR419" s="6">
        <v>2699882</v>
      </c>
      <c r="AS419" s="6">
        <v>2710390</v>
      </c>
      <c r="AT41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2716334</v>
      </c>
      <c r="AU419" s="233"/>
      <c r="AV419" s="208">
        <f>(Tableau1517[[#This Row],[juin-24]]-Tableau1517[[#This Row],[avr-24]])/Tableau1517[[#This Row],[avr-24]]</f>
        <v>2.1930423297016298E-3</v>
      </c>
      <c r="AW419" s="219">
        <f>Tableau1517[[#This Row],[juin-24]]-Tableau1517[[#This Row],[avr-24]]</f>
        <v>5944</v>
      </c>
      <c r="AY419" s="18">
        <v>7201</v>
      </c>
      <c r="BB419" s="208"/>
      <c r="BD419" s="246"/>
    </row>
    <row r="420" spans="1:56" x14ac:dyDescent="0.3">
      <c r="A420" s="54"/>
      <c r="B420" s="533" t="s">
        <v>260</v>
      </c>
      <c r="C420" s="88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>
        <v>68938</v>
      </c>
      <c r="AO420" s="6">
        <v>75574</v>
      </c>
      <c r="AP420" s="6">
        <v>82000</v>
      </c>
      <c r="AQ420" s="6">
        <v>83721</v>
      </c>
      <c r="AR420" s="6">
        <v>119300</v>
      </c>
      <c r="AS420" s="6">
        <v>129200</v>
      </c>
      <c r="AT42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136518</v>
      </c>
      <c r="AU420" s="233"/>
      <c r="AV420" s="208">
        <f>(Tableau1517[[#This Row],[juin-24]]-Tableau1517[[#This Row],[avr-24]])/Tableau1517[[#This Row],[avr-24]]</f>
        <v>5.6640866873065014E-2</v>
      </c>
      <c r="AW420" s="219">
        <f>Tableau1517[[#This Row],[juin-24]]-Tableau1517[[#This Row],[avr-24]]</f>
        <v>7318</v>
      </c>
      <c r="AY420" s="18">
        <v>6426</v>
      </c>
      <c r="BB420" s="208"/>
      <c r="BD420" s="246"/>
    </row>
    <row r="421" spans="1:56" x14ac:dyDescent="0.3">
      <c r="A421" s="54"/>
      <c r="B421" s="533" t="s">
        <v>149</v>
      </c>
      <c r="C421" s="88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6">
        <v>279736</v>
      </c>
      <c r="R421" s="6">
        <v>286916</v>
      </c>
      <c r="S421" s="6">
        <v>292505</v>
      </c>
      <c r="T421" s="6">
        <v>299362</v>
      </c>
      <c r="U421" s="6">
        <v>311519</v>
      </c>
      <c r="V421" s="6">
        <v>323397</v>
      </c>
      <c r="W421" s="6">
        <v>334410</v>
      </c>
      <c r="X421" s="6">
        <v>345695</v>
      </c>
      <c r="Y421" s="6">
        <v>349425</v>
      </c>
      <c r="Z421" s="6">
        <v>438143</v>
      </c>
      <c r="AA421" s="6">
        <v>479338</v>
      </c>
      <c r="AB421" s="6">
        <v>488727</v>
      </c>
      <c r="AC421" s="6">
        <v>504421</v>
      </c>
      <c r="AD421" s="6">
        <v>541179</v>
      </c>
      <c r="AE421" s="6">
        <v>562738</v>
      </c>
      <c r="AF421" s="6">
        <v>570272</v>
      </c>
      <c r="AG421" s="6">
        <v>604245</v>
      </c>
      <c r="AH421" s="6">
        <v>674868</v>
      </c>
      <c r="AI421" s="6">
        <v>0.11687808753072015</v>
      </c>
      <c r="AJ421" s="6">
        <v>70623</v>
      </c>
      <c r="AK421" s="6">
        <v>735576</v>
      </c>
      <c r="AL421" s="6">
        <v>768997</v>
      </c>
      <c r="AM421" s="6">
        <v>1813169</v>
      </c>
      <c r="AN421" s="6">
        <v>1388726</v>
      </c>
      <c r="AO421" s="6">
        <v>1421005</v>
      </c>
      <c r="AP421" s="6">
        <v>1501382</v>
      </c>
      <c r="AQ421" s="6">
        <v>1500794</v>
      </c>
      <c r="AR421" s="6">
        <v>1610300</v>
      </c>
      <c r="AS421" s="6">
        <v>1819585</v>
      </c>
      <c r="AT42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1861460</v>
      </c>
      <c r="AU421" s="233"/>
      <c r="AV421" s="208">
        <f>(Tableau1517[[#This Row],[juin-24]]-Tableau1517[[#This Row],[avr-24]])/Tableau1517[[#This Row],[avr-24]]</f>
        <v>2.301348933960216E-2</v>
      </c>
      <c r="AW421" s="219">
        <f>Tableau1517[[#This Row],[juin-24]]-Tableau1517[[#This Row],[avr-24]]</f>
        <v>41875</v>
      </c>
      <c r="AY421" s="18">
        <v>6363</v>
      </c>
      <c r="BB421" s="208"/>
      <c r="BD421" s="246"/>
    </row>
    <row r="422" spans="1:56" x14ac:dyDescent="0.3">
      <c r="A422" s="54"/>
      <c r="B422" s="535" t="s">
        <v>397</v>
      </c>
      <c r="C422" s="88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6" t="e">
        <v>#N/A</v>
      </c>
      <c r="R422" s="6" t="e">
        <v>#N/A</v>
      </c>
      <c r="S422" s="6" t="e">
        <v>#N/A</v>
      </c>
      <c r="T422" s="6" t="e">
        <v>#N/A</v>
      </c>
      <c r="U422" s="6" t="e">
        <v>#N/A</v>
      </c>
      <c r="V422" s="6" t="e">
        <v>#N/A</v>
      </c>
      <c r="W422" s="6" t="e">
        <v>#N/A</v>
      </c>
      <c r="X422" s="6" t="e">
        <v>#N/A</v>
      </c>
      <c r="Y422" s="6"/>
      <c r="Z422" s="6" t="e">
        <v>#N/A</v>
      </c>
      <c r="AA422" s="6" t="e">
        <v>#N/A</v>
      </c>
      <c r="AB422" s="6" t="e">
        <v>#N/A</v>
      </c>
      <c r="AC422" s="6" t="e">
        <v>#N/A</v>
      </c>
      <c r="AD422" s="6" t="e">
        <v>#N/A</v>
      </c>
      <c r="AE422" s="6" t="e">
        <v>#N/A</v>
      </c>
      <c r="AF422" s="6" t="e">
        <v>#N/A</v>
      </c>
      <c r="AG422" s="6" t="e">
        <v>#N/A</v>
      </c>
      <c r="AH422" s="6" t="e">
        <v>#N/A</v>
      </c>
      <c r="AI422" s="6" t="e">
        <v>#N/A</v>
      </c>
      <c r="AJ422" s="6" t="e">
        <v>#N/A</v>
      </c>
      <c r="AK422" s="6" t="e">
        <v>#N/A</v>
      </c>
      <c r="AL422" s="6" t="e">
        <v>#N/A</v>
      </c>
      <c r="AM422" s="6" t="e">
        <v>#N/A</v>
      </c>
      <c r="AN422" s="6" t="e">
        <v>#N/A</v>
      </c>
      <c r="AO422" s="6" t="e">
        <v>#N/A</v>
      </c>
      <c r="AP422" s="6" t="e">
        <v>#REF!</v>
      </c>
      <c r="AQ422" s="6" t="e">
        <v>#N/A</v>
      </c>
      <c r="AR422" s="6" t="e">
        <v>#N/A</v>
      </c>
      <c r="AS422" s="6">
        <v>42322</v>
      </c>
      <c r="AT42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43424</v>
      </c>
      <c r="AU422" s="233"/>
      <c r="AV422" s="208">
        <f>(Tableau1517[[#This Row],[juin-24]]-Tableau1517[[#This Row],[avr-24]])/Tableau1517[[#This Row],[avr-24]]</f>
        <v>2.6038466991162988E-2</v>
      </c>
      <c r="AW422" s="219">
        <f>Tableau1517[[#This Row],[juin-24]]-Tableau1517[[#This Row],[avr-24]]</f>
        <v>1102</v>
      </c>
      <c r="AY422" s="18">
        <v>5820</v>
      </c>
      <c r="BB422" s="208"/>
      <c r="BD422" s="246"/>
    </row>
    <row r="423" spans="1:56" x14ac:dyDescent="0.3">
      <c r="A423" s="54"/>
      <c r="B423" s="533" t="s">
        <v>114</v>
      </c>
      <c r="C423" s="88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6">
        <v>559465</v>
      </c>
      <c r="R423" s="6">
        <v>577708</v>
      </c>
      <c r="S423" s="6">
        <v>585956</v>
      </c>
      <c r="T423" s="6">
        <v>587598</v>
      </c>
      <c r="U423" s="6">
        <v>586875</v>
      </c>
      <c r="V423" s="6">
        <v>586942</v>
      </c>
      <c r="W423" s="6">
        <v>586671</v>
      </c>
      <c r="X423" s="6">
        <v>586247</v>
      </c>
      <c r="Y423" s="6">
        <v>592950</v>
      </c>
      <c r="Z423" s="6">
        <v>596143</v>
      </c>
      <c r="AA423" s="6">
        <v>598196</v>
      </c>
      <c r="AB423" s="6">
        <v>597559</v>
      </c>
      <c r="AC423" s="6">
        <v>616322</v>
      </c>
      <c r="AD423" s="6">
        <v>620230</v>
      </c>
      <c r="AE423" s="6">
        <v>619538</v>
      </c>
      <c r="AF423" s="6">
        <v>619390</v>
      </c>
      <c r="AG423" s="6">
        <v>619158</v>
      </c>
      <c r="AH423" s="6">
        <v>615281</v>
      </c>
      <c r="AI423" s="6">
        <v>-6.2617296392843188E-3</v>
      </c>
      <c r="AJ423" s="6">
        <v>-3877</v>
      </c>
      <c r="AK423" s="6">
        <v>663595</v>
      </c>
      <c r="AL423" s="6">
        <v>716629</v>
      </c>
      <c r="AM423" s="6" t="e">
        <v>#N/A</v>
      </c>
      <c r="AN423" s="6">
        <v>737644</v>
      </c>
      <c r="AO423" s="6">
        <v>745195</v>
      </c>
      <c r="AP423" s="6">
        <v>746751</v>
      </c>
      <c r="AQ423" s="6">
        <v>740836</v>
      </c>
      <c r="AR423" s="6">
        <v>748829</v>
      </c>
      <c r="AS423" s="6">
        <v>743711</v>
      </c>
      <c r="AT42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742544</v>
      </c>
      <c r="AU423" s="233"/>
      <c r="AV423" s="208">
        <f>(Tableau1517[[#This Row],[juin-24]]-Tableau1517[[#This Row],[avr-24]])/Tableau1517[[#This Row],[avr-24]]</f>
        <v>-1.5691579121459814E-3</v>
      </c>
      <c r="AW423" s="219">
        <f>Tableau1517[[#This Row],[juin-24]]-Tableau1517[[#This Row],[avr-24]]</f>
        <v>-1167</v>
      </c>
      <c r="AY423" s="18">
        <v>5819</v>
      </c>
      <c r="BB423" s="208"/>
      <c r="BD423" s="246"/>
    </row>
    <row r="424" spans="1:56" x14ac:dyDescent="0.3">
      <c r="A424" s="54"/>
      <c r="B424" s="533" t="s">
        <v>159</v>
      </c>
      <c r="C424" s="88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6">
        <v>0</v>
      </c>
      <c r="R424" s="6">
        <v>0</v>
      </c>
      <c r="S424" s="6">
        <v>0</v>
      </c>
      <c r="T424" s="6">
        <v>151869</v>
      </c>
      <c r="U424" s="6">
        <v>155507</v>
      </c>
      <c r="V424" s="6">
        <v>159309</v>
      </c>
      <c r="W424" s="6">
        <v>163672</v>
      </c>
      <c r="X424" s="6">
        <v>173560</v>
      </c>
      <c r="Y424" s="6">
        <v>184420</v>
      </c>
      <c r="Z424" s="6">
        <v>187752</v>
      </c>
      <c r="AA424" s="6">
        <v>207789</v>
      </c>
      <c r="AB424" s="6">
        <v>212160</v>
      </c>
      <c r="AC424" s="6">
        <v>222234</v>
      </c>
      <c r="AD424" s="6">
        <v>237755</v>
      </c>
      <c r="AE424" s="6">
        <v>245781</v>
      </c>
      <c r="AF424" s="6">
        <v>246053</v>
      </c>
      <c r="AG424" s="6">
        <v>246802</v>
      </c>
      <c r="AH424" s="6">
        <v>255911</v>
      </c>
      <c r="AI424" s="6">
        <v>3.690812878339722E-2</v>
      </c>
      <c r="AJ424" s="6">
        <v>9109</v>
      </c>
      <c r="AK424" s="6">
        <v>321181</v>
      </c>
      <c r="AL424" s="6">
        <v>329344</v>
      </c>
      <c r="AM424" s="6">
        <v>399782</v>
      </c>
      <c r="AN424" s="6">
        <v>404806</v>
      </c>
      <c r="AO424" s="6">
        <v>407387</v>
      </c>
      <c r="AP424" s="6">
        <v>411594</v>
      </c>
      <c r="AQ424" s="6">
        <v>412377</v>
      </c>
      <c r="AR424" s="6">
        <v>431700</v>
      </c>
      <c r="AS424" s="6">
        <v>429723</v>
      </c>
      <c r="AT424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429869</v>
      </c>
      <c r="AU424" s="233"/>
      <c r="AV424" s="208">
        <f>(Tableau1517[[#This Row],[juin-24]]-Tableau1517[[#This Row],[avr-24]])/Tableau1517[[#This Row],[avr-24]]</f>
        <v>3.3975374834486403E-4</v>
      </c>
      <c r="AW424" s="219">
        <f>Tableau1517[[#This Row],[juin-24]]-Tableau1517[[#This Row],[avr-24]]</f>
        <v>146</v>
      </c>
      <c r="AY424" s="18">
        <v>5319</v>
      </c>
      <c r="BB424" s="208"/>
      <c r="BD424" s="246"/>
    </row>
    <row r="425" spans="1:56" x14ac:dyDescent="0.3">
      <c r="A425" s="175"/>
      <c r="B425" s="533" t="s">
        <v>312</v>
      </c>
      <c r="C425" s="149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6" t="e">
        <v>#N/A</v>
      </c>
      <c r="R425" s="6" t="e">
        <v>#N/A</v>
      </c>
      <c r="S425" s="6" t="e">
        <v>#N/A</v>
      </c>
      <c r="T425" s="6" t="e">
        <v>#N/A</v>
      </c>
      <c r="U425" s="6" t="e">
        <v>#N/A</v>
      </c>
      <c r="V425" s="6" t="e">
        <v>#N/A</v>
      </c>
      <c r="W425" s="6" t="e">
        <v>#N/A</v>
      </c>
      <c r="X425" s="6" t="e">
        <v>#N/A</v>
      </c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>
        <v>0</v>
      </c>
      <c r="AP425" s="6">
        <v>185224</v>
      </c>
      <c r="AQ425" s="6">
        <v>182823</v>
      </c>
      <c r="AR425" s="6">
        <v>188800</v>
      </c>
      <c r="AS425" s="6">
        <v>190866</v>
      </c>
      <c r="AT42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190767</v>
      </c>
      <c r="AU425" s="233"/>
      <c r="AV425" s="208">
        <f>(Tableau1517[[#This Row],[juin-24]]-Tableau1517[[#This Row],[avr-24]])/Tableau1517[[#This Row],[avr-24]]</f>
        <v>-5.1868850397661186E-4</v>
      </c>
      <c r="AW425" s="219">
        <f>Tableau1517[[#This Row],[juin-24]]-Tableau1517[[#This Row],[avr-24]]</f>
        <v>-99</v>
      </c>
      <c r="AY425" s="18">
        <v>5053</v>
      </c>
      <c r="BB425" s="208"/>
      <c r="BD425" s="246"/>
    </row>
    <row r="426" spans="1:56" x14ac:dyDescent="0.3">
      <c r="A426" s="54"/>
      <c r="B426" s="533" t="s">
        <v>89</v>
      </c>
      <c r="C426" s="88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6">
        <v>2995390</v>
      </c>
      <c r="R426" s="6">
        <v>3025249</v>
      </c>
      <c r="S426" s="6">
        <v>3055560</v>
      </c>
      <c r="T426" s="6">
        <v>3080866</v>
      </c>
      <c r="U426" s="6">
        <v>3111591</v>
      </c>
      <c r="V426" s="6">
        <v>3123124</v>
      </c>
      <c r="W426" s="6">
        <v>3138031</v>
      </c>
      <c r="X426" s="6">
        <v>3163770</v>
      </c>
      <c r="Y426" s="6">
        <v>3174160</v>
      </c>
      <c r="Z426" s="6">
        <v>3174669</v>
      </c>
      <c r="AA426" s="6">
        <v>3181529</v>
      </c>
      <c r="AB426" s="6">
        <v>3189280</v>
      </c>
      <c r="AC426" s="6">
        <v>3294246</v>
      </c>
      <c r="AD426" s="6">
        <v>3379946</v>
      </c>
      <c r="AE426" s="6">
        <v>3415877</v>
      </c>
      <c r="AF426" s="6">
        <v>3423888</v>
      </c>
      <c r="AG426" s="6">
        <v>3432253</v>
      </c>
      <c r="AH426" s="6">
        <v>3463547</v>
      </c>
      <c r="AI426" s="6">
        <v>9.1176262355951027E-3</v>
      </c>
      <c r="AJ426" s="6">
        <v>31294</v>
      </c>
      <c r="AK426" s="6">
        <v>3639678</v>
      </c>
      <c r="AL426" s="6" t="e">
        <v>#N/A</v>
      </c>
      <c r="AM426" s="6">
        <v>3886468</v>
      </c>
      <c r="AN426" s="6">
        <v>3897786</v>
      </c>
      <c r="AO426" s="6">
        <v>3902840</v>
      </c>
      <c r="AP426" s="6">
        <v>3952904</v>
      </c>
      <c r="AQ426" s="6">
        <v>3952054</v>
      </c>
      <c r="AR426" s="6">
        <v>3800000</v>
      </c>
      <c r="AS426" s="6">
        <v>3896700</v>
      </c>
      <c r="AT42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3903418</v>
      </c>
      <c r="AU426" s="233"/>
      <c r="AV426" s="208">
        <f>(Tableau1517[[#This Row],[juin-24]]-Tableau1517[[#This Row],[avr-24]])/Tableau1517[[#This Row],[avr-24]]</f>
        <v>1.7240228911643185E-3</v>
      </c>
      <c r="AW426" s="219">
        <f>Tableau1517[[#This Row],[juin-24]]-Tableau1517[[#This Row],[avr-24]]</f>
        <v>6718</v>
      </c>
      <c r="AY426" s="18">
        <v>3212</v>
      </c>
      <c r="BB426" s="208"/>
      <c r="BD426" s="246"/>
    </row>
    <row r="427" spans="1:56" x14ac:dyDescent="0.3">
      <c r="A427" s="54"/>
      <c r="B427" s="533" t="s">
        <v>311</v>
      </c>
      <c r="C427" s="88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6" t="e">
        <v>#N/A</v>
      </c>
      <c r="R427" s="6" t="e">
        <v>#N/A</v>
      </c>
      <c r="S427" s="6" t="e">
        <v>#N/A</v>
      </c>
      <c r="T427" s="6" t="e">
        <v>#N/A</v>
      </c>
      <c r="U427" s="6" t="e">
        <v>#N/A</v>
      </c>
      <c r="V427" s="6" t="e">
        <v>#N/A</v>
      </c>
      <c r="W427" s="6" t="e">
        <v>#N/A</v>
      </c>
      <c r="X427" s="6" t="e">
        <v>#N/A</v>
      </c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 t="e">
        <v>#N/A</v>
      </c>
      <c r="AO427" s="6" t="e">
        <v>#N/A</v>
      </c>
      <c r="AP427" s="6" t="e">
        <v>#N/A</v>
      </c>
      <c r="AQ427" s="6" t="e">
        <v>#N/A</v>
      </c>
      <c r="AR427" s="6" t="e">
        <v>#N/A</v>
      </c>
      <c r="AS427" s="6">
        <v>20400</v>
      </c>
      <c r="AT42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1437576</v>
      </c>
      <c r="AU427" s="233"/>
      <c r="AV427" s="208">
        <f>(Tableau1517[[#This Row],[juin-24]]-Tableau1517[[#This Row],[avr-24]])/Tableau1517[[#This Row],[avr-24]]</f>
        <v>69.469411764705882</v>
      </c>
      <c r="AW427" s="219">
        <f>Tableau1517[[#This Row],[juin-24]]-Tableau1517[[#This Row],[avr-24]]</f>
        <v>1417176</v>
      </c>
      <c r="AY427" s="18">
        <v>2857</v>
      </c>
      <c r="BB427" s="208"/>
      <c r="BD427" s="246"/>
    </row>
    <row r="428" spans="1:56" x14ac:dyDescent="0.3">
      <c r="A428" s="54"/>
      <c r="B428" s="533" t="s">
        <v>202</v>
      </c>
      <c r="C428" s="88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>
        <v>161609</v>
      </c>
      <c r="AD428" s="6">
        <v>174679</v>
      </c>
      <c r="AE428" s="6">
        <v>200887</v>
      </c>
      <c r="AF428" s="6">
        <v>207104</v>
      </c>
      <c r="AG428" s="6">
        <v>209433</v>
      </c>
      <c r="AH428" s="6">
        <v>222804</v>
      </c>
      <c r="AI428" s="6">
        <v>6.3843806849923371E-2</v>
      </c>
      <c r="AJ428" s="6">
        <v>13371</v>
      </c>
      <c r="AK428" s="6">
        <v>420394</v>
      </c>
      <c r="AL428" s="6">
        <v>650124</v>
      </c>
      <c r="AM428" s="6" t="e">
        <v>#REF!</v>
      </c>
      <c r="AN428" s="6" t="e">
        <v>#REF!</v>
      </c>
      <c r="AO428" s="6">
        <v>1020321</v>
      </c>
      <c r="AP428" s="6">
        <v>1099270</v>
      </c>
      <c r="AQ428" s="6">
        <v>1098719</v>
      </c>
      <c r="AR428" s="6">
        <v>1111800</v>
      </c>
      <c r="AS428" s="6">
        <v>1128421</v>
      </c>
      <c r="AT42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1135409</v>
      </c>
      <c r="AU428" s="233"/>
      <c r="AV428" s="208">
        <f>(Tableau1517[[#This Row],[juin-24]]-Tableau1517[[#This Row],[avr-24]])/Tableau1517[[#This Row],[avr-24]]</f>
        <v>6.1927241694367616E-3</v>
      </c>
      <c r="AW428" s="219">
        <f>Tableau1517[[#This Row],[juin-24]]-Tableau1517[[#This Row],[avr-24]]</f>
        <v>6988</v>
      </c>
      <c r="AY428" s="18">
        <v>2117</v>
      </c>
      <c r="BB428" s="208"/>
      <c r="BD428" s="246"/>
    </row>
    <row r="429" spans="1:56" x14ac:dyDescent="0.3">
      <c r="A429" s="54"/>
      <c r="B429" s="533" t="s">
        <v>162</v>
      </c>
      <c r="C429" s="88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6">
        <v>0</v>
      </c>
      <c r="R429" s="6">
        <v>0</v>
      </c>
      <c r="S429" s="6">
        <v>0</v>
      </c>
      <c r="T429" s="6">
        <v>76701</v>
      </c>
      <c r="U429" s="6">
        <v>80867</v>
      </c>
      <c r="V429" s="6">
        <v>90476</v>
      </c>
      <c r="W429" s="6">
        <v>114274</v>
      </c>
      <c r="X429" s="6">
        <v>125171</v>
      </c>
      <c r="Y429" s="6">
        <v>131260</v>
      </c>
      <c r="Z429" s="6">
        <v>138594</v>
      </c>
      <c r="AA429" s="6">
        <v>142453</v>
      </c>
      <c r="AB429" s="6">
        <v>157455</v>
      </c>
      <c r="AC429" s="6">
        <v>168707</v>
      </c>
      <c r="AD429" s="6">
        <v>240701</v>
      </c>
      <c r="AE429" s="6">
        <v>259376</v>
      </c>
      <c r="AF429" s="6">
        <v>268983</v>
      </c>
      <c r="AG429" s="6">
        <v>272902</v>
      </c>
      <c r="AH429" s="6">
        <v>336513</v>
      </c>
      <c r="AI429" s="6">
        <v>0.23309099969952585</v>
      </c>
      <c r="AJ429" s="6">
        <v>63611</v>
      </c>
      <c r="AK429" s="6">
        <v>506813</v>
      </c>
      <c r="AL429" s="6">
        <v>660125</v>
      </c>
      <c r="AM429" s="6">
        <v>813740</v>
      </c>
      <c r="AN429" s="6">
        <v>856534</v>
      </c>
      <c r="AO429" s="6">
        <v>875219</v>
      </c>
      <c r="AP429" s="6">
        <v>975866</v>
      </c>
      <c r="AQ429" s="6">
        <v>1003098</v>
      </c>
      <c r="AR429" s="6">
        <v>1223900</v>
      </c>
      <c r="AS429" s="6">
        <v>1310136</v>
      </c>
      <c r="AT42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1325974</v>
      </c>
      <c r="AU429" s="233"/>
      <c r="AV429" s="208">
        <f>(Tableau1517[[#This Row],[juin-24]]-Tableau1517[[#This Row],[avr-24]])/Tableau1517[[#This Row],[avr-24]]</f>
        <v>1.2088821313207179E-2</v>
      </c>
      <c r="AW429" s="219">
        <f>Tableau1517[[#This Row],[juin-24]]-Tableau1517[[#This Row],[avr-24]]</f>
        <v>15838</v>
      </c>
      <c r="AY429" s="18">
        <v>1357</v>
      </c>
      <c r="BB429" s="208"/>
      <c r="BD429" s="246"/>
    </row>
    <row r="430" spans="1:56" x14ac:dyDescent="0.3">
      <c r="A430" s="54"/>
      <c r="B430" s="533" t="s">
        <v>187</v>
      </c>
      <c r="C430" s="88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303376</v>
      </c>
      <c r="AB430" s="6">
        <v>393861</v>
      </c>
      <c r="AC430" s="6">
        <v>398428</v>
      </c>
      <c r="AD430" s="6">
        <v>401862</v>
      </c>
      <c r="AE430" s="6">
        <v>401396</v>
      </c>
      <c r="AF430" s="6">
        <v>400725</v>
      </c>
      <c r="AG430" s="6">
        <v>399858</v>
      </c>
      <c r="AH430" s="6">
        <v>412242</v>
      </c>
      <c r="AI430" s="6">
        <v>3.0970994703119606E-2</v>
      </c>
      <c r="AJ430" s="6">
        <v>12384</v>
      </c>
      <c r="AK430" s="6">
        <v>687448</v>
      </c>
      <c r="AL430" s="6">
        <v>835248</v>
      </c>
      <c r="AM430" s="6">
        <v>1703169</v>
      </c>
      <c r="AN430" s="6">
        <v>1727365</v>
      </c>
      <c r="AO430" s="6">
        <v>1735363</v>
      </c>
      <c r="AP430" s="6">
        <v>1804760</v>
      </c>
      <c r="AQ430" s="6">
        <v>1809461</v>
      </c>
      <c r="AR430" s="6">
        <v>1807083</v>
      </c>
      <c r="AS430" s="6">
        <v>1845628</v>
      </c>
      <c r="AT43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1859699</v>
      </c>
      <c r="AU430" s="233"/>
      <c r="AV430" s="208">
        <f>(Tableau1517[[#This Row],[juin-24]]-Tableau1517[[#This Row],[avr-24]])/Tableau1517[[#This Row],[avr-24]]</f>
        <v>7.623963225525404E-3</v>
      </c>
      <c r="AW430" s="219">
        <f>Tableau1517[[#This Row],[juin-24]]-Tableau1517[[#This Row],[avr-24]]</f>
        <v>14071</v>
      </c>
      <c r="AY430" s="18">
        <v>466</v>
      </c>
      <c r="BB430" s="208"/>
      <c r="BD430" s="246"/>
    </row>
    <row r="431" spans="1:56" x14ac:dyDescent="0.3">
      <c r="A431" s="54"/>
      <c r="B431" s="533" t="s">
        <v>100</v>
      </c>
      <c r="C431" s="88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6">
        <v>2372507</v>
      </c>
      <c r="R431" s="6">
        <v>2388145</v>
      </c>
      <c r="S431" s="6">
        <v>2404230</v>
      </c>
      <c r="T431" s="6">
        <v>2427275</v>
      </c>
      <c r="U431" s="6">
        <v>2438709</v>
      </c>
      <c r="V431" s="6">
        <v>2450958</v>
      </c>
      <c r="W431" s="6">
        <v>2476640</v>
      </c>
      <c r="X431" s="6">
        <v>2513880</v>
      </c>
      <c r="Y431" s="6">
        <v>2534410</v>
      </c>
      <c r="Z431" s="6">
        <v>2545131</v>
      </c>
      <c r="AA431" s="6">
        <v>2560526</v>
      </c>
      <c r="AB431" s="6">
        <v>2572076</v>
      </c>
      <c r="AC431" s="6">
        <v>2666707</v>
      </c>
      <c r="AD431" s="6">
        <v>2820553</v>
      </c>
      <c r="AE431" s="6">
        <v>2860962</v>
      </c>
      <c r="AF431" s="6">
        <v>2870690</v>
      </c>
      <c r="AG431" s="6">
        <v>2890048</v>
      </c>
      <c r="AH431" s="6">
        <v>2929180</v>
      </c>
      <c r="AI431" s="6">
        <v>1.3540259538941914E-2</v>
      </c>
      <c r="AJ431" s="6">
        <v>39132</v>
      </c>
      <c r="AK431" s="6">
        <v>3178926</v>
      </c>
      <c r="AL431" s="6">
        <v>3203837</v>
      </c>
      <c r="AM431" s="6">
        <v>3965480</v>
      </c>
      <c r="AN431" s="6">
        <v>4055994</v>
      </c>
      <c r="AO431" s="6">
        <v>4061588</v>
      </c>
      <c r="AP431" s="6">
        <v>4120912</v>
      </c>
      <c r="AQ431" s="6">
        <v>4156164</v>
      </c>
      <c r="AR431" s="6">
        <v>4625188</v>
      </c>
      <c r="AS431" s="6">
        <v>5708545</v>
      </c>
      <c r="AT43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5785447</v>
      </c>
      <c r="AU431" s="233"/>
      <c r="AV431" s="208">
        <f>(Tableau1517[[#This Row],[juin-24]]-Tableau1517[[#This Row],[avr-24]])/Tableau1517[[#This Row],[avr-24]]</f>
        <v>1.3471383688838399E-2</v>
      </c>
      <c r="AW431" s="219">
        <f>Tableau1517[[#This Row],[juin-24]]-Tableau1517[[#This Row],[avr-24]]</f>
        <v>76902</v>
      </c>
      <c r="AY431" s="18">
        <v>-1127</v>
      </c>
      <c r="BB431" s="208"/>
      <c r="BD431" s="246"/>
    </row>
    <row r="432" spans="1:56" x14ac:dyDescent="0.3">
      <c r="A432" s="54"/>
      <c r="B432" s="533" t="s">
        <v>91</v>
      </c>
      <c r="C432" s="88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6" t="e">
        <v>#N/A</v>
      </c>
      <c r="R432" s="6" t="e">
        <v>#N/A</v>
      </c>
      <c r="S432" s="6" t="e">
        <v>#N/A</v>
      </c>
      <c r="T432" s="6" t="e">
        <v>#N/A</v>
      </c>
      <c r="U432" s="6" t="e">
        <v>#N/A</v>
      </c>
      <c r="V432" s="6" t="e">
        <v>#N/A</v>
      </c>
      <c r="W432" s="6" t="e">
        <v>#N/A</v>
      </c>
      <c r="X432" s="6" t="e">
        <v>#N/A</v>
      </c>
      <c r="Y432" s="6" t="e">
        <v>#N/A</v>
      </c>
      <c r="Z432" s="6" t="e">
        <v>#N/A</v>
      </c>
      <c r="AA432" s="6" t="e">
        <v>#N/A</v>
      </c>
      <c r="AB432" s="6" t="e">
        <v>#N/A</v>
      </c>
      <c r="AC432" s="6" t="e">
        <v>#N/A</v>
      </c>
      <c r="AD432" s="6" t="e">
        <v>#N/A</v>
      </c>
      <c r="AE432" s="6" t="e">
        <v>#N/A</v>
      </c>
      <c r="AF432" s="6" t="e">
        <v>#N/A</v>
      </c>
      <c r="AG432" s="6" t="e">
        <v>#N/A</v>
      </c>
      <c r="AH432" s="6" t="e">
        <v>#N/A</v>
      </c>
      <c r="AI432" s="6" t="e">
        <v>#N/A</v>
      </c>
      <c r="AJ432" s="6" t="e">
        <v>#N/A</v>
      </c>
      <c r="AK432" s="6">
        <v>481617</v>
      </c>
      <c r="AL432" s="6" t="e">
        <v>#N/A</v>
      </c>
      <c r="AM432" s="6" t="e">
        <v>#N/A</v>
      </c>
      <c r="AN432" s="6">
        <v>382196</v>
      </c>
      <c r="AO432" s="6">
        <v>387424</v>
      </c>
      <c r="AP432" s="6">
        <v>404968</v>
      </c>
      <c r="AQ432" s="6">
        <v>402605</v>
      </c>
      <c r="AR432" s="6">
        <v>421500</v>
      </c>
      <c r="AS432" s="6">
        <v>413032</v>
      </c>
      <c r="AT43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414601</v>
      </c>
      <c r="AU432" s="233"/>
      <c r="AV432" s="208">
        <f>(Tableau1517[[#This Row],[juin-24]]-Tableau1517[[#This Row],[avr-24]])/Tableau1517[[#This Row],[avr-24]]</f>
        <v>3.7987371438532608E-3</v>
      </c>
      <c r="AW432" s="219">
        <f>Tableau1517[[#This Row],[juin-24]]-Tableau1517[[#This Row],[avr-24]]</f>
        <v>1569</v>
      </c>
      <c r="AY432" s="18">
        <v>-1264</v>
      </c>
      <c r="BB432" s="208"/>
      <c r="BD432" s="246"/>
    </row>
    <row r="433" spans="1:56" x14ac:dyDescent="0.3">
      <c r="A433" s="175"/>
      <c r="B433" s="535" t="s">
        <v>403</v>
      </c>
      <c r="C433" s="149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6" t="e">
        <v>#N/A</v>
      </c>
      <c r="R433" s="6" t="e">
        <v>#N/A</v>
      </c>
      <c r="S433" s="6" t="e">
        <v>#N/A</v>
      </c>
      <c r="T433" s="6" t="e">
        <v>#N/A</v>
      </c>
      <c r="U433" s="6" t="e">
        <v>#N/A</v>
      </c>
      <c r="V433" s="6" t="e">
        <v>#N/A</v>
      </c>
      <c r="W433" s="6" t="e">
        <v>#N/A</v>
      </c>
      <c r="X433" s="6" t="e">
        <v>#N/A</v>
      </c>
      <c r="Y433" s="6"/>
      <c r="Z433" s="6" t="e">
        <v>#N/A</v>
      </c>
      <c r="AA433" s="6" t="e">
        <v>#N/A</v>
      </c>
      <c r="AB433" s="6" t="e">
        <v>#N/A</v>
      </c>
      <c r="AC433" s="6" t="e">
        <v>#N/A</v>
      </c>
      <c r="AD433" s="6" t="e">
        <v>#N/A</v>
      </c>
      <c r="AE433" s="6" t="e">
        <v>#N/A</v>
      </c>
      <c r="AF433" s="6" t="e">
        <v>#N/A</v>
      </c>
      <c r="AG433" s="6" t="e">
        <v>#N/A</v>
      </c>
      <c r="AH433" s="6" t="e">
        <v>#N/A</v>
      </c>
      <c r="AI433" s="6" t="e">
        <v>#N/A</v>
      </c>
      <c r="AJ433" s="6" t="e">
        <v>#N/A</v>
      </c>
      <c r="AK433" s="6" t="e">
        <v>#N/A</v>
      </c>
      <c r="AL433" s="6" t="e">
        <v>#N/A</v>
      </c>
      <c r="AM433" s="6" t="e">
        <v>#N/A</v>
      </c>
      <c r="AN433" s="6" t="e">
        <v>#N/A</v>
      </c>
      <c r="AO433" s="6" t="e">
        <v>#N/A</v>
      </c>
      <c r="AP433" s="6" t="e">
        <v>#REF!</v>
      </c>
      <c r="AQ433" s="6" t="e">
        <v>#N/A</v>
      </c>
      <c r="AR433" s="6" t="e">
        <v>#N/A</v>
      </c>
      <c r="AS433" s="6">
        <v>49230</v>
      </c>
      <c r="AT43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50525</v>
      </c>
      <c r="AU433" s="233"/>
      <c r="AV433" s="208">
        <f>(Tableau1517[[#This Row],[juin-24]]-Tableau1517[[#This Row],[avr-24]])/Tableau1517[[#This Row],[avr-24]]</f>
        <v>2.6305098517164331E-2</v>
      </c>
      <c r="AW433" s="219">
        <f>Tableau1517[[#This Row],[juin-24]]-Tableau1517[[#This Row],[avr-24]]</f>
        <v>1295</v>
      </c>
      <c r="AY433" s="18">
        <v>-2144</v>
      </c>
      <c r="BB433" s="208"/>
      <c r="BD433" s="246"/>
    </row>
    <row r="434" spans="1:56" x14ac:dyDescent="0.3">
      <c r="A434" s="54"/>
      <c r="B434" s="586" t="s">
        <v>264</v>
      </c>
      <c r="C434" s="88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>
        <v>109694</v>
      </c>
      <c r="AO434" s="6" t="e">
        <v>#N/A</v>
      </c>
      <c r="AP434" s="6" t="e">
        <v>#N/A</v>
      </c>
      <c r="AQ434" s="6" t="e">
        <v>#N/A</v>
      </c>
      <c r="AR434" s="6" t="e">
        <v>#N/A</v>
      </c>
      <c r="AS434" s="6">
        <v>330235</v>
      </c>
      <c r="AT434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336661</v>
      </c>
      <c r="AU434" s="233"/>
      <c r="AV434" s="208">
        <f>(Tableau1517[[#This Row],[juin-24]]-Tableau1517[[#This Row],[avr-24]])/Tableau1517[[#This Row],[avr-24]]</f>
        <v>1.9458870198495012E-2</v>
      </c>
      <c r="AW434" s="219">
        <f>Tableau1517[[#This Row],[juin-24]]-Tableau1517[[#This Row],[avr-24]]</f>
        <v>6426</v>
      </c>
      <c r="BB434" s="264"/>
      <c r="BD434" s="246"/>
    </row>
    <row r="435" spans="1:56" x14ac:dyDescent="0.3">
      <c r="A435" s="54"/>
      <c r="B435" s="533" t="s">
        <v>231</v>
      </c>
      <c r="C435" s="88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>
        <v>188597</v>
      </c>
      <c r="AO435" s="6">
        <v>192908</v>
      </c>
      <c r="AP435" s="6">
        <v>195781</v>
      </c>
      <c r="AQ435" s="6">
        <v>206338</v>
      </c>
      <c r="AR435" s="6">
        <v>225600</v>
      </c>
      <c r="AS435" s="6">
        <v>235168</v>
      </c>
      <c r="AT435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234821</v>
      </c>
      <c r="AU435" s="233"/>
      <c r="AV435" s="208">
        <f>(Tableau1517[[#This Row],[juin-24]]-Tableau1517[[#This Row],[avr-24]])/Tableau1517[[#This Row],[avr-24]]</f>
        <v>-1.4755408899169956E-3</v>
      </c>
      <c r="AW435" s="219">
        <f>Tableau1517[[#This Row],[juin-24]]-Tableau1517[[#This Row],[avr-24]]</f>
        <v>-347</v>
      </c>
      <c r="BB435" s="264"/>
      <c r="BD435" s="246"/>
    </row>
    <row r="436" spans="1:56" x14ac:dyDescent="0.3">
      <c r="A436" s="54"/>
      <c r="B436" s="533" t="s">
        <v>132</v>
      </c>
      <c r="C436" s="88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6" t="e">
        <v>#N/A</v>
      </c>
      <c r="R436" s="6" t="e">
        <v>#N/A</v>
      </c>
      <c r="S436" s="6" t="e">
        <v>#N/A</v>
      </c>
      <c r="T436" s="6" t="e">
        <v>#N/A</v>
      </c>
      <c r="U436" s="6" t="e">
        <v>#N/A</v>
      </c>
      <c r="V436" s="6" t="e">
        <v>#N/A</v>
      </c>
      <c r="W436" s="6" t="e">
        <v>#N/A</v>
      </c>
      <c r="X436" s="6" t="e">
        <v>#N/A</v>
      </c>
      <c r="Y436" s="6" t="e">
        <v>#N/A</v>
      </c>
      <c r="Z436" s="6" t="e">
        <v>#N/A</v>
      </c>
      <c r="AA436" s="6" t="e">
        <v>#N/A</v>
      </c>
      <c r="AB436" s="6" t="e">
        <v>#N/A</v>
      </c>
      <c r="AC436" s="6">
        <v>134343</v>
      </c>
      <c r="AD436" s="6" t="e">
        <v>#N/A</v>
      </c>
      <c r="AE436" s="6" t="e">
        <v>#N/A</v>
      </c>
      <c r="AF436" s="6" t="e">
        <v>#N/A</v>
      </c>
      <c r="AG436" s="6" t="e">
        <v>#N/A</v>
      </c>
      <c r="AH436" s="6" t="e">
        <v>#N/A</v>
      </c>
      <c r="AI436" s="6" t="e">
        <v>#N/A</v>
      </c>
      <c r="AJ436" s="6" t="e">
        <v>#N/A</v>
      </c>
      <c r="AK436" s="6">
        <v>150591</v>
      </c>
      <c r="AL436" s="6">
        <v>146385</v>
      </c>
      <c r="AM436" s="6">
        <v>164748</v>
      </c>
      <c r="AN436" s="6">
        <v>161212</v>
      </c>
      <c r="AO436" s="6">
        <v>154104</v>
      </c>
      <c r="AP436" s="6">
        <v>163777</v>
      </c>
      <c r="AQ436" s="6">
        <v>161232</v>
      </c>
      <c r="AR436" s="6">
        <v>172500</v>
      </c>
      <c r="AS436" s="6">
        <v>171217</v>
      </c>
      <c r="AT436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171466</v>
      </c>
      <c r="AU436" s="233"/>
      <c r="AV436" s="208">
        <f>(Tableau1517[[#This Row],[juin-24]]-Tableau1517[[#This Row],[avr-24]])/Tableau1517[[#This Row],[avr-24]]</f>
        <v>1.4542948422177704E-3</v>
      </c>
      <c r="AW436" s="219">
        <f>Tableau1517[[#This Row],[juin-24]]-Tableau1517[[#This Row],[avr-24]]</f>
        <v>249</v>
      </c>
      <c r="BB436" s="264"/>
      <c r="BD436" s="246"/>
    </row>
    <row r="437" spans="1:56" x14ac:dyDescent="0.3">
      <c r="A437" s="54"/>
      <c r="B437" s="533" t="s">
        <v>258</v>
      </c>
      <c r="C437" s="88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>
        <v>126485</v>
      </c>
      <c r="AO437" s="6">
        <v>134163</v>
      </c>
      <c r="AP437" s="6">
        <v>138385</v>
      </c>
      <c r="AQ437" s="6">
        <v>139282</v>
      </c>
      <c r="AR437" s="6">
        <v>141900</v>
      </c>
      <c r="AS437" s="6">
        <v>140514</v>
      </c>
      <c r="AT437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140698</v>
      </c>
      <c r="AU437" s="233"/>
      <c r="AV437" s="208">
        <f>(Tableau1517[[#This Row],[juin-24]]-Tableau1517[[#This Row],[avr-24]])/Tableau1517[[#This Row],[avr-24]]</f>
        <v>1.3094780591257811E-3</v>
      </c>
      <c r="AW437" s="219">
        <f>Tableau1517[[#This Row],[juin-24]]-Tableau1517[[#This Row],[avr-24]]</f>
        <v>184</v>
      </c>
      <c r="BB437" s="264"/>
      <c r="BD437" s="246"/>
    </row>
    <row r="438" spans="1:56" x14ac:dyDescent="0.3">
      <c r="A438" s="54"/>
      <c r="B438" s="535" t="s">
        <v>400</v>
      </c>
      <c r="C438" s="88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6" t="e">
        <v>#N/A</v>
      </c>
      <c r="R438" s="6" t="e">
        <v>#N/A</v>
      </c>
      <c r="S438" s="6" t="e">
        <v>#N/A</v>
      </c>
      <c r="T438" s="6" t="e">
        <v>#N/A</v>
      </c>
      <c r="U438" s="6" t="e">
        <v>#N/A</v>
      </c>
      <c r="V438" s="6" t="e">
        <v>#N/A</v>
      </c>
      <c r="W438" s="6" t="e">
        <v>#N/A</v>
      </c>
      <c r="X438" s="6" t="e">
        <v>#N/A</v>
      </c>
      <c r="Y438" s="6"/>
      <c r="Z438" s="6" t="e">
        <v>#N/A</v>
      </c>
      <c r="AA438" s="6" t="e">
        <v>#N/A</v>
      </c>
      <c r="AB438" s="6" t="e">
        <v>#N/A</v>
      </c>
      <c r="AC438" s="6" t="e">
        <v>#N/A</v>
      </c>
      <c r="AD438" s="6" t="e">
        <v>#N/A</v>
      </c>
      <c r="AE438" s="6" t="e">
        <v>#N/A</v>
      </c>
      <c r="AF438" s="6" t="e">
        <v>#N/A</v>
      </c>
      <c r="AG438" s="6" t="e">
        <v>#N/A</v>
      </c>
      <c r="AH438" s="6" t="e">
        <v>#N/A</v>
      </c>
      <c r="AI438" s="6" t="e">
        <v>#N/A</v>
      </c>
      <c r="AJ438" s="6" t="e">
        <v>#N/A</v>
      </c>
      <c r="AK438" s="6" t="e">
        <v>#N/A</v>
      </c>
      <c r="AL438" s="6" t="e">
        <v>#N/A</v>
      </c>
      <c r="AM438" s="6" t="e">
        <v>#N/A</v>
      </c>
      <c r="AN438" s="6" t="e">
        <v>#N/A</v>
      </c>
      <c r="AO438" s="6" t="e">
        <v>#N/A</v>
      </c>
      <c r="AP438" s="6" t="e">
        <v>#REF!</v>
      </c>
      <c r="AQ438" s="6" t="e">
        <v>#N/A</v>
      </c>
      <c r="AR438" s="6" t="e">
        <v>#N/A</v>
      </c>
      <c r="AS438" s="6">
        <v>8255</v>
      </c>
      <c r="AT438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26342</v>
      </c>
      <c r="AU438" s="233"/>
      <c r="AV438" s="208">
        <f>(Tableau1517[[#This Row],[juin-24]]-Tableau1517[[#This Row],[avr-24]])/Tableau1517[[#This Row],[avr-24]]</f>
        <v>2.1910357359176258</v>
      </c>
      <c r="AW438" s="219">
        <f>Tableau1517[[#This Row],[juin-24]]-Tableau1517[[#This Row],[avr-24]]</f>
        <v>18087</v>
      </c>
      <c r="BB438" s="264"/>
      <c r="BD438" s="246"/>
    </row>
    <row r="439" spans="1:56" x14ac:dyDescent="0.3">
      <c r="A439" s="54"/>
      <c r="B439" s="533" t="s">
        <v>204</v>
      </c>
      <c r="C439" s="88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>
        <v>43650</v>
      </c>
      <c r="AF439" s="6">
        <v>0</v>
      </c>
      <c r="AG439" s="6">
        <v>0</v>
      </c>
      <c r="AH439" s="6">
        <v>0</v>
      </c>
      <c r="AI439" s="6" t="e">
        <v>#DIV/0!</v>
      </c>
      <c r="AJ439" s="6">
        <v>0</v>
      </c>
      <c r="AK439" s="6">
        <v>0</v>
      </c>
      <c r="AL439" s="6">
        <v>311976</v>
      </c>
      <c r="AM439" s="6" t="e">
        <v>#REF!</v>
      </c>
      <c r="AN439" s="6" t="e">
        <v>#REF!</v>
      </c>
      <c r="AO439" s="6">
        <v>684000</v>
      </c>
      <c r="AP439" s="6">
        <v>946900</v>
      </c>
      <c r="AQ439" s="6">
        <v>984825</v>
      </c>
      <c r="AR439" s="6">
        <v>1595100</v>
      </c>
      <c r="AS439" s="6">
        <v>1759385</v>
      </c>
      <c r="AT439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2044507</v>
      </c>
      <c r="AU439" s="233"/>
      <c r="AV439" s="208">
        <f>(Tableau1517[[#This Row],[juin-24]]-Tableau1517[[#This Row],[avr-24]])/Tableau1517[[#This Row],[avr-24]]</f>
        <v>0.1620577645029371</v>
      </c>
      <c r="AW439" s="219">
        <f>Tableau1517[[#This Row],[juin-24]]-Tableau1517[[#This Row],[avr-24]]</f>
        <v>285122</v>
      </c>
      <c r="BB439" s="264"/>
      <c r="BD439" s="246"/>
    </row>
    <row r="440" spans="1:56" x14ac:dyDescent="0.3">
      <c r="A440" s="54"/>
      <c r="B440" s="533" t="s">
        <v>302</v>
      </c>
      <c r="C440" s="88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 t="e">
        <v>#N/A</v>
      </c>
      <c r="AP440" s="6" t="e">
        <v>#N/A</v>
      </c>
      <c r="AQ440" s="6" t="e">
        <v>#N/A</v>
      </c>
      <c r="AR440" s="6" t="e">
        <v>#N/A</v>
      </c>
      <c r="AS440" s="6">
        <v>205477</v>
      </c>
      <c r="AT440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324613</v>
      </c>
      <c r="AU440" s="233"/>
      <c r="AV440" s="208">
        <f>(Tableau1517[[#This Row],[juin-24]]-Tableau1517[[#This Row],[avr-24]])/Tableau1517[[#This Row],[avr-24]]</f>
        <v>0.57980211897195311</v>
      </c>
      <c r="AW440" s="219">
        <f>Tableau1517[[#This Row],[juin-24]]-Tableau1517[[#This Row],[avr-24]]</f>
        <v>119136</v>
      </c>
      <c r="BB440" s="264"/>
      <c r="BD440" s="246"/>
    </row>
    <row r="441" spans="1:56" x14ac:dyDescent="0.3">
      <c r="A441" s="54"/>
      <c r="B441" s="535" t="s">
        <v>230</v>
      </c>
      <c r="C441" s="88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/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27433</v>
      </c>
      <c r="AF441" s="6">
        <v>0</v>
      </c>
      <c r="AG441" s="6">
        <v>0</v>
      </c>
      <c r="AH441" s="6">
        <v>0</v>
      </c>
      <c r="AI441" s="6" t="e">
        <v>#DIV/0!</v>
      </c>
      <c r="AJ441" s="6">
        <v>0</v>
      </c>
      <c r="AK441" s="6" t="e">
        <v>#DIV/0!</v>
      </c>
      <c r="AL441" s="6">
        <v>0</v>
      </c>
      <c r="AM441" s="6">
        <v>370515</v>
      </c>
      <c r="AN441" s="6">
        <v>412686</v>
      </c>
      <c r="AO441" s="6">
        <v>419767</v>
      </c>
      <c r="AP441" s="6">
        <v>498653</v>
      </c>
      <c r="AQ441" s="6">
        <v>503444</v>
      </c>
      <c r="AR441" s="6">
        <v>668000</v>
      </c>
      <c r="AS441" s="6">
        <v>699900</v>
      </c>
      <c r="AT441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712564</v>
      </c>
      <c r="AU441" s="233"/>
      <c r="AV441" s="208">
        <f>(Tableau1517[[#This Row],[juin-24]]-Tableau1517[[#This Row],[avr-24]])/Tableau1517[[#This Row],[avr-24]]</f>
        <v>1.809401343049007E-2</v>
      </c>
      <c r="AW441" s="219">
        <f>Tableau1517[[#This Row],[juin-24]]-Tableau1517[[#This Row],[avr-24]]</f>
        <v>12664</v>
      </c>
      <c r="BB441" s="264"/>
      <c r="BD441" s="246"/>
    </row>
    <row r="442" spans="1:56" x14ac:dyDescent="0.3">
      <c r="A442" s="54"/>
      <c r="B442" s="533" t="s">
        <v>196</v>
      </c>
      <c r="C442" s="88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>
        <v>73551</v>
      </c>
      <c r="AC442" s="6">
        <v>85855</v>
      </c>
      <c r="AD442" s="6">
        <v>89882</v>
      </c>
      <c r="AE442" s="6">
        <v>90745</v>
      </c>
      <c r="AF442" s="6">
        <v>91016</v>
      </c>
      <c r="AG442" s="6">
        <v>94305</v>
      </c>
      <c r="AH442" s="6">
        <v>96152</v>
      </c>
      <c r="AI442" s="6">
        <v>1.9585387837336304E-2</v>
      </c>
      <c r="AJ442" s="6">
        <v>1847</v>
      </c>
      <c r="AK442" s="6">
        <v>102305</v>
      </c>
      <c r="AL442" s="6">
        <v>104826</v>
      </c>
      <c r="AM442" s="6">
        <v>111763</v>
      </c>
      <c r="AN442" s="6">
        <v>112373</v>
      </c>
      <c r="AO442" s="6">
        <v>113765</v>
      </c>
      <c r="AP442" s="6">
        <v>121715</v>
      </c>
      <c r="AQ442" s="6">
        <v>122487</v>
      </c>
      <c r="AR442" s="6">
        <v>141500</v>
      </c>
      <c r="AS442" s="6">
        <v>150893</v>
      </c>
      <c r="AT442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154260</v>
      </c>
      <c r="AU442" s="233"/>
      <c r="AV442" s="208">
        <f>(Tableau1517[[#This Row],[juin-24]]-Tableau1517[[#This Row],[avr-24]])/Tableau1517[[#This Row],[avr-24]]</f>
        <v>2.2313825028331333E-2</v>
      </c>
      <c r="AW442" s="219">
        <f>Tableau1517[[#This Row],[juin-24]]-Tableau1517[[#This Row],[avr-24]]</f>
        <v>3367</v>
      </c>
      <c r="BB442" s="264"/>
      <c r="BD442" s="246"/>
    </row>
    <row r="443" spans="1:56" ht="17.25" thickBot="1" x14ac:dyDescent="0.35">
      <c r="A443" s="54"/>
      <c r="B443" s="533" t="s">
        <v>146</v>
      </c>
      <c r="C443" s="88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6">
        <v>263738</v>
      </c>
      <c r="R443" s="6">
        <v>267274</v>
      </c>
      <c r="S443" s="6">
        <v>271157</v>
      </c>
      <c r="T443" s="6">
        <v>273932</v>
      </c>
      <c r="U443" s="6">
        <v>277811</v>
      </c>
      <c r="V443" s="6">
        <v>284138</v>
      </c>
      <c r="W443" s="6">
        <v>289279</v>
      </c>
      <c r="X443" s="6">
        <v>292446</v>
      </c>
      <c r="Y443" s="6">
        <v>299495</v>
      </c>
      <c r="Z443" s="6">
        <v>319304</v>
      </c>
      <c r="AA443" s="6">
        <v>321282</v>
      </c>
      <c r="AB443" s="6">
        <v>331964</v>
      </c>
      <c r="AC443" s="6">
        <v>381147</v>
      </c>
      <c r="AD443" s="6">
        <v>389295</v>
      </c>
      <c r="AE443" s="6">
        <v>391735</v>
      </c>
      <c r="AF443" s="6">
        <v>392440</v>
      </c>
      <c r="AG443" s="6">
        <v>399681</v>
      </c>
      <c r="AH443" s="6">
        <v>431206</v>
      </c>
      <c r="AI443" s="6">
        <v>7.8875403133999364E-2</v>
      </c>
      <c r="AJ443" s="6">
        <v>31525</v>
      </c>
      <c r="AK443" s="6">
        <v>562678</v>
      </c>
      <c r="AL443" s="6">
        <v>600089</v>
      </c>
      <c r="AM443" s="6">
        <v>897855</v>
      </c>
      <c r="AN443" s="6">
        <v>970876</v>
      </c>
      <c r="AO443" s="6">
        <v>994448</v>
      </c>
      <c r="AP443" s="6">
        <v>1192624</v>
      </c>
      <c r="AQ443" s="6">
        <v>1197558</v>
      </c>
      <c r="AR443" s="6">
        <v>1456600</v>
      </c>
      <c r="AS443" s="6">
        <v>1569650</v>
      </c>
      <c r="AT443" s="6">
        <f>VLOOKUP(Tableau1517[[#This Row],[Coureurs]],Tableau913[[FACEBOOK]:[juin-24]],45)+VLOOKUP(Tableau1517[[#This Row],[Coureurs]],Tableau1115[[INSTAGRAM]:[juin-24]],45)+VLOOKUP(Tableau1517[[#This Row],[Coureurs]],Tableau1014[[TWITTER]:[juin-24]],45)+VLOOKUP(Tableau1517[[#This Row],[Coureurs]],$B$269:$AW$381,45)</f>
        <v>1594331</v>
      </c>
      <c r="AU443" s="233"/>
      <c r="AV443" s="208">
        <f>(Tableau1517[[#This Row],[juin-24]]-Tableau1517[[#This Row],[avr-24]])/Tableau1517[[#This Row],[avr-24]]</f>
        <v>1.5723887490841908E-2</v>
      </c>
      <c r="AW443" s="219">
        <f>Tableau1517[[#This Row],[juin-24]]-Tableau1517[[#This Row],[avr-24]]</f>
        <v>24681</v>
      </c>
      <c r="BB443" s="264"/>
      <c r="BD443" s="246"/>
    </row>
    <row r="444" spans="1:56" ht="264.75" thickBot="1" x14ac:dyDescent="0.35">
      <c r="A444" s="176" t="s">
        <v>133</v>
      </c>
      <c r="B444" s="1"/>
      <c r="AV444" s="208"/>
      <c r="AW444" s="219"/>
    </row>
    <row r="445" spans="1:56" x14ac:dyDescent="0.3">
      <c r="A445" s="1"/>
      <c r="B445" s="1"/>
      <c r="Y445"/>
      <c r="Z445" s="245"/>
      <c r="AA445" s="246"/>
      <c r="AB445" s="245"/>
      <c r="AV445" s="208"/>
      <c r="AW445" s="219"/>
    </row>
    <row r="446" spans="1:56" ht="132.75" hidden="1" thickBot="1" x14ac:dyDescent="0.35">
      <c r="A446" s="177" t="s">
        <v>134</v>
      </c>
      <c r="B446" s="1"/>
      <c r="AV446" s="208"/>
      <c r="AW446" s="219"/>
    </row>
    <row r="447" spans="1:56" ht="17.25" thickBot="1" x14ac:dyDescent="0.35">
      <c r="A447"/>
      <c r="B447" s="1"/>
      <c r="AV447" s="208"/>
      <c r="AW447" s="219"/>
    </row>
    <row r="448" spans="1:56" ht="314.25" thickBot="1" x14ac:dyDescent="0.35">
      <c r="A448" s="178" t="s">
        <v>141</v>
      </c>
      <c r="B448" s="1"/>
      <c r="AV448" s="208"/>
      <c r="AW448" s="219"/>
    </row>
    <row r="449" spans="1:49" x14ac:dyDescent="0.3">
      <c r="A449"/>
      <c r="B449"/>
      <c r="Z449" s="245"/>
      <c r="AA449" s="245"/>
      <c r="AV449" s="208"/>
      <c r="AW449" s="219"/>
    </row>
    <row r="450" spans="1:49" ht="15" customHeight="1" x14ac:dyDescent="0.3">
      <c r="B450"/>
      <c r="AV450" s="208"/>
      <c r="AW450" s="219"/>
    </row>
    <row r="451" spans="1:49" x14ac:dyDescent="0.3">
      <c r="B451"/>
      <c r="AV451" s="208"/>
      <c r="AW451" s="219"/>
    </row>
    <row r="452" spans="1:49" x14ac:dyDescent="0.3">
      <c r="B452"/>
      <c r="AV452" s="208"/>
      <c r="AW452" s="219"/>
    </row>
    <row r="453" spans="1:49" x14ac:dyDescent="0.3">
      <c r="B453"/>
      <c r="AV453" s="208"/>
      <c r="AW453" s="219"/>
    </row>
    <row r="454" spans="1:49" x14ac:dyDescent="0.3">
      <c r="B454"/>
      <c r="AV454" s="208"/>
      <c r="AW454" s="219"/>
    </row>
    <row r="455" spans="1:49" x14ac:dyDescent="0.3">
      <c r="AV455" s="208"/>
      <c r="AW455" s="219"/>
    </row>
    <row r="456" spans="1:49" x14ac:dyDescent="0.3">
      <c r="AV456" s="208"/>
      <c r="AW456" s="219"/>
    </row>
    <row r="457" spans="1:49" x14ac:dyDescent="0.3">
      <c r="AV457" s="208"/>
      <c r="AW457" s="219"/>
    </row>
    <row r="458" spans="1:49" x14ac:dyDescent="0.3">
      <c r="AV458" s="208"/>
      <c r="AW458" s="219"/>
    </row>
    <row r="459" spans="1:49" x14ac:dyDescent="0.3">
      <c r="AV459" s="208"/>
      <c r="AW459" s="219"/>
    </row>
    <row r="460" spans="1:49" x14ac:dyDescent="0.3">
      <c r="AV460" s="208"/>
      <c r="AW460" s="268"/>
    </row>
    <row r="488" spans="1:2" x14ac:dyDescent="0.3">
      <c r="A488"/>
    </row>
    <row r="493" spans="1:2" x14ac:dyDescent="0.3">
      <c r="B493"/>
    </row>
  </sheetData>
  <sheetProtection selectLockedCells="1" selectUnlockedCells="1"/>
  <sortState xmlns:xlrd2="http://schemas.microsoft.com/office/spreadsheetml/2017/richdata2" ref="BB394:BC399">
    <sortCondition descending="1" ref="BC394:BC399"/>
  </sortState>
  <phoneticPr fontId="32" type="noConversion"/>
  <conditionalFormatting sqref="AI2:AI109">
    <cfRule type="colorScale" priority="43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I111:AI204">
    <cfRule type="colorScale" priority="437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I357:AI382 U246:U264 U266:U267 V265 U231:U235 U223:U224 U226:U227 U229 AI206:AI264 AI266:AI267 AJ265 U357:U382">
    <cfRule type="colorScale" priority="178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J2:AJ109">
    <cfRule type="colorScale" priority="433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J111:AJ204">
    <cfRule type="colorScale" priority="438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J357:AJ382 V246:V264 V266:V267 W265 V231:V235 V223:V224 V226:V227 V229 AJ206:AJ264 AJ266:AJ267 AK265 V357:V382">
    <cfRule type="colorScale" priority="180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M247:AU264 AV383 AM266:AU267 AN265:AV265 AV108 AM234:AU235 AW266:AW267 AM381:AU382 AM357:AP380 AR357:AU380 AW263:AW264 AW109 AW107 AW202:AW204 AW385:AW460">
    <cfRule type="colorScale" priority="422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M383:AU383 AV266:AV267 AW265 AV109 AV202:AV205 AV263:AV264 AV385:AV460">
    <cfRule type="colorScale" priority="42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2:AV106">
    <cfRule type="colorScale" priority="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107">
    <cfRule type="colorScale" priority="436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111:AV201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206:AV262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268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V385:AV460">
    <cfRule type="colorScale" priority="4247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AV384:AW384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W2:AW106">
    <cfRule type="colorScale" priority="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W111:AW201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W205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W206:AW262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W268">
    <cfRule type="colorScale" priority="1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B385:BB390 BB392 BB394:BB443">
    <cfRule type="colorScale" priority="4192">
      <colorScale>
        <cfvo type="min"/>
        <cfvo type="num" val="0"/>
        <cfvo type="max"/>
        <color rgb="FFF8696B"/>
        <color rgb="FFFCFCFF"/>
        <color rgb="FF63BE7B"/>
      </colorScale>
    </cfRule>
    <cfRule type="colorScale" priority="4193">
      <colorScale>
        <cfvo type="min"/>
        <cfvo type="num" val="0"/>
        <cfvo type="max"/>
        <color rgb="FFF8696B"/>
        <color theme="0"/>
        <color rgb="FF63BE7B"/>
      </colorScale>
    </cfRule>
  </conditionalFormatting>
  <hyperlinks>
    <hyperlink ref="B129" r:id="rId1" xr:uid="{E6A03EE4-E1B2-48D4-A5D9-CD5D310116A7}"/>
    <hyperlink ref="B158" r:id="rId2" xr:uid="{1CA623F8-1614-40A7-AFA8-797D6EF850B7}"/>
    <hyperlink ref="B178" r:id="rId3" xr:uid="{A9847024-181E-4536-8D69-E74667A10C67}"/>
    <hyperlink ref="B167" r:id="rId4" xr:uid="{E351406F-FC61-490E-95DB-6E93D80C5A61}"/>
    <hyperlink ref="B170" r:id="rId5" xr:uid="{E777B2B8-D387-4BC4-81BF-6D064F690E3E}"/>
    <hyperlink ref="B197" r:id="rId6" xr:uid="{EF0FF5CC-A1DA-4BA1-97A2-4F3A1A6186CE}"/>
    <hyperlink ref="B114" r:id="rId7" xr:uid="{A778118D-BC94-45E7-8626-18C42E1BD885}"/>
    <hyperlink ref="B142" r:id="rId8" xr:uid="{C2769320-876B-4DA2-8EF2-3C5B1C592C42}"/>
    <hyperlink ref="B171" r:id="rId9" xr:uid="{AB14268C-A89F-4943-B5BA-6267DFBFE893}"/>
    <hyperlink ref="B195" r:id="rId10" xr:uid="{463969F9-10B8-408A-B287-2857FE009F25}"/>
    <hyperlink ref="B140" r:id="rId11" xr:uid="{833FEE43-FBDB-47FF-91D6-AA15E2076B4E}"/>
    <hyperlink ref="B246" r:id="rId12" xr:uid="{C40AF380-389A-4BFC-B3A6-A78FC0F46287}"/>
    <hyperlink ref="B216" r:id="rId13" xr:uid="{D982B282-D625-4301-A7E8-58D7FEAD2F29}"/>
    <hyperlink ref="B250" r:id="rId14" xr:uid="{5D682CFC-0C1D-4065-B0AC-58C31981D3EC}"/>
    <hyperlink ref="B239" r:id="rId15" xr:uid="{55E8DB5D-246A-463C-B7C8-43D69EF8E219}"/>
    <hyperlink ref="B226" r:id="rId16" xr:uid="{DB51B516-935A-4906-92FD-BE14509EDACB}"/>
    <hyperlink ref="B235" r:id="rId17" xr:uid="{4BB0A730-601A-4734-B539-AA4BCCB4244A}"/>
    <hyperlink ref="B139" r:id="rId18" xr:uid="{028BDCE2-5F1B-45EC-A4A6-9DE3404B9DD8}"/>
    <hyperlink ref="B200" r:id="rId19" display="https://twitter.com/WoutvanAert?lang=fr" xr:uid="{348228AE-DFBD-4C94-8E74-B0FEB1C32633}"/>
    <hyperlink ref="B122" r:id="rId20" display="https://twitter.com/BaukeMollema?lang=fr" xr:uid="{89085227-98A8-44DA-8C47-8A39CA04BA70}"/>
    <hyperlink ref="B241" r:id="rId21" display="https://www.instagram.com/mathieuvanderpoel/?hl=fr" xr:uid="{E98A9572-5421-4E9E-9124-3B6F70E4EF64}"/>
    <hyperlink ref="B262" r:id="rId22" display="https://www.instagram.com/woutvanaert/?hl=fr" xr:uid="{19E39004-9400-488D-9445-96F3548E1352}"/>
    <hyperlink ref="B222" r:id="rId23" display="https://www.instagram.com/eganbernal/?hl=fr" xr:uid="{B05E06F8-CE33-41AF-9303-F80F192722E6}"/>
    <hyperlink ref="B136" r:id="rId24" display="https://twitter.com/Eganbernal" xr:uid="{751AACD5-2F73-4FBD-BDBA-302B3A4F610C}"/>
    <hyperlink ref="B248" r:id="rId25" xr:uid="{1129D88B-96ED-44AB-A269-7E25B31C2504}"/>
    <hyperlink ref="B199" r:id="rId26" xr:uid="{5502A172-64EC-4AB7-B98E-03231D25A489}"/>
    <hyperlink ref="B79" r:id="rId27" xr:uid="{59E35D23-2FEB-499E-9946-5291CB4CC3A1}"/>
    <hyperlink ref="B176" r:id="rId28" xr:uid="{9831D507-FD56-4611-86B4-5AEFCE380C45}"/>
    <hyperlink ref="B249" r:id="rId29" xr:uid="{4EC98E1E-11BB-455A-AAE9-6A4109B1A6F3}"/>
    <hyperlink ref="B73" r:id="rId30" xr:uid="{7BF21A97-6EB1-479E-ABC0-8A570F55DBA7}"/>
    <hyperlink ref="B66" r:id="rId31" xr:uid="{F7BBBEC7-C4C7-48FF-A59A-C880D54B37CA}"/>
    <hyperlink ref="B54" r:id="rId32" xr:uid="{FA6176BE-37A7-48F2-BB7D-AEDC218954BD}"/>
    <hyperlink ref="B81" r:id="rId33" xr:uid="{2584B952-7372-4A0E-94A0-456C249A2959}"/>
    <hyperlink ref="B101" r:id="rId34" xr:uid="{A06BBF25-67E6-423D-99B6-7396FF311B15}"/>
    <hyperlink ref="B35" r:id="rId35" xr:uid="{8F58A14B-06A0-4CAA-B3E5-FA4B2AFDC519}"/>
    <hyperlink ref="B62" r:id="rId36" xr:uid="{FAC99612-F85C-4DFC-B0E2-4EF05706193E}"/>
    <hyperlink ref="B74" r:id="rId37" xr:uid="{1D58E3A5-D167-4464-9A39-8EC43B1AD0E0}"/>
    <hyperlink ref="B80" r:id="rId38" xr:uid="{2B0C2BDA-2FB3-456A-859C-7F7E463EECF2}"/>
    <hyperlink ref="B98" r:id="rId39" xr:uid="{D2D2B84E-D53E-49C4-8B66-370FBEF912C0}"/>
    <hyperlink ref="B68" r:id="rId40" xr:uid="{055A5A19-A623-43AB-BE66-241B9F1AF4F1}"/>
    <hyperlink ref="B102" r:id="rId41" xr:uid="{86429008-CBDA-41C8-B491-4AAF70EDC73B}"/>
    <hyperlink ref="B93" r:id="rId42" xr:uid="{5F2EB941-5630-4FF8-A11C-FF8A9957436E}"/>
    <hyperlink ref="B38" r:id="rId43" xr:uid="{3C9BB2DC-086B-4F08-9858-8C60A07B4B35}"/>
    <hyperlink ref="B45" r:id="rId44" xr:uid="{AAFA9060-02CC-4F10-A12B-E6BF50F425AA}"/>
    <hyperlink ref="B48" r:id="rId45" xr:uid="{D311B3EA-F91A-4442-A3DA-612063723ECA}"/>
    <hyperlink ref="B13" r:id="rId46" xr:uid="{6BA405DA-375D-4A14-8A80-76E70BD1C900}"/>
    <hyperlink ref="B77" r:id="rId47" display="https://www.facebook.com/rafalmajkaofficial/?ref=br_rs" xr:uid="{EB1F5A7B-351F-4C47-B074-962588530FB7}"/>
    <hyperlink ref="B56" r:id="rId48" display="https://www.facebook.com/mathieu.vanderpoel/" xr:uid="{D5356719-F0CC-48EC-AB92-BDF9BD86CFF6}"/>
    <hyperlink ref="B104" r:id="rId49" display="https://www.facebook.com/woutvaert/" xr:uid="{A347E172-F15E-40C3-BE5F-9D06FBFD0B22}"/>
    <hyperlink ref="B14" r:id="rId50" display="https://www.facebook.com/BaukeMollema/?ref=br_rs" xr:uid="{D499ABAF-3D59-4437-BA06-C110786944B0}"/>
    <hyperlink ref="B75" r:id="rId51" display="https://www.facebook.com/Pierre-Rolland-253970257954835/?ref=br_rs" xr:uid="{3CA870ED-4215-406E-B0C1-87E4E674190A}"/>
    <hyperlink ref="B31" r:id="rId52" xr:uid="{6EFEA327-3FD0-465B-9114-14DD9EA4F7BD}"/>
    <hyperlink ref="B5" r:id="rId53" xr:uid="{CEF14890-EB07-4725-BBC0-6A03B2568FE1}"/>
    <hyperlink ref="B78" r:id="rId54" xr:uid="{0AB7732D-4311-4E18-94EA-455D3A0DC2BB}"/>
    <hyperlink ref="B106" r:id="rId55" xr:uid="{C4C79F77-BF7E-4F9F-9060-6B8320283838}"/>
    <hyperlink ref="B16" r:id="rId56" xr:uid="{29355E38-CA03-47C2-A980-CDEFEBD93832}"/>
    <hyperlink ref="B28" r:id="rId57" xr:uid="{459E4A46-56D3-48C1-B0A2-6E2FFEFA746F}"/>
    <hyperlink ref="B10" r:id="rId58" xr:uid="{568207D1-92F6-4FF8-8F83-D5555FD78574}"/>
    <hyperlink ref="B59" r:id="rId59" xr:uid="{D1DE4303-AD61-48DB-BFE8-2D5F12F66628}"/>
    <hyperlink ref="B30" r:id="rId60" xr:uid="{74957B3B-78B7-42A9-B531-8C0D8901FB2C}"/>
    <hyperlink ref="B43" r:id="rId61" xr:uid="{5212EF6D-5E5C-414F-948F-74A7F35FD475}"/>
    <hyperlink ref="B119" r:id="rId62" xr:uid="{EDCE1CF5-8DBD-479A-8A7E-021FEC3E82FD}"/>
    <hyperlink ref="B247" r:id="rId63" display="Primoz Roglic " xr:uid="{B1469B4C-A591-47E4-A1EF-C708E78E1663}"/>
    <hyperlink ref="B76" r:id="rId64" xr:uid="{ACCA23F8-D3A8-4160-80B6-0090873D473D}"/>
    <hyperlink ref="B95" r:id="rId65" xr:uid="{8B56221A-4270-4B20-9701-E8B316BE4C41}"/>
    <hyperlink ref="B63" r:id="rId66" xr:uid="{CD3E6902-41F3-463C-B019-FE610CF33A9B}"/>
    <hyperlink ref="B8" r:id="rId67" xr:uid="{28DE6F53-2595-43DC-8B94-ACBE6DE2AF35}"/>
    <hyperlink ref="B24" r:id="rId68" xr:uid="{DB7E522E-97D6-46D3-AA8A-3136FC90D43C}"/>
    <hyperlink ref="B91" r:id="rId69" xr:uid="{EECAB4BD-1F27-441D-AD14-B08249EEB8A4}"/>
    <hyperlink ref="B94" r:id="rId70" xr:uid="{8A81BB26-F388-42F2-B4F6-A01263D16683}"/>
    <hyperlink ref="B97" r:id="rId71" xr:uid="{886E2F39-C34B-40E9-9191-19C8D311FC11}"/>
    <hyperlink ref="B19" r:id="rId72" xr:uid="{D4961799-2352-4F0E-82CA-199484E8CB69}"/>
    <hyperlink ref="B52" r:id="rId73" display="Mads Pedersen " xr:uid="{224C2268-AEDF-4F66-A0D8-52355E8974A5}"/>
    <hyperlink ref="B4" r:id="rId74" xr:uid="{201F6E56-E0EC-47EF-8E52-F88BBC1150C1}"/>
    <hyperlink ref="B103" r:id="rId75" xr:uid="{79E185C8-56E5-4D8C-860A-6664A91B169B}"/>
    <hyperlink ref="B22" r:id="rId76" xr:uid="{6FF1D810-8424-4FBF-AFBF-7E4DCE307C26}"/>
    <hyperlink ref="B44" r:id="rId77" xr:uid="{AF42369D-D529-48D4-A7EF-9AA0F67EB127}"/>
    <hyperlink ref="B46" r:id="rId78" xr:uid="{974D0E05-8DF4-4CBF-B126-D19541EDDF00}"/>
    <hyperlink ref="B23" r:id="rId79" xr:uid="{3369A472-2759-4AA0-B4AA-E9B2C1B47574}"/>
    <hyperlink ref="B49" r:id="rId80" display="https://www.facebook.com/Kasgreen95" xr:uid="{1D9C4B74-B893-48B9-BACD-B1403D8BDBDD}"/>
    <hyperlink ref="B39" r:id="rId81" display="https://www.facebook.com/martinguillaume09/" xr:uid="{C9728CF5-BBE3-4EED-8C77-BAF241F818CE}"/>
    <hyperlink ref="B21" r:id="rId82" display="https://www.facebook.com/Daniel-felipe-martinez-102493254700278" xr:uid="{4B7F03EB-2C53-4339-B17B-995CC259C37D}"/>
    <hyperlink ref="B11" r:id="rId83" display="https://www.facebook.com/AnthonyTurgis" xr:uid="{BBF5E6C9-680F-41A6-8A01-2A6B9C145D1D}"/>
    <hyperlink ref="B15" r:id="rId84" display="https://www.facebook.com/Ben-OConnor-1833800736697215/" xr:uid="{A8203DBF-A395-4441-BC72-62B4B02A2307}"/>
    <hyperlink ref="B96" r:id="rId85" display="https://www.facebook.com/tim.merlier" xr:uid="{5AD6E082-BD7B-407E-B83E-1E819A30093D}"/>
    <hyperlink ref="B61" r:id="rId86" xr:uid="{124E2F48-47BB-423D-BCC4-F9099EEFF190}"/>
    <hyperlink ref="B89" r:id="rId87" xr:uid="{BF96AF4F-3614-4117-BB2F-E2775D1CA6D3}"/>
    <hyperlink ref="B32" r:id="rId88" display="https://www.facebook.com/ethanhayter/" xr:uid="{89EA2924-69BB-41F0-A64B-1F8DD0D3BBDB}"/>
    <hyperlink ref="B55" r:id="rId89" display="https://www.facebook.com/matmohoric/" xr:uid="{EA79DE8C-AED2-4FC3-9BB8-571F957275B8}"/>
    <hyperlink ref="B36" r:id="rId90" xr:uid="{53528090-8C8E-4A3F-B32D-640F594CAF4B}"/>
    <hyperlink ref="B86" r:id="rId91" xr:uid="{17850E42-F185-44E2-9156-D80F2ED77601}"/>
    <hyperlink ref="B113" r:id="rId92" xr:uid="{A10D3D77-8473-4DBC-B51A-3C166DE2E018}"/>
    <hyperlink ref="B177" r:id="rId93" xr:uid="{3CCC9A81-F1DB-4BFA-AB13-C54E1C4CF15E}"/>
    <hyperlink ref="B163" r:id="rId94" xr:uid="{21526F4C-1A8B-4A67-9ECA-53EFB1A457BE}"/>
    <hyperlink ref="B144" r:id="rId95" xr:uid="{C79D7044-99F0-47FE-BC53-E34789F5FFEF}"/>
    <hyperlink ref="B168" r:id="rId96" xr:uid="{9C2A427B-4484-484C-BD8E-D0E187C0F552}"/>
    <hyperlink ref="B179" r:id="rId97" xr:uid="{023D477F-795C-4492-A3F4-C51215E701E3}"/>
    <hyperlink ref="B191" r:id="rId98" xr:uid="{81243ACE-6163-45A4-A9D5-FB69FC97CDBF}"/>
    <hyperlink ref="B150" r:id="rId99" xr:uid="{0ED01C61-1028-4C09-ADDE-B0A275E37900}"/>
    <hyperlink ref="B198" r:id="rId100" xr:uid="{2258024C-085E-4AA0-9E27-FDFE80F14CA2}"/>
    <hyperlink ref="B153" r:id="rId101" xr:uid="{BC9DB1D1-EA1F-4FE7-8CE5-89E5FD519D8A}"/>
    <hyperlink ref="B121" r:id="rId102" xr:uid="{D29530BA-3CCF-4473-8A4C-BCD708F4858D}"/>
    <hyperlink ref="B137" r:id="rId103" xr:uid="{978E2954-F5C3-42E9-9AA7-C8EA0C2AD95A}"/>
    <hyperlink ref="B115" r:id="rId104" xr:uid="{1B78E97B-5019-4CC0-BEF2-C88BE4C39297}"/>
    <hyperlink ref="B160" r:id="rId105" display="https://twitter.com/mathieuvdpoel?lang=fr" xr:uid="{D1DBDF82-C814-4DAD-AC05-0A9CB2178C3B}"/>
    <hyperlink ref="B164" r:id="rId106" xr:uid="{EC901CD4-5C90-4AC2-8218-441055408BCE}"/>
    <hyperlink ref="B117" r:id="rId107" xr:uid="{1CAE1E66-FD7B-4756-97AD-2B9254F586E0}"/>
    <hyperlink ref="B134" r:id="rId108" xr:uid="{68E4F4A8-F666-496F-87B9-E1E391F7ACA1}"/>
    <hyperlink ref="B174" r:id="rId109" xr:uid="{B967962F-DA04-42F1-99AC-3E32856F1A0F}"/>
    <hyperlink ref="B172" r:id="rId110" xr:uid="{F2762523-D18B-48EB-B14A-321477E5241C}"/>
    <hyperlink ref="B185" r:id="rId111" xr:uid="{AB0846C7-9448-45A1-BA94-7161DBB07732}"/>
    <hyperlink ref="B175" r:id="rId112" xr:uid="{2897B179-8873-445E-9085-EDA1B0356D52}"/>
    <hyperlink ref="B125" r:id="rId113" xr:uid="{DFB93FB3-AD1D-4D07-9EA8-D63C29FC4927}"/>
    <hyperlink ref="B201" r:id="rId114" xr:uid="{8BA6F480-EE55-4360-9520-5F3A6D747EEF}"/>
    <hyperlink ref="B188" r:id="rId115" xr:uid="{48EA2540-ADC7-47A2-A76B-79478749FEA2}"/>
    <hyperlink ref="B146" r:id="rId116" xr:uid="{E97F8200-3F7C-4FFE-8262-EBD456E1DA84}"/>
    <hyperlink ref="B196" r:id="rId117" xr:uid="{A1EC2440-220A-426C-A34D-E947BAEFAF36}"/>
    <hyperlink ref="B180" r:id="rId118" xr:uid="{272FE510-0EF1-42A3-8AAE-641F2F5527A8}"/>
    <hyperlink ref="B192" r:id="rId119" xr:uid="{5732F6BA-2C81-4C19-A6F2-4DEBA8666875}"/>
    <hyperlink ref="B194" r:id="rId120" xr:uid="{D7BE30CD-4573-42D3-A3AB-EED11DC0DEE8}"/>
    <hyperlink ref="B127" r:id="rId121" xr:uid="{842A7C48-BA07-4DBB-9910-5B0BA469F170}"/>
    <hyperlink ref="B138" r:id="rId122" xr:uid="{2028F4B2-DF8A-4B84-89FA-F22B2E247DFA}"/>
    <hyperlink ref="B148" r:id="rId123" xr:uid="{FA7A175D-030F-4E46-A9E3-C5D9B6B27E62}"/>
    <hyperlink ref="B173" r:id="rId124" display="Primoz Roglic " xr:uid="{E717664A-D5D5-4E18-96D5-C17387FB96FE}"/>
    <hyperlink ref="B156" r:id="rId125" xr:uid="{DF044600-6E51-4B29-B074-C95C206E3BE2}"/>
    <hyperlink ref="B193" r:id="rId126" xr:uid="{8D1BBB41-0C0B-40A0-A815-89C6103B6069}"/>
    <hyperlink ref="B184" r:id="rId127" xr:uid="{74B1290E-A940-4156-B94E-25381AC24225}"/>
    <hyperlink ref="B189" r:id="rId128" display="Tadej Pogačar" xr:uid="{D9D1E521-46D4-4FA0-B0BC-EBD8F06C7B8C}"/>
    <hyperlink ref="B111" r:id="rId129" xr:uid="{AD14C150-F29D-40EF-B528-AFC2F9452AFF}"/>
    <hyperlink ref="B149" r:id="rId130" xr:uid="{D95C8746-1C86-432F-A682-DF76877324A0}"/>
    <hyperlink ref="B147" r:id="rId131" xr:uid="{0C879A24-0DF4-4BD5-9BFF-4DC806D5DB80}"/>
    <hyperlink ref="B133" r:id="rId132" xr:uid="{5861F0B1-3D89-4678-9A2E-E8248B83ED16}"/>
    <hyperlink ref="B126" r:id="rId133" xr:uid="{CF71A08F-CC03-45B0-BE3B-68FFC71451F1}"/>
    <hyperlink ref="B132" r:id="rId134" xr:uid="{449EF025-D338-4CB6-9657-920D2D356C7D}"/>
    <hyperlink ref="B123" r:id="rId135" xr:uid="{13E78585-7D5C-486E-9F20-0A5CDBA9603C}"/>
    <hyperlink ref="B183" r:id="rId136" xr:uid="{19201A4B-006F-43A1-B7E6-314AD028AF5D}"/>
    <hyperlink ref="B186" r:id="rId137" xr:uid="{AC5842CA-0708-498F-8391-305FFDE2FBBC}"/>
    <hyperlink ref="B159" r:id="rId138" xr:uid="{9EA54339-1856-4217-A5E8-2AC10CCF5E3B}"/>
    <hyperlink ref="B157" r:id="rId139" xr:uid="{B72CDBBE-0EAC-4651-AED5-7685D6D862B8}"/>
    <hyperlink ref="B141" r:id="rId140" xr:uid="{45D5AB01-76B5-49E3-ADE5-F39A871D19F8}"/>
    <hyperlink ref="B124" r:id="rId141" xr:uid="{6CD334BC-A7EF-47E8-8B3F-290EE15A687D}"/>
    <hyperlink ref="B243" r:id="rId142" xr:uid="{6DDC69A2-E958-47D3-AC6D-9BB86ACF5ACE}"/>
    <hyperlink ref="B251" r:id="rId143" xr:uid="{B8B3221A-557C-4354-84F6-CB16EFEE49B6}"/>
    <hyperlink ref="B223" r:id="rId144" display="EliaViviani" xr:uid="{6E4A18E0-5125-4131-B4EA-F6F749FBAA34}"/>
    <hyperlink ref="B255" r:id="rId145" display="https://www.instagram.com/simonyatess/?hl=fr" xr:uid="{6AA0B88C-5AAD-44EA-94D2-0CDA3951CC87}"/>
    <hyperlink ref="B244" r:id="rId146" xr:uid="{FB659FE7-C36A-4AE8-B815-5A1A0ED0E0C5}"/>
    <hyperlink ref="B220" r:id="rId147" xr:uid="{26786AB5-801E-4DEF-B340-281C100311D5}"/>
    <hyperlink ref="B209" r:id="rId148" xr:uid="{E5472666-2285-48CB-A76C-DA75FE06445C}"/>
    <hyperlink ref="B261" r:id="rId149" xr:uid="{D7C2A657-E979-451B-B5D3-456B01F465B6}"/>
    <hyperlink ref="B214" r:id="rId150" xr:uid="{A6B8E5DA-BCF5-4A93-92A0-5D2D09716B4B}"/>
    <hyperlink ref="B224" r:id="rId151" xr:uid="{BD061402-8579-4107-A15E-D2E45A1691C3}"/>
    <hyperlink ref="B230" r:id="rId152" xr:uid="{6638B646-32CD-4310-A1CE-6AB5808E5BFD}"/>
    <hyperlink ref="B237" r:id="rId153" xr:uid="{A2B37EA2-9C8E-4D63-BE3A-9F8A8BDD6818}"/>
    <hyperlink ref="B260" r:id="rId154" xr:uid="{5A1E552C-D2DD-40F4-9517-3200F9D5365E}"/>
    <hyperlink ref="B254" r:id="rId155" xr:uid="{354E96D9-A23C-4D63-8291-295F589F8A72}"/>
    <hyperlink ref="B206" r:id="rId156" xr:uid="{2898BA49-7D15-46B8-B3DF-E9E7DA7708B8}"/>
    <hyperlink ref="B231" r:id="rId157" xr:uid="{67FE9363-CE18-44E0-BA0C-82BE13E33221}"/>
    <hyperlink ref="B232" r:id="rId158" xr:uid="{1F6E2C72-55C6-4C52-9A89-6461E0164105}"/>
    <hyperlink ref="B229" r:id="rId159" xr:uid="{59CAE242-15C4-4A33-AE51-8AF206C2C75C}"/>
    <hyperlink ref="B219" r:id="rId160" xr:uid="{08FCD627-EFDE-4860-8A5F-758217488AE2}"/>
    <hyperlink ref="B213" r:id="rId161" xr:uid="{5596A8B1-BD6B-4398-9C9D-3CF4879C0BD3}"/>
    <hyperlink ref="B218" r:id="rId162" display="Daniel Felipe Martniez" xr:uid="{FA3DBDD6-F35F-4FDE-89FC-D524B21F126A}"/>
    <hyperlink ref="B211" r:id="rId163" xr:uid="{EA93E12C-7492-4416-9CB2-F85C1870A047}"/>
    <hyperlink ref="B253" r:id="rId164" xr:uid="{5478C394-A48D-46BE-8DE0-640AAF7A2C06}"/>
    <hyperlink ref="B256" r:id="rId165" xr:uid="{70750870-A354-484E-9E36-1E938B3C25CC}"/>
    <hyperlink ref="B208" r:id="rId166" xr:uid="{ADDC7F33-EC6F-4DDA-AD36-9BE39B71339D}"/>
    <hyperlink ref="B240" r:id="rId167" xr:uid="{AA6F4B09-58A9-49A6-BDE2-8E3E8E36F59E}"/>
    <hyperlink ref="B238" r:id="rId168" xr:uid="{F596349A-CF13-4242-90C2-135CBFBC8A51}"/>
    <hyperlink ref="B225" r:id="rId169" xr:uid="{90529FAD-8D70-482D-8F3C-8FBE7B14CA1A}"/>
    <hyperlink ref="B99" r:id="rId170" xr:uid="{1719C441-E78F-44A6-AAF8-DF43902FCB3B}"/>
    <hyperlink ref="B88" r:id="rId171" xr:uid="{5D711A0E-E344-4D2E-BCC9-25490D7886B2}"/>
    <hyperlink ref="B41" r:id="rId172" xr:uid="{BC63581F-6AFC-482E-B6DA-F86C418480A7}"/>
    <hyperlink ref="B135" r:id="rId173" xr:uid="{9327C561-21D1-45A3-8197-98236DDA5179}"/>
    <hyperlink ref="B90" r:id="rId174" xr:uid="{2264B201-8F9F-432F-8250-28036DE827D5}"/>
    <hyperlink ref="B405" r:id="rId175" xr:uid="{9E09ED09-2A59-4202-ACE7-8955D494E443}"/>
    <hyperlink ref="B418" r:id="rId176" xr:uid="{AE149C92-3E64-40FC-8FB3-61CD1E358568}"/>
    <hyperlink ref="B420" r:id="rId177" xr:uid="{162F8FC1-C6B2-4CF2-8B4E-A3854C547200}"/>
    <hyperlink ref="B387" r:id="rId178" xr:uid="{1B51E59F-1646-4CC8-B221-28DFD94072C9}"/>
    <hyperlink ref="B437" r:id="rId179" xr:uid="{4AA50C2B-690C-4134-AFB8-94E4B0D996A4}"/>
    <hyperlink ref="B411" r:id="rId180" xr:uid="{69B13059-94DF-4A9A-86AE-E5673C357A37}"/>
    <hyperlink ref="B412" r:id="rId181" xr:uid="{0D2F6470-03AA-45D4-9FF5-034639BC3D2B}"/>
    <hyperlink ref="B409" r:id="rId182" xr:uid="{310AAED9-5D84-4BFC-BE5C-B4BE0BC6F4E4}"/>
    <hyperlink ref="B398" r:id="rId183" xr:uid="{D4B55184-CF3F-427C-87AC-5DC9403F7651}"/>
    <hyperlink ref="B392" r:id="rId184" xr:uid="{B33F5A7A-8DCC-4951-9D60-4F29E3DDB984}"/>
    <hyperlink ref="B397" r:id="rId185" display="Daniel Felipe Martniez" xr:uid="{69B5BF04-2F10-4287-A1A3-246B70D1599D}"/>
    <hyperlink ref="B390" r:id="rId186" xr:uid="{7C445C25-77FC-4CEF-9B81-1455C563F218}"/>
    <hyperlink ref="B434" r:id="rId187" xr:uid="{F528E848-CE45-4746-8199-8F708FCC0936}"/>
    <hyperlink ref="B287" r:id="rId188" xr:uid="{1BFB653A-3693-4C5F-9132-08A7F66B7BE8}"/>
    <hyperlink ref="B53" r:id="rId189" xr:uid="{995BB22C-111B-4F9B-B7F6-5F821D4F0CDD}"/>
    <hyperlink ref="B40" r:id="rId190" xr:uid="{B503C651-F89F-4A32-8A1E-28623BAC7B1D}"/>
    <hyperlink ref="B324" r:id="rId191" xr:uid="{D2CCD05C-4478-49F0-A7DB-4B77844D5600}"/>
    <hyperlink ref="B131" r:id="rId192" xr:uid="{05BF46D5-E783-4CFF-9B5C-1603F8CCC7B4}"/>
    <hyperlink ref="B37" r:id="rId193" xr:uid="{6BB4B456-A300-4075-A1CC-F7B101378AB9}"/>
    <hyperlink ref="B143" r:id="rId194" xr:uid="{B4B2FF4D-2B33-4B12-AEC9-9C656284658F}"/>
    <hyperlink ref="B227" r:id="rId195" xr:uid="{A6EEC589-60D8-43E7-990A-473CE735FF37}"/>
    <hyperlink ref="B18" r:id="rId196" xr:uid="{B5A5EB3A-7470-4F92-9572-BA30F6DEC879}"/>
    <hyperlink ref="B212" r:id="rId197" xr:uid="{8CA2F949-2EF3-4D8C-8AF3-846CDB07B2C2}"/>
    <hyperlink ref="B3" r:id="rId198" xr:uid="{82E12BC5-2B6C-4070-85F5-F50091D5C123}"/>
    <hyperlink ref="B112" r:id="rId199" xr:uid="{69D17F61-A827-4E3C-89ED-E439BD0D9CDD}"/>
    <hyperlink ref="B207" r:id="rId200" xr:uid="{290D656B-75FC-4B51-A700-D4857207DA71}"/>
    <hyperlink ref="B259" r:id="rId201" display="Tao Geoghegan" xr:uid="{41B3A9D0-C17B-4AAE-B1EB-1B71027AE070}"/>
    <hyperlink ref="B190" r:id="rId202" display="Tao Geoghegan" xr:uid="{6BAE1333-4692-4722-9192-28B299E7B849}"/>
    <hyperlink ref="B296" r:id="rId203" xr:uid="{0A2612D0-9415-4B00-AB04-567377E03353}"/>
    <hyperlink ref="B345" r:id="rId204" xr:uid="{ACA0E037-F14D-483D-B447-E7DAFDDFA532}"/>
    <hyperlink ref="B155" r:id="rId205" xr:uid="{6F776C89-31C8-408D-B414-AE7CCB862E14}"/>
    <hyperlink ref="B51" r:id="rId206" xr:uid="{2E02BAA2-AB6E-4B3D-8AEB-4467DFE20518}"/>
    <hyperlink ref="B9" r:id="rId207" xr:uid="{D497B1CE-D117-4708-80EF-FB5E8BC88545}"/>
    <hyperlink ref="B118" r:id="rId208" xr:uid="{F4280AEB-0E11-4B4A-9BA2-498BF6ED7F97}"/>
    <hyperlink ref="B100" r:id="rId209" xr:uid="{ABAE68FA-0BED-4438-9103-80F092379EFA}"/>
    <hyperlink ref="B57" r:id="rId210" xr:uid="{A4D826C1-C85A-4908-AB9B-DB2415BD1E19}"/>
    <hyperlink ref="B161" r:id="rId211" xr:uid="{D0FE26A3-C854-4804-AC04-35ECACE60849}"/>
    <hyperlink ref="B145" r:id="rId212" xr:uid="{2020B593-B207-43C6-8732-6ECF641D4B45}"/>
    <hyperlink ref="B228" r:id="rId213" xr:uid="{B966BA03-5CC0-4DE4-AF61-0FF0528F8185}"/>
    <hyperlink ref="B169" r:id="rId214" xr:uid="{BF35C803-BDEC-4F38-B3D0-1300A19AA2D7}"/>
    <hyperlink ref="B165" r:id="rId215" xr:uid="{A8F67741-3662-452F-954F-FF8FB80FDA63}"/>
    <hyperlink ref="B245" r:id="rId216" xr:uid="{B52F8CF5-614F-4B66-BD9B-688F6011D5B9}"/>
    <hyperlink ref="B67" r:id="rId217" xr:uid="{40D25CC3-CD53-4835-BF27-44C77146C2CB}"/>
    <hyperlink ref="B60" r:id="rId218" xr:uid="{C4D49721-8949-4291-A083-19875701B7AD}"/>
    <hyperlink ref="B65" r:id="rId219" xr:uid="{6E7645CE-5074-4234-A043-E25581391925}"/>
    <hyperlink ref="B166" r:id="rId220" xr:uid="{58A3F484-C902-4C39-AC9A-E58E73EA4C6E}"/>
    <hyperlink ref="B33" r:id="rId221" xr:uid="{0E6BB317-3054-4CA9-84E0-8F9ECD58C7D7}"/>
    <hyperlink ref="B71" r:id="rId222" xr:uid="{A7D34209-F924-4D53-8246-9C4EAD3CDDD3}"/>
    <hyperlink ref="B70" r:id="rId223" xr:uid="{F06454DD-A3EA-4BAC-A7B4-3CB4A3E64A2D}"/>
    <hyperlink ref="B87" r:id="rId224" xr:uid="{8686DCCC-F3F0-42A1-B895-0E338CB04351}"/>
    <hyperlink ref="B82" r:id="rId225" xr:uid="{6DEFFADE-3047-4DB1-8D36-8E87F9850869}"/>
    <hyperlink ref="B69" r:id="rId226" xr:uid="{E1770C71-24B2-4D22-BFE0-058BC9B9ED31}"/>
    <hyperlink ref="B29" r:id="rId227" xr:uid="{999FD9C9-DB8B-47A4-B035-79A3F5B6E765}"/>
    <hyperlink ref="B181" r:id="rId228" xr:uid="{CAA2D4A9-E30E-4734-986F-5B1B857AA3DB}"/>
    <hyperlink ref="B84" r:id="rId229" xr:uid="{7D5F80D1-5FEC-447E-A477-CB382BF9B776}"/>
    <hyperlink ref="B92" r:id="rId230" xr:uid="{2586915E-DD27-487B-B463-D651C07D3F1B}"/>
    <hyperlink ref="B258" r:id="rId231" xr:uid="{77D0AD43-24E6-4EB0-A073-148342C3783D}"/>
    <hyperlink ref="B221" r:id="rId232" xr:uid="{86ABE1CC-B296-4354-814D-0EE12C000EB6}"/>
    <hyperlink ref="B116" r:id="rId233" xr:uid="{66D44A98-8B22-4DC9-9C86-DD599A3FE880}"/>
    <hyperlink ref="AX65" r:id="rId234" xr:uid="{3A19FA27-9D51-4E86-B3EB-AF9AB2963954}"/>
    <hyperlink ref="AX91" r:id="rId235" xr:uid="{51A4E6F1-7321-40AA-A14C-BA1924EF7260}"/>
    <hyperlink ref="AX92" r:id="rId236" xr:uid="{0814B2CB-B136-45D0-917F-A0BE6EEFA56C}"/>
    <hyperlink ref="AX93" r:id="rId237" xr:uid="{1C01D107-D23A-489B-9DAA-32EF14573CD1}"/>
    <hyperlink ref="AX94" r:id="rId238" xr:uid="{1A4FC16F-828B-402A-AEDD-F2269285B111}"/>
    <hyperlink ref="AX95" r:id="rId239" xr:uid="{7BCA32A6-BD12-4A7B-8EA9-67502347C45C}"/>
    <hyperlink ref="AX96" r:id="rId240" xr:uid="{046DCF4F-3570-498D-8B32-902B2340E454}"/>
    <hyperlink ref="AX97" r:id="rId241" xr:uid="{E9B8C6E8-E75A-4E86-A28F-28568770C425}"/>
    <hyperlink ref="AX353" r:id="rId242" xr:uid="{7D66357E-9FE8-4F14-843E-290047618ECA}"/>
    <hyperlink ref="AX351" r:id="rId243" xr:uid="{C261CCCE-4082-40CC-8F9E-6B9981B2FBD8}"/>
    <hyperlink ref="AX326" r:id="rId244" xr:uid="{390E8836-B4B2-4731-804E-5908C9DEF2D7}"/>
    <hyperlink ref="AX375" r:id="rId245" xr:uid="{485363DF-F94B-476B-8379-81F5379DD583}"/>
    <hyperlink ref="AX350" r:id="rId246" xr:uid="{AD7D962B-3285-43F2-B97E-BDC47B1CBFF6}"/>
    <hyperlink ref="AX306" r:id="rId247" xr:uid="{727F5D8D-B78A-4A13-B4A6-147DF8C75739}"/>
    <hyperlink ref="AX378" r:id="rId248" xr:uid="{C5F3BBC0-6B8D-492B-8892-8F8E23ED9E00}"/>
    <hyperlink ref="AX367" r:id="rId249" xr:uid="{470BA5A4-2EC8-40FB-A2A8-E84287D7D7E5}"/>
    <hyperlink ref="AX271" r:id="rId250" xr:uid="{DF57518E-9BB6-4CE3-8F51-B3325140E5AC}"/>
    <hyperlink ref="AX318" r:id="rId251" display="https://www.tiktok.com/@jonasvingegaard" xr:uid="{5516F32B-9831-4072-BA0B-9512FD9ECA05}"/>
    <hyperlink ref="AX292" r:id="rId252" display="https://www.tiktok.com/@davidgauduoff" xr:uid="{624EC305-804E-4647-89EE-7C3C57581F70}"/>
    <hyperlink ref="AX270" r:id="rId253" xr:uid="{CB2B2182-FBFF-4AC2-8F63-76882677FA86}"/>
    <hyperlink ref="AX312" r:id="rId254" display="https://www.tiktok.com/@hindleygoat" xr:uid="{646058F4-5DD2-4F42-B6EF-FFA52100A3A1}"/>
  </hyperlinks>
  <pageMargins left="0.7" right="0.7" top="0.75" bottom="0.75" header="0.3" footer="0.3"/>
  <pageSetup paperSize="9" orientation="portrait" r:id="rId255"/>
  <legacyDrawing r:id="rId256"/>
  <tableParts count="5">
    <tablePart r:id="rId257"/>
    <tablePart r:id="rId258"/>
    <tablePart r:id="rId259"/>
    <tablePart r:id="rId260"/>
    <tablePart r:id="rId2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Réseaux sociaux courses</vt:lpstr>
      <vt:lpstr>Réseaux sociaux équipes</vt:lpstr>
      <vt:lpstr>Réseaux sociaux coureurs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MICHAUD</dc:creator>
  <cp:lastModifiedBy>Nans BEBIN</cp:lastModifiedBy>
  <cp:lastPrinted>2015-02-27T18:00:25Z</cp:lastPrinted>
  <dcterms:created xsi:type="dcterms:W3CDTF">2015-02-03T09:11:30Z</dcterms:created>
  <dcterms:modified xsi:type="dcterms:W3CDTF">2024-06-25T08:11:56Z</dcterms:modified>
</cp:coreProperties>
</file>