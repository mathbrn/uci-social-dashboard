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ebin\Downloads\"/>
    </mc:Choice>
  </mc:AlternateContent>
  <xr:revisionPtr revIDLastSave="0" documentId="13_ncr:1_{74D3B172-0BAD-4D77-A8FF-01D828370A19}" xr6:coauthVersionLast="47" xr6:coauthVersionMax="47" xr10:uidLastSave="{00000000-0000-0000-0000-000000000000}"/>
  <bookViews>
    <workbookView xWindow="-120" yWindow="-120" windowWidth="29040" windowHeight="15720" xr2:uid="{D3E72D49-354F-4E09-9207-25F888A07245}"/>
  </bookViews>
  <sheets>
    <sheet name="Courses Femmes WT" sheetId="1" r:id="rId1"/>
    <sheet name="Équipes Femmes WT" sheetId="2" r:id="rId2"/>
    <sheet name="Réseaux Sociaux Coureus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3" l="1"/>
  <c r="C128" i="3"/>
  <c r="D128" i="3"/>
  <c r="B129" i="3"/>
  <c r="C129" i="3"/>
  <c r="D129" i="3"/>
  <c r="B130" i="3"/>
  <c r="C130" i="3"/>
  <c r="D130" i="3"/>
  <c r="B131" i="3"/>
  <c r="C131" i="3"/>
  <c r="D131" i="3"/>
  <c r="B132" i="3"/>
  <c r="C132" i="3"/>
  <c r="D132" i="3"/>
  <c r="B133" i="3"/>
  <c r="C133" i="3"/>
  <c r="D133" i="3"/>
  <c r="B134" i="3"/>
  <c r="C134" i="3"/>
  <c r="D134" i="3"/>
  <c r="B135" i="3"/>
  <c r="C135" i="3"/>
  <c r="D135" i="3"/>
  <c r="B136" i="3"/>
  <c r="C136" i="3"/>
  <c r="D136" i="3"/>
  <c r="B137" i="3"/>
  <c r="C137" i="3"/>
  <c r="D137" i="3"/>
  <c r="B138" i="3"/>
  <c r="C138" i="3"/>
  <c r="D138" i="3"/>
  <c r="B139" i="3"/>
  <c r="C139" i="3"/>
  <c r="D139" i="3"/>
  <c r="B140" i="3"/>
  <c r="C140" i="3"/>
  <c r="D140" i="3"/>
  <c r="B141" i="3"/>
  <c r="C141" i="3"/>
  <c r="D141" i="3"/>
  <c r="B142" i="3"/>
  <c r="C142" i="3"/>
  <c r="D142" i="3"/>
  <c r="B143" i="3"/>
  <c r="C143" i="3"/>
  <c r="D143" i="3"/>
  <c r="B144" i="3"/>
  <c r="C144" i="3"/>
  <c r="D144" i="3"/>
  <c r="B145" i="3"/>
  <c r="C145" i="3"/>
  <c r="D145" i="3"/>
  <c r="B146" i="3"/>
  <c r="C146" i="3"/>
  <c r="D146" i="3"/>
  <c r="B147" i="3"/>
  <c r="C147" i="3"/>
  <c r="D147" i="3"/>
  <c r="B148" i="3"/>
  <c r="C148" i="3"/>
  <c r="D148" i="3"/>
  <c r="B149" i="3"/>
  <c r="C149" i="3"/>
  <c r="D149" i="3"/>
  <c r="B150" i="3"/>
  <c r="C150" i="3"/>
  <c r="D150" i="3"/>
  <c r="B151" i="3"/>
  <c r="C151" i="3"/>
  <c r="D151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28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G2" i="3"/>
  <c r="F2" i="3"/>
  <c r="E88" i="2"/>
  <c r="E87" i="2"/>
  <c r="E86" i="2"/>
  <c r="E85" i="2"/>
  <c r="E84" i="2"/>
  <c r="E82" i="2"/>
  <c r="E81" i="2"/>
  <c r="E80" i="2"/>
  <c r="E79" i="2"/>
  <c r="E78" i="2"/>
  <c r="E91" i="2" s="1"/>
  <c r="C91" i="2"/>
  <c r="D91" i="2"/>
  <c r="B91" i="2"/>
  <c r="F118" i="1"/>
  <c r="F117" i="1"/>
  <c r="F115" i="1"/>
  <c r="F114" i="1"/>
  <c r="F113" i="1"/>
  <c r="F112" i="1"/>
  <c r="F109" i="1"/>
  <c r="F108" i="1"/>
  <c r="F104" i="1"/>
  <c r="F100" i="1"/>
  <c r="F126" i="1" s="1"/>
  <c r="F98" i="1"/>
  <c r="G167" i="3" l="1"/>
  <c r="H162" i="3"/>
  <c r="G161" i="3"/>
  <c r="G164" i="3"/>
  <c r="H163" i="3"/>
  <c r="G162" i="3"/>
  <c r="G163" i="3"/>
  <c r="G166" i="3"/>
  <c r="H165" i="3"/>
  <c r="H166" i="3"/>
  <c r="G165" i="3"/>
  <c r="H164" i="3"/>
  <c r="H161" i="3"/>
  <c r="H167" i="3"/>
  <c r="G130" i="3"/>
  <c r="G137" i="3"/>
  <c r="G134" i="3"/>
  <c r="G135" i="3"/>
  <c r="G145" i="3"/>
  <c r="G149" i="3"/>
  <c r="G153" i="3"/>
  <c r="G138" i="3"/>
  <c r="G142" i="3"/>
  <c r="G146" i="3"/>
  <c r="H128" i="3"/>
  <c r="G143" i="3"/>
  <c r="G147" i="3"/>
  <c r="G151" i="3"/>
  <c r="G155" i="3"/>
  <c r="G132" i="3"/>
  <c r="G129" i="3"/>
  <c r="G136" i="3"/>
  <c r="G144" i="3"/>
  <c r="G148" i="3"/>
  <c r="G152" i="3"/>
  <c r="G156" i="3"/>
  <c r="G133" i="3"/>
  <c r="G140" i="3"/>
  <c r="G158" i="3"/>
  <c r="G160" i="3"/>
  <c r="G154" i="3"/>
  <c r="G150" i="3"/>
  <c r="G157" i="3"/>
  <c r="H135" i="3"/>
  <c r="H142" i="3"/>
  <c r="H157" i="3"/>
  <c r="H129" i="3"/>
  <c r="H148" i="3"/>
  <c r="G159" i="3"/>
  <c r="H152" i="3"/>
  <c r="H146" i="3"/>
  <c r="H140" i="3"/>
  <c r="G141" i="3"/>
  <c r="H141" i="3"/>
  <c r="G131" i="3"/>
  <c r="H131" i="3"/>
  <c r="G139" i="3"/>
  <c r="H139" i="3"/>
  <c r="H151" i="3"/>
  <c r="H145" i="3"/>
  <c r="H134" i="3"/>
  <c r="G128" i="3"/>
  <c r="H156" i="3"/>
  <c r="H150" i="3"/>
  <c r="H144" i="3"/>
  <c r="H138" i="3"/>
  <c r="H133" i="3"/>
  <c r="H160" i="3"/>
  <c r="H155" i="3"/>
  <c r="H149" i="3"/>
  <c r="H143" i="3"/>
  <c r="H137" i="3"/>
  <c r="H132" i="3"/>
  <c r="H159" i="3"/>
  <c r="H154" i="3"/>
  <c r="H136" i="3"/>
  <c r="H158" i="3"/>
  <c r="H153" i="3"/>
  <c r="H147" i="3"/>
  <c r="H130" i="3"/>
</calcChain>
</file>

<file path=xl/sharedStrings.xml><?xml version="1.0" encoding="utf-8"?>
<sst xmlns="http://schemas.openxmlformats.org/spreadsheetml/2006/main" count="636" uniqueCount="106">
  <si>
    <t>Facebook</t>
  </si>
  <si>
    <t>Classement</t>
  </si>
  <si>
    <t>Evol. Mensuelle</t>
  </si>
  <si>
    <t>Evol. Vol</t>
  </si>
  <si>
    <t>Strade Bianche Donne</t>
  </si>
  <si>
    <t>WWT</t>
  </si>
  <si>
    <t>Tour des Flandres</t>
  </si>
  <si>
    <t>Tour de France Femmes avec Zwift</t>
  </si>
  <si>
    <t>Liège-Bastogne-Liège Femmes</t>
  </si>
  <si>
    <t>Ride London Classic</t>
  </si>
  <si>
    <t>Amstel Gold Race Ladies Edition</t>
  </si>
  <si>
    <t>La Flèche Wallone Féminine</t>
  </si>
  <si>
    <t>Women's Tour</t>
  </si>
  <si>
    <t>Deakin University Elite Women's Road Race</t>
  </si>
  <si>
    <t>Gent-Wevelgem</t>
  </si>
  <si>
    <t>Paris-Roubaix Femmes</t>
  </si>
  <si>
    <t>Vuelta a Burgos Feminas</t>
  </si>
  <si>
    <t>Exterioo Classic Brugge de Panne</t>
  </si>
  <si>
    <t>GP Lorient Agglomération - Trophée Ceratizit</t>
  </si>
  <si>
    <t>Tour of Scandinavia</t>
  </si>
  <si>
    <t>Simac Ladies Tour</t>
  </si>
  <si>
    <t>Miron Ronde van Drenthe</t>
  </si>
  <si>
    <t>Giro d'Italia Donne</t>
  </si>
  <si>
    <t>Tour of Guangxi</t>
  </si>
  <si>
    <t>Trofeo Alfredo Binda</t>
  </si>
  <si>
    <t>Vuelta Femenina</t>
  </si>
  <si>
    <t>Tour de Romandie Féminin</t>
  </si>
  <si>
    <t>Itzulia Women</t>
  </si>
  <si>
    <t>Tour of Chongming Island</t>
  </si>
  <si>
    <t>Santos Tour Down Under</t>
  </si>
  <si>
    <t>UAE Tour Women</t>
  </si>
  <si>
    <t>Omloop Het Nieuwsblad WE</t>
  </si>
  <si>
    <t>Tour de Suisse Women</t>
  </si>
  <si>
    <t>Twitter</t>
  </si>
  <si>
    <t>Instagram</t>
  </si>
  <si>
    <t>TOTAL</t>
  </si>
  <si>
    <t>mars-22</t>
  </si>
  <si>
    <t>août-22</t>
  </si>
  <si>
    <t>nov-22</t>
  </si>
  <si>
    <t>non dédié</t>
  </si>
  <si>
    <t>avr-24</t>
  </si>
  <si>
    <t>non actif</t>
  </si>
  <si>
    <t>pas de compte</t>
  </si>
  <si>
    <t>aout-22</t>
  </si>
  <si>
    <t>Movistar Team Women</t>
  </si>
  <si>
    <t>Team Jumbo-Visma</t>
  </si>
  <si>
    <t>Team Bikeexchange - Jayco</t>
  </si>
  <si>
    <t>Team DSM</t>
  </si>
  <si>
    <t>Canyon // SRAM Racing</t>
  </si>
  <si>
    <t>Human Powered Health</t>
  </si>
  <si>
    <t>Team SD Works</t>
  </si>
  <si>
    <t>FDJ Suez Futuroscope</t>
  </si>
  <si>
    <t>Uno-X Pro Cycling Team</t>
  </si>
  <si>
    <t>Ceratizit - WNT Pro Cycling Team</t>
  </si>
  <si>
    <t>Roland Cogeas Edelweiss Squad</t>
  </si>
  <si>
    <t>UAE Team ADQ</t>
  </si>
  <si>
    <t>TikTok</t>
  </si>
  <si>
    <t>aout 2022</t>
  </si>
  <si>
    <t>Lidl-Trek</t>
  </si>
  <si>
    <t xml:space="preserve">Team Visma | Lease a Bike </t>
  </si>
  <si>
    <t>Liv AlUla Jayco</t>
  </si>
  <si>
    <t>Fenix-Deceunink</t>
  </si>
  <si>
    <t>Fenix-Deceuninck</t>
  </si>
  <si>
    <t>AG Insurance-Soudal Team</t>
  </si>
  <si>
    <t>Marianne Vos</t>
  </si>
  <si>
    <t>Elizabeth Deignan</t>
  </si>
  <si>
    <t>Katarzyna Niewiadoma</t>
  </si>
  <si>
    <t>Cecilie Uttrup Ludwig</t>
  </si>
  <si>
    <t>Lucinda Brand</t>
  </si>
  <si>
    <t>Audrey Cordon-Ragot</t>
  </si>
  <si>
    <t>Floortje Mackaij</t>
  </si>
  <si>
    <t>Juliette Labous</t>
  </si>
  <si>
    <t>Mavi Garcia</t>
  </si>
  <si>
    <t>Amy Pieters</t>
  </si>
  <si>
    <t>Ashleigh Moolman</t>
  </si>
  <si>
    <t>Chiara Consonni</t>
  </si>
  <si>
    <t>Marta Bastianelli</t>
  </si>
  <si>
    <t>Ellen Van Dijk</t>
  </si>
  <si>
    <t>Marie Le Net</t>
  </si>
  <si>
    <t>Evita Muzic</t>
  </si>
  <si>
    <t>Elisa Longo Borghini</t>
  </si>
  <si>
    <t>Lorena Wiebes</t>
  </si>
  <si>
    <t>Lotte Kopecky</t>
  </si>
  <si>
    <t>Emma Norsgaard</t>
  </si>
  <si>
    <t>Marta Cavalli</t>
  </si>
  <si>
    <t>Marlen Reusser</t>
  </si>
  <si>
    <t>Amanda Spratt</t>
  </si>
  <si>
    <t>Lisa Brennauer</t>
  </si>
  <si>
    <t>Pauliena Rooijakkers</t>
  </si>
  <si>
    <t>Demi Vollering</t>
  </si>
  <si>
    <t>Eugénie Duval</t>
  </si>
  <si>
    <t>Niamh Fisher Black</t>
  </si>
  <si>
    <t>Kristen Faulkner</t>
  </si>
  <si>
    <t>Elisa Balsamo</t>
  </si>
  <si>
    <t>Elise Chabbey</t>
  </si>
  <si>
    <t>Grace Brown</t>
  </si>
  <si>
    <t>Liane Lippert</t>
  </si>
  <si>
    <t>Coureuse</t>
  </si>
  <si>
    <t>Evol. %</t>
  </si>
  <si>
    <t>Charlotte Kool</t>
  </si>
  <si>
    <t>Silvia Persico</t>
  </si>
  <si>
    <t>Shirin Van Anroij</t>
  </si>
  <si>
    <t>Chloe Dygert</t>
  </si>
  <si>
    <t>Daria Pikulik</t>
  </si>
  <si>
    <t>Gaia Realini</t>
  </si>
  <si>
    <t>Riejanne Markus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</si>
</sst>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66CC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17" fontId="0" fillId="0" borderId="0" xfId="0" applyNumberFormat="1"/>
    <xf numFmtId="0" fontId="2" fillId="2" borderId="0" xfId="0" applyFont="1" applyFill="1" applyAlignment="1">
      <alignment horizontal="left"/>
    </xf>
    <xf numFmtId="17" fontId="2" fillId="2" borderId="0" xfId="0" applyNumberFormat="1" applyFont="1" applyFill="1" applyAlignment="1">
      <alignment horizontal="left"/>
    </xf>
    <xf numFmtId="9" fontId="5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0" fontId="4" fillId="0" borderId="0" xfId="3"/>
    <xf numFmtId="3" fontId="0" fillId="0" borderId="0" xfId="0" applyNumberFormat="1"/>
    <xf numFmtId="164" fontId="0" fillId="0" borderId="0" xfId="1" applyNumberFormat="1" applyFont="1"/>
    <xf numFmtId="0" fontId="0" fillId="2" borderId="0" xfId="0" applyFill="1"/>
    <xf numFmtId="17" fontId="0" fillId="2" borderId="0" xfId="0" applyNumberFormat="1" applyFill="1"/>
    <xf numFmtId="0" fontId="0" fillId="0" borderId="4" xfId="0" applyBorder="1"/>
    <xf numFmtId="164" fontId="0" fillId="6" borderId="0" xfId="1" applyNumberFormat="1" applyFont="1" applyFill="1"/>
    <xf numFmtId="164" fontId="7" fillId="0" borderId="0" xfId="1" applyNumberFormat="1" applyFont="1"/>
    <xf numFmtId="164" fontId="0" fillId="6" borderId="4" xfId="1" applyNumberFormat="1" applyFont="1" applyFill="1" applyBorder="1"/>
    <xf numFmtId="0" fontId="3" fillId="0" borderId="3" xfId="0" applyFont="1" applyBorder="1"/>
    <xf numFmtId="164" fontId="3" fillId="0" borderId="5" xfId="1" applyNumberFormat="1" applyFont="1" applyBorder="1"/>
    <xf numFmtId="0" fontId="6" fillId="5" borderId="6" xfId="0" applyFont="1" applyFill="1" applyBorder="1"/>
    <xf numFmtId="164" fontId="0" fillId="5" borderId="6" xfId="1" applyNumberFormat="1" applyFont="1" applyFill="1" applyBorder="1"/>
    <xf numFmtId="0" fontId="2" fillId="7" borderId="0" xfId="0" applyFont="1" applyFill="1" applyAlignment="1">
      <alignment horizontal="left"/>
    </xf>
    <xf numFmtId="17" fontId="2" fillId="7" borderId="0" xfId="0" applyNumberFormat="1" applyFont="1" applyFill="1" applyAlignment="1">
      <alignment horizontal="left"/>
    </xf>
    <xf numFmtId="9" fontId="0" fillId="3" borderId="0" xfId="2" applyFont="1" applyFill="1" applyAlignment="1">
      <alignment horizontal="left"/>
    </xf>
    <xf numFmtId="0" fontId="4" fillId="0" borderId="2" xfId="3" applyBorder="1"/>
    <xf numFmtId="3" fontId="0" fillId="0" borderId="2" xfId="0" applyNumberFormat="1" applyBorder="1"/>
    <xf numFmtId="3" fontId="0" fillId="4" borderId="0" xfId="0" applyNumberFormat="1" applyFill="1"/>
    <xf numFmtId="165" fontId="0" fillId="0" borderId="0" xfId="2" applyNumberFormat="1" applyFont="1"/>
    <xf numFmtId="3" fontId="0" fillId="8" borderId="0" xfId="0" applyNumberFormat="1" applyFill="1"/>
    <xf numFmtId="0" fontId="4" fillId="4" borderId="2" xfId="3" applyFill="1" applyBorder="1"/>
    <xf numFmtId="3" fontId="0" fillId="4" borderId="2" xfId="0" applyNumberFormat="1" applyFill="1" applyBorder="1"/>
    <xf numFmtId="0" fontId="5" fillId="4" borderId="0" xfId="3" applyFont="1" applyFill="1" applyBorder="1"/>
    <xf numFmtId="0" fontId="5" fillId="0" borderId="0" xfId="3" applyFont="1" applyBorder="1"/>
    <xf numFmtId="0" fontId="5" fillId="4" borderId="0" xfId="0" applyFont="1" applyFill="1"/>
    <xf numFmtId="0" fontId="4" fillId="0" borderId="1" xfId="3" applyFill="1" applyBorder="1"/>
    <xf numFmtId="3" fontId="0" fillId="0" borderId="1" xfId="0" applyNumberFormat="1" applyBorder="1"/>
    <xf numFmtId="3" fontId="0" fillId="0" borderId="0" xfId="2" applyNumberFormat="1" applyFont="1"/>
    <xf numFmtId="9" fontId="0" fillId="0" borderId="0" xfId="2" applyFont="1"/>
    <xf numFmtId="0" fontId="4" fillId="0" borderId="7" xfId="3" applyFill="1" applyBorder="1"/>
    <xf numFmtId="0" fontId="0" fillId="0" borderId="0" xfId="2" applyNumberFormat="1" applyFont="1"/>
    <xf numFmtId="0" fontId="5" fillId="0" borderId="0" xfId="3" applyFont="1" applyFill="1" applyBorder="1"/>
    <xf numFmtId="0" fontId="2" fillId="9" borderId="0" xfId="0" applyFont="1" applyFill="1" applyAlignment="1">
      <alignment horizontal="left"/>
    </xf>
    <xf numFmtId="17" fontId="2" fillId="9" borderId="0" xfId="0" applyNumberFormat="1" applyFont="1" applyFill="1" applyAlignment="1">
      <alignment horizontal="left"/>
    </xf>
    <xf numFmtId="3" fontId="0" fillId="3" borderId="0" xfId="0" applyNumberFormat="1" applyFill="1"/>
    <xf numFmtId="0" fontId="4" fillId="0" borderId="0" xfId="3" applyFill="1" applyBorder="1"/>
    <xf numFmtId="3" fontId="5" fillId="0" borderId="0" xfId="0" applyNumberFormat="1" applyFont="1"/>
    <xf numFmtId="0" fontId="5" fillId="0" borderId="0" xfId="0" applyFont="1"/>
    <xf numFmtId="0" fontId="2" fillId="6" borderId="0" xfId="0" applyFont="1" applyFill="1"/>
    <xf numFmtId="17" fontId="2" fillId="6" borderId="0" xfId="0" applyNumberFormat="1" applyFont="1" applyFill="1"/>
    <xf numFmtId="9" fontId="0" fillId="3" borderId="0" xfId="2" applyFont="1" applyFill="1"/>
    <xf numFmtId="3" fontId="0" fillId="10" borderId="0" xfId="0" applyNumberFormat="1" applyFill="1"/>
    <xf numFmtId="3" fontId="0" fillId="6" borderId="0" xfId="0" applyNumberFormat="1" applyFill="1"/>
    <xf numFmtId="3" fontId="0" fillId="4" borderId="0" xfId="2" applyNumberFormat="1" applyFont="1" applyFill="1"/>
    <xf numFmtId="0" fontId="0" fillId="6" borderId="0" xfId="0" applyFill="1"/>
    <xf numFmtId="3" fontId="0" fillId="10" borderId="0" xfId="2" applyNumberFormat="1" applyFont="1" applyFill="1"/>
    <xf numFmtId="3" fontId="0" fillId="6" borderId="0" xfId="0" applyNumberFormat="1" applyFill="1" applyBorder="1"/>
    <xf numFmtId="1" fontId="0" fillId="6" borderId="0" xfId="2" applyNumberFormat="1" applyFont="1" applyFill="1"/>
    <xf numFmtId="165" fontId="0" fillId="6" borderId="0" xfId="2" applyNumberFormat="1" applyFont="1" applyFill="1"/>
    <xf numFmtId="3" fontId="5" fillId="6" borderId="0" xfId="0" applyNumberFormat="1" applyFont="1" applyFill="1"/>
    <xf numFmtId="3" fontId="7" fillId="10" borderId="0" xfId="2" applyNumberFormat="1" applyFont="1" applyFill="1"/>
    <xf numFmtId="3" fontId="0" fillId="6" borderId="0" xfId="2" applyNumberFormat="1" applyFont="1" applyFill="1"/>
    <xf numFmtId="3" fontId="0" fillId="6" borderId="1" xfId="0" applyNumberFormat="1" applyFill="1" applyBorder="1"/>
    <xf numFmtId="0" fontId="8" fillId="11" borderId="6" xfId="0" applyFont="1" applyFill="1" applyBorder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3" formatCode="#,##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fill>
        <patternFill>
          <fgColor indexed="64"/>
          <bgColor theme="1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 patternType="solid">
          <fgColor indexed="64"/>
          <bgColor rgb="FF00B0F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\-yy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\-yy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\-yy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\-yy"/>
      <fill>
        <patternFill patternType="solid">
          <fgColor indexed="64"/>
          <bgColor rgb="FF00B0F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\-yy"/>
    </dxf>
  </dxfs>
  <tableStyles count="1" defaultTableStyle="TableStyleMedium2" defaultPivotStyle="PivotStyleLight16">
    <tableStyle name="Style de tableau 1" pivot="0" count="0" xr9:uid="{F8019BF1-888F-44C5-BD91-1858D42C39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15BC9-99F5-425C-A0F5-4705899AFFF8}" name="Tableau2" displayName="Tableau2" ref="A1:F29" totalsRowShown="0" headerRowDxfId="54">
  <autoFilter ref="A1:F29" xr:uid="{45315BC9-99F5-425C-A0F5-4705899AFFF8}"/>
  <tableColumns count="6">
    <tableColumn id="1" xr3:uid="{08A894D3-9F11-497F-A211-F621F2651702}" name="Facebook"/>
    <tableColumn id="2" xr3:uid="{364D6B90-E987-471D-B0C7-AB82333FB208}" name="Classement"/>
    <tableColumn id="3" xr3:uid="{1E0CC026-8306-46B5-9063-9BADAB0702F0}" name="mars-22" dataDxfId="53" dataCellStyle="Milliers"/>
    <tableColumn id="4" xr3:uid="{B9DF67D8-41D2-487C-857C-5FB266E05D6B}" name="août-22" dataDxfId="52" dataCellStyle="Milliers"/>
    <tableColumn id="5" xr3:uid="{9D48172F-8404-487A-B8F6-66025D4A8A15}" name="nov-22" dataDxfId="51" dataCellStyle="Milliers"/>
    <tableColumn id="6" xr3:uid="{730735A8-906F-4FA3-9038-AEBE7141B3E3}" name="avr-24" dataDxfId="50" dataCellStyle="Milli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E301B-CBF0-4B06-B1F9-C5FB3F6E00D4}" name="Tableau3" displayName="Tableau3" ref="A33:F61" totalsRowShown="0" headerRowDxfId="49">
  <autoFilter ref="A33:F61" xr:uid="{F4EE301B-CBF0-4B06-B1F9-C5FB3F6E00D4}"/>
  <tableColumns count="6">
    <tableColumn id="1" xr3:uid="{59929E12-788C-4F06-A1D7-8D5ACDBFD0F6}" name="Twitter"/>
    <tableColumn id="2" xr3:uid="{6600B1A1-5EDA-4F4F-BDB5-795FCEC3F81D}" name="Classement"/>
    <tableColumn id="3" xr3:uid="{486759DB-1CE9-4A10-A457-E07FA5946CD6}" name="mars-22" dataDxfId="48" dataCellStyle="Milliers"/>
    <tableColumn id="4" xr3:uid="{B3C385F9-8A54-476C-91DF-44D4F8825A13}" name="août-22" dataDxfId="47" dataCellStyle="Milliers"/>
    <tableColumn id="5" xr3:uid="{0282CEBC-FE56-4CFC-8C9B-DBBF66EE851A}" name="nov-22" dataDxfId="46" dataCellStyle="Milliers"/>
    <tableColumn id="6" xr3:uid="{C9CB07BD-CFA1-4646-AC70-2D24ADE0DF56}" name="avr-24" dataDxfId="45" dataCellStyle="Millier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0864D3-AA4D-4B0C-A8BA-8AB4B05ECE26}" name="Tableau4" displayName="Tableau4" ref="A65:F93" totalsRowShown="0" headerRowDxfId="44">
  <autoFilter ref="A65:F93" xr:uid="{230864D3-AA4D-4B0C-A8BA-8AB4B05ECE26}"/>
  <tableColumns count="6">
    <tableColumn id="1" xr3:uid="{C2B60BD3-56EF-4BAF-AB7A-3AAEC79431B9}" name="Instagram"/>
    <tableColumn id="2" xr3:uid="{0DB32ADC-B565-4584-ACEB-6213BF241D0C}" name="Classement"/>
    <tableColumn id="3" xr3:uid="{7F376D81-145B-4CB1-9BC1-A51B87699B08}" name="mars-22" dataDxfId="43" dataCellStyle="Milliers"/>
    <tableColumn id="4" xr3:uid="{1DFE1C5F-DFD2-47C8-8E32-FAF86F9E5B99}" name="août-22" dataDxfId="42" dataCellStyle="Milliers"/>
    <tableColumn id="5" xr3:uid="{98263570-3E61-480E-8F8C-8EC363436194}" name="nov-22" dataDxfId="41" dataCellStyle="Milliers"/>
    <tableColumn id="6" xr3:uid="{D0EDB4DA-7399-4DF8-B738-4977F92D7E93}" name="avr-24" dataDxfId="40" dataCellStyle="Millier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1DF349-28FA-4277-9541-7639BEAFDCC3}" name="Tableau5" displayName="Tableau5" ref="A96:F124" totalsRowShown="0" headerRowDxfId="39">
  <autoFilter ref="A96:F124" xr:uid="{811DF349-28FA-4277-9541-7639BEAFDCC3}"/>
  <tableColumns count="6">
    <tableColumn id="1" xr3:uid="{E52E879F-0B0D-449D-996F-2BB71F5D763A}" name="TOTAL"/>
    <tableColumn id="2" xr3:uid="{0778772B-4A17-4320-BBA2-91D974A97908}" name="Classement"/>
    <tableColumn id="3" xr3:uid="{AB7B7A11-8FED-4B7A-9461-7A38C30C2E1D}" name="mars-22" dataDxfId="38" dataCellStyle="Milliers"/>
    <tableColumn id="4" xr3:uid="{434FE797-F65E-439F-8B2A-F8FD1A0B9CE2}" name="août-22" dataDxfId="37" dataCellStyle="Milliers"/>
    <tableColumn id="5" xr3:uid="{2868ED2C-9248-4448-BD17-84D63AFBB437}" name="nov-22" dataDxfId="36" dataCellStyle="Milliers"/>
    <tableColumn id="6" xr3:uid="{34F1B1BA-3DCC-4A53-9A45-0C74F4F39B97}" name="avr-24" dataDxfId="35" dataCellStyle="Millier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74902-319E-42DC-9FEF-F09C6C074730}" name="Tableau6" displayName="Tableau6" ref="A1:E16" totalsRowShown="0" headerRowDxfId="34">
  <autoFilter ref="A1:E16" xr:uid="{93974902-319E-42DC-9FEF-F09C6C074730}"/>
  <tableColumns count="5">
    <tableColumn id="1" xr3:uid="{E7D91D7C-2A2A-422A-BBCC-A5573BDB06F0}" name="Facebook"/>
    <tableColumn id="2" xr3:uid="{A4CC0067-66C8-41D7-80DF-3E81616BD7EB}" name="mars-22" dataDxfId="33" dataCellStyle="Milliers"/>
    <tableColumn id="3" xr3:uid="{6F294056-0D89-4B5F-861D-7049277B9DEB}" name="aout-22" dataDxfId="32" dataCellStyle="Milliers"/>
    <tableColumn id="4" xr3:uid="{840EB09C-F5F0-4652-B69B-55BE6829B45F}" name="nov-22" dataDxfId="31" dataCellStyle="Milliers"/>
    <tableColumn id="5" xr3:uid="{1B1D6192-237A-43A3-A10A-F509EBE85BDF}" name="avr-24" dataDxfId="30" dataCellStyle="Milli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D1B664-6728-4147-A6A0-AB8FE9AB2368}" name="Tableau7" displayName="Tableau7" ref="A19:E34" totalsRowShown="0" headerRowDxfId="29">
  <autoFilter ref="A19:E34" xr:uid="{28D1B664-6728-4147-A6A0-AB8FE9AB2368}"/>
  <tableColumns count="5">
    <tableColumn id="1" xr3:uid="{36EDA40C-7938-4C2A-ACD1-10DF9BC03E8D}" name="Twitter"/>
    <tableColumn id="2" xr3:uid="{11F70FF4-4556-4EBD-B834-4B46E158C521}" name="mars-22" dataDxfId="28" dataCellStyle="Milliers"/>
    <tableColumn id="3" xr3:uid="{9979FDD4-DDBE-46EF-8169-EDCB3C8477F9}" name="aout-22" dataDxfId="27" dataCellStyle="Milliers"/>
    <tableColumn id="4" xr3:uid="{550086A4-3BAA-4A3D-B231-CDCCA014C618}" name="nov-22" dataDxfId="26" dataCellStyle="Milliers"/>
    <tableColumn id="5" xr3:uid="{4F3217CE-7C76-48AB-9DD5-1D67A079F58B}" name="avr-24" dataDxfId="25" dataCellStyle="Millie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735100-2610-4DA6-9CDF-9EBED63AD1DA}" name="Tableau8" displayName="Tableau8" ref="A37:E52" totalsRowShown="0">
  <autoFilter ref="A37:E52" xr:uid="{63735100-2610-4DA6-9CDF-9EBED63AD1DA}"/>
  <tableColumns count="5">
    <tableColumn id="1" xr3:uid="{BDA503B2-7589-4C2F-A294-B9C3F105815E}" name="Instagram"/>
    <tableColumn id="2" xr3:uid="{9D2B0BB4-F097-4CA9-8083-DAD735D7B023}" name="mars-22" dataDxfId="24" dataCellStyle="Milliers"/>
    <tableColumn id="3" xr3:uid="{729CADD0-9D95-4090-93D8-6D0AE443C602}" name="aout-22" dataDxfId="23" dataCellStyle="Milliers"/>
    <tableColumn id="4" xr3:uid="{741F81EE-8C2E-418E-8981-084666FF8454}" name="nov-22" dataDxfId="22" dataCellStyle="Milliers"/>
    <tableColumn id="5" xr3:uid="{1EEBD658-5FD7-44CA-88A3-FAEF6BF9336A}" name="avr-24" dataDxfId="21" dataCellStyle="Millier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9B5F12-9787-40A7-9531-DD4B2E87016C}" name="Tableau9" displayName="Tableau9" ref="A55:E70" totalsRowShown="0">
  <autoFilter ref="A55:E70" xr:uid="{899B5F12-9787-40A7-9531-DD4B2E87016C}"/>
  <tableColumns count="5">
    <tableColumn id="1" xr3:uid="{C86408E9-78AE-4D97-8404-2CB38C1534CA}" name="TikTok"/>
    <tableColumn id="2" xr3:uid="{ACB7AFED-83C0-44F7-B321-A9313DF4532C}" name="mars-22" dataDxfId="20" dataCellStyle="Milliers"/>
    <tableColumn id="3" xr3:uid="{3CA87179-6962-42BB-B243-1A0580D0B131}" name="aout-22" dataDxfId="19" dataCellStyle="Milliers"/>
    <tableColumn id="4" xr3:uid="{AEC03E33-CDEA-48CE-9EBE-0DE99A763498}" name="nov-22" dataDxfId="18" dataCellStyle="Milliers"/>
    <tableColumn id="5" xr3:uid="{42C0ABA2-560A-4EDF-9FE4-D0D6D0C0BFF4}" name="avr-24" dataDxfId="17" dataCellStyle="Milliers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37F041-1E69-47D1-A262-92FE5D028110}" name="Tableau10" displayName="Tableau10" ref="A73:E88" totalsRowShown="0">
  <autoFilter ref="A73:E88" xr:uid="{C637F041-1E69-47D1-A262-92FE5D028110}"/>
  <tableColumns count="5">
    <tableColumn id="1" xr3:uid="{F45B08C6-05CE-4A97-9748-2D13F8B190EF}" name="TOTAL"/>
    <tableColumn id="2" xr3:uid="{6A4363A7-A5F1-4316-B857-002B93A28716}" name="mars-22" dataDxfId="16" dataCellStyle="Milliers"/>
    <tableColumn id="3" xr3:uid="{AE6E3809-C3AD-4C27-B58E-A69D64AAD43B}" name="aout 2022" dataDxfId="15" dataCellStyle="Milliers"/>
    <tableColumn id="4" xr3:uid="{1983F80A-F904-48A4-B816-66B9D0E95293}" name="nov-22" dataDxfId="14" dataCellStyle="Milliers"/>
    <tableColumn id="5" xr3:uid="{296C4566-FE00-4113-A463-B90AC2B11DFB}" name="avr-24" dataDxfId="13" dataCellStyle="Milliers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5F343F-A9F4-4BE0-9B44-7913880F2E9D}" name="Tableau812" displayName="Tableau812" ref="A2:E41" headerRowCount="0" totalsRowShown="0">
  <sortState xmlns:xlrd2="http://schemas.microsoft.com/office/spreadsheetml/2017/richdata2" ref="A2:C34">
    <sortCondition descending="1" ref="C2:C34"/>
  </sortState>
  <tableColumns count="5">
    <tableColumn id="2" xr3:uid="{59A994DF-ABE2-4770-A95F-89A6A5049520}" name="Colonne2"/>
    <tableColumn id="3" xr3:uid="{2501C1D0-B431-4B63-AD06-4653F5177661}" name="Colonne3"/>
    <tableColumn id="1" xr3:uid="{E91B669B-E429-4AF8-825D-9363601888EA}" name="Colonne1" dataDxfId="12"/>
    <tableColumn id="4" xr3:uid="{831B9896-C622-42E4-AFD9-36F816C108F3}" name="Colonne4" dataDxfId="11"/>
    <tableColumn id="5" xr3:uid="{73B64733-1DB7-4ED8-AD0F-2CB1EACFAFD6}" name="Colonne5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DEC9A9-0E0F-4440-9BBD-F722919ADF98}" name="Tableau913" displayName="Tableau913" ref="A44:E83" headerRowCount="0" totalsRowShown="0">
  <sortState xmlns:xlrd2="http://schemas.microsoft.com/office/spreadsheetml/2017/richdata2" ref="A44:D75">
    <sortCondition descending="1" ref="C44:C75"/>
  </sortState>
  <tableColumns count="5">
    <tableColumn id="2" xr3:uid="{C4C03B7F-B385-4159-A916-EEBD74DEEEF0}" name="Colonne2"/>
    <tableColumn id="3" xr3:uid="{EB4F5012-AE5C-46D0-AE76-9EB07531F4BA}" name="Colonne3"/>
    <tableColumn id="1" xr3:uid="{B3273B19-E208-47EA-B0E6-5CFCE19A3353}" name="Colonne1" dataDxfId="10"/>
    <tableColumn id="4" xr3:uid="{4E6CEE2B-B1D0-4BB2-AA35-8C1390025335}" name="Colonne4" dataDxfId="9" dataCellStyle="Pourcentage"/>
    <tableColumn id="5" xr3:uid="{7B4C49B5-2C25-4A7B-BDBB-7F1D63CE3C86}" name="Colonne5" dataDxfId="8" dataCellStyle="Pourcentage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793575-AD22-45F8-BB24-F408A7ADC379}" name="Tableau1014" displayName="Tableau1014" ref="A86:E125" headerRowCount="0" totalsRowShown="0">
  <sortState xmlns:xlrd2="http://schemas.microsoft.com/office/spreadsheetml/2017/richdata2" ref="A86:D118">
    <sortCondition descending="1" ref="C86:C118"/>
  </sortState>
  <tableColumns count="5">
    <tableColumn id="2" xr3:uid="{CD3E9700-CFE3-4D51-9475-F3C2FD9420A1}" name="Colonne2"/>
    <tableColumn id="3" xr3:uid="{5818B9CE-2E20-4C03-B5CA-D58795C7ED2B}" name="Colonne3"/>
    <tableColumn id="1" xr3:uid="{3A0D63B4-CFE8-4F5A-BEE8-F6CE8FD0DCF2}" name="Colonne1" dataDxfId="3"/>
    <tableColumn id="4" xr3:uid="{38254923-423A-4FA6-9772-AE9D5EAA654B}" name="Colonne4" dataDxfId="2" dataCellStyle="Pourcentage"/>
    <tableColumn id="5" xr3:uid="{114379F7-AAC1-4E06-A976-C1A76EB49BAE}" name="Colonne5" dataDxfId="1" dataCellStyle="Pourcentage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B4A4DA-1FF2-4932-91B1-C354955BB3F5}" name="Tableau11" displayName="Tableau11" ref="A128:E167" headerRowCount="0" totalsRowShown="0">
  <sortState xmlns:xlrd2="http://schemas.microsoft.com/office/spreadsheetml/2017/richdata2" ref="A128:D160">
    <sortCondition descending="1" ref="C128:C160"/>
  </sortState>
  <tableColumns count="5">
    <tableColumn id="2" xr3:uid="{6FC4997A-16C5-438F-A7F6-4F9C2248261D}" name="Colonne2"/>
    <tableColumn id="3" xr3:uid="{EB18E179-F794-4851-BED7-1A91A90E4055}" name="Colonne3" dataDxfId="6" dataCellStyle="Milliers">
      <calculatedColumnFormula>VLOOKUP(Tableau11[[#This Row],[Colonne2]],Tableau812[#All],2,0)+VLOOKUP(Tableau11[[#This Row],[Colonne2]],Tableau913[#All],2,0)+VLOOKUP(Tableau11[[#This Row],[Colonne2]],Tableau1014[#All],2,0)</calculatedColumnFormula>
    </tableColumn>
    <tableColumn id="1" xr3:uid="{3AF13969-65CE-4E26-8002-93427B25693A}" name="Colonne1" dataDxfId="5" dataCellStyle="Milliers">
      <calculatedColumnFormula>VLOOKUP(Tableau11[[#This Row],[Colonne2]],Tableau812[#All],3,0)+VLOOKUP(Tableau11[[#This Row],[Colonne2]],Tableau913[#All],3,0)+VLOOKUP(Tableau11[[#This Row],[Colonne2]],Tableau1014[#All],3,0)</calculatedColumnFormula>
    </tableColumn>
    <tableColumn id="4" xr3:uid="{AED69A06-D415-45AE-BEFD-A51887257FEB}" name="Colonne4" dataDxfId="4" dataCellStyle="Milliers">
      <calculatedColumnFormula>VLOOKUP(Tableau11[[#This Row],[Colonne2]],Tableau812[#All],4,0)+VLOOKUP(Tableau11[[#This Row],[Colonne2]],Tableau913[#All],4,0)+VLOOKUP(Tableau11[[#This Row],[Colonne2]],Tableau1014[#All],4,0)</calculatedColumnFormula>
    </tableColumn>
    <tableColumn id="5" xr3:uid="{F2C50BC2-A5BD-460F-A922-4D121AC00F55}" name="Colonne5" dataDxfId="0" dataCellStyle="Milliers">
      <calculatedColumnFormula>VLOOKUP(Tableau11[[#This Row],[Colonne2]],$A$1:$E$41,5,FALSE)+VLOOKUP(Tableau11[[#This Row],[Colonne2]],$A$43:$E$83,5,FALSE)+VLOOKUP(Tableau11[[#This Row],[Colonne2]],$A$85:$E$125,5,FALSE)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witter.com/thewomenstour" TargetMode="External"/><Relationship Id="rId18" Type="http://schemas.openxmlformats.org/officeDocument/2006/relationships/hyperlink" Target="https://www.facebook.com/letourfemmes/" TargetMode="External"/><Relationship Id="rId26" Type="http://schemas.openxmlformats.org/officeDocument/2006/relationships/hyperlink" Target="https://twitter.com/RondevDrenthe" TargetMode="External"/><Relationship Id="rId3" Type="http://schemas.openxmlformats.org/officeDocument/2006/relationships/hyperlink" Target="https://www.instagram.com/cyclingsportpromotion/?hl=fr" TargetMode="External"/><Relationship Id="rId21" Type="http://schemas.openxmlformats.org/officeDocument/2006/relationships/hyperlink" Target="https://twitter.com/Battlenor" TargetMode="External"/><Relationship Id="rId34" Type="http://schemas.openxmlformats.org/officeDocument/2006/relationships/table" Target="../tables/table2.xml"/><Relationship Id="rId7" Type="http://schemas.openxmlformats.org/officeDocument/2006/relationships/hyperlink" Target="https://www.facebook.com/LaVueltaFem/" TargetMode="External"/><Relationship Id="rId12" Type="http://schemas.openxmlformats.org/officeDocument/2006/relationships/hyperlink" Target="https://twitter.com/RideLondon" TargetMode="External"/><Relationship Id="rId17" Type="http://schemas.openxmlformats.org/officeDocument/2006/relationships/hyperlink" Target="https://twitter.com/LeTourFemmes" TargetMode="External"/><Relationship Id="rId25" Type="http://schemas.openxmlformats.org/officeDocument/2006/relationships/hyperlink" Target="https://www.instagram.com/simacladiestour_official/?hl=fr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www.facebook.com/CyclingSportPromotion/" TargetMode="External"/><Relationship Id="rId16" Type="http://schemas.openxmlformats.org/officeDocument/2006/relationships/hyperlink" Target="https://www.instagram.com/letourfemmes/?hl=en" TargetMode="External"/><Relationship Id="rId20" Type="http://schemas.openxmlformats.org/officeDocument/2006/relationships/hyperlink" Target="https://www.facebook.com/battlenor.eu" TargetMode="External"/><Relationship Id="rId29" Type="http://schemas.openxmlformats.org/officeDocument/2006/relationships/hyperlink" Target="https://www.facebook.com/girowomen/" TargetMode="External"/><Relationship Id="rId1" Type="http://schemas.openxmlformats.org/officeDocument/2006/relationships/hyperlink" Target="https://twitter.com/trofeobinda" TargetMode="External"/><Relationship Id="rId6" Type="http://schemas.openxmlformats.org/officeDocument/2006/relationships/hyperlink" Target="https://www.instagram.com/parisroubaix_femmes/?hl=en" TargetMode="External"/><Relationship Id="rId11" Type="http://schemas.openxmlformats.org/officeDocument/2006/relationships/hyperlink" Target="https://www.instagram.com/ridelondon" TargetMode="External"/><Relationship Id="rId24" Type="http://schemas.openxmlformats.org/officeDocument/2006/relationships/hyperlink" Target="https://www.facebook.com/ladiestour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twitter.com/RoubaixFemmes" TargetMode="External"/><Relationship Id="rId15" Type="http://schemas.openxmlformats.org/officeDocument/2006/relationships/hyperlink" Target="https://www.instagram.com/thewomenstour/?hl=fr" TargetMode="External"/><Relationship Id="rId23" Type="http://schemas.openxmlformats.org/officeDocument/2006/relationships/hyperlink" Target="https://twitter.com/ladiestour" TargetMode="External"/><Relationship Id="rId28" Type="http://schemas.openxmlformats.org/officeDocument/2006/relationships/hyperlink" Target="https://www.instagram.com/rondevdrenthe/?hl=fr" TargetMode="External"/><Relationship Id="rId36" Type="http://schemas.openxmlformats.org/officeDocument/2006/relationships/table" Target="../tables/table4.xml"/><Relationship Id="rId10" Type="http://schemas.openxmlformats.org/officeDocument/2006/relationships/hyperlink" Target="https://www.facebook.com/RideLondon/" TargetMode="External"/><Relationship Id="rId19" Type="http://schemas.openxmlformats.org/officeDocument/2006/relationships/hyperlink" Target="https://www.instagram.com/battlenor/" TargetMode="External"/><Relationship Id="rId31" Type="http://schemas.openxmlformats.org/officeDocument/2006/relationships/hyperlink" Target="https://www.instagram.com/giroditaliawomen/" TargetMode="External"/><Relationship Id="rId4" Type="http://schemas.openxmlformats.org/officeDocument/2006/relationships/hyperlink" Target="https://www.facebook.com/ParisRoubaixFemmes/?ref=page_internal" TargetMode="External"/><Relationship Id="rId9" Type="http://schemas.openxmlformats.org/officeDocument/2006/relationships/hyperlink" Target="https://www.instagram.com/lavueltafem/" TargetMode="External"/><Relationship Id="rId14" Type="http://schemas.openxmlformats.org/officeDocument/2006/relationships/hyperlink" Target="https://www.facebook.com/thewomenstour" TargetMode="External"/><Relationship Id="rId22" Type="http://schemas.openxmlformats.org/officeDocument/2006/relationships/hyperlink" Target="https://www.facebook.com/tourderomandiefeminin/" TargetMode="External"/><Relationship Id="rId27" Type="http://schemas.openxmlformats.org/officeDocument/2006/relationships/hyperlink" Target="https://www.facebook.com/RondevanDrenthe/" TargetMode="External"/><Relationship Id="rId30" Type="http://schemas.openxmlformats.org/officeDocument/2006/relationships/hyperlink" Target="https://twitter.com/girowomen" TargetMode="External"/><Relationship Id="rId35" Type="http://schemas.openxmlformats.org/officeDocument/2006/relationships/table" Target="../tables/table3.xml"/><Relationship Id="rId8" Type="http://schemas.openxmlformats.org/officeDocument/2006/relationships/hyperlink" Target="https://twitter.com/LaVueltaFe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FDJSUEZFuturoscope" TargetMode="External"/><Relationship Id="rId18" Type="http://schemas.openxmlformats.org/officeDocument/2006/relationships/hyperlink" Target="https://www.facebook.com/HumanPoweredHealthCycling" TargetMode="External"/><Relationship Id="rId26" Type="http://schemas.openxmlformats.org/officeDocument/2006/relationships/hyperlink" Target="https://www.facebook.com/teamsdworx/" TargetMode="External"/><Relationship Id="rId21" Type="http://schemas.openxmlformats.org/officeDocument/2006/relationships/hyperlink" Target="https://www.instagram.com/teamvisma_leaseabike_women/" TargetMode="External"/><Relationship Id="rId34" Type="http://schemas.openxmlformats.org/officeDocument/2006/relationships/table" Target="../tables/table6.xml"/><Relationship Id="rId7" Type="http://schemas.openxmlformats.org/officeDocument/2006/relationships/hyperlink" Target="https://www.facebook.com/ceratizitwntprocycling/" TargetMode="External"/><Relationship Id="rId12" Type="http://schemas.openxmlformats.org/officeDocument/2006/relationships/hyperlink" Target="https://twitter.com/FDJ_SUEZ" TargetMode="External"/><Relationship Id="rId17" Type="http://schemas.openxmlformats.org/officeDocument/2006/relationships/hyperlink" Target="https://twitter.com/FenixDeceuninck" TargetMode="External"/><Relationship Id="rId25" Type="http://schemas.openxmlformats.org/officeDocument/2006/relationships/hyperlink" Target="https://www.instagram.com/uaeteam_adq/" TargetMode="External"/><Relationship Id="rId33" Type="http://schemas.openxmlformats.org/officeDocument/2006/relationships/table" Target="../tables/table5.xml"/><Relationship Id="rId2" Type="http://schemas.openxmlformats.org/officeDocument/2006/relationships/hyperlink" Target="https://twitter.com/agsoudal" TargetMode="External"/><Relationship Id="rId16" Type="http://schemas.openxmlformats.org/officeDocument/2006/relationships/hyperlink" Target="https://www.facebook.com/FenixDeceuninck" TargetMode="External"/><Relationship Id="rId20" Type="http://schemas.openxmlformats.org/officeDocument/2006/relationships/hyperlink" Target="https://www.instagram.com/hphcycling/" TargetMode="External"/><Relationship Id="rId29" Type="http://schemas.openxmlformats.org/officeDocument/2006/relationships/hyperlink" Target="https://www.instagram.com/rolandcyclingteam/" TargetMode="External"/><Relationship Id="rId1" Type="http://schemas.openxmlformats.org/officeDocument/2006/relationships/hyperlink" Target="https://www.facebook.com/aginsurancesoudalquickstep" TargetMode="External"/><Relationship Id="rId6" Type="http://schemas.openxmlformats.org/officeDocument/2006/relationships/hyperlink" Target="https://twitter.com/WMNcycling" TargetMode="External"/><Relationship Id="rId11" Type="http://schemas.openxmlformats.org/officeDocument/2006/relationships/hyperlink" Target="https://www.instagram.com/fdj_suez/?hl=en" TargetMode="External"/><Relationship Id="rId24" Type="http://schemas.openxmlformats.org/officeDocument/2006/relationships/hyperlink" Target="https://www.facebook.com/uaeteamadq/" TargetMode="External"/><Relationship Id="rId32" Type="http://schemas.openxmlformats.org/officeDocument/2006/relationships/printerSettings" Target="../printerSettings/printerSettings2.bin"/><Relationship Id="rId37" Type="http://schemas.openxmlformats.org/officeDocument/2006/relationships/table" Target="../tables/table9.xml"/><Relationship Id="rId5" Type="http://schemas.openxmlformats.org/officeDocument/2006/relationships/hyperlink" Target="https://www.instagram.com/wmncycling/" TargetMode="External"/><Relationship Id="rId15" Type="http://schemas.openxmlformats.org/officeDocument/2006/relationships/hyperlink" Target="https://www.instagram.com/fenixdeceuninck/" TargetMode="External"/><Relationship Id="rId23" Type="http://schemas.openxmlformats.org/officeDocument/2006/relationships/hyperlink" Target="https://twitter.com/UAETeamADQ" TargetMode="External"/><Relationship Id="rId28" Type="http://schemas.openxmlformats.org/officeDocument/2006/relationships/hyperlink" Target="https://www.instagram.com/teamsdworxprotime/" TargetMode="External"/><Relationship Id="rId36" Type="http://schemas.openxmlformats.org/officeDocument/2006/relationships/table" Target="../tables/table8.xml"/><Relationship Id="rId10" Type="http://schemas.openxmlformats.org/officeDocument/2006/relationships/hyperlink" Target="https://www.tiktok.com/@ceratizit_wnt" TargetMode="External"/><Relationship Id="rId19" Type="http://schemas.openxmlformats.org/officeDocument/2006/relationships/hyperlink" Target="https://twitter.com/hphcycling" TargetMode="External"/><Relationship Id="rId31" Type="http://schemas.openxmlformats.org/officeDocument/2006/relationships/hyperlink" Target="https://www.facebook.com/rolandcyclingteam/" TargetMode="External"/><Relationship Id="rId4" Type="http://schemas.openxmlformats.org/officeDocument/2006/relationships/hyperlink" Target="https://www.facebook.com/WMNcycling" TargetMode="External"/><Relationship Id="rId9" Type="http://schemas.openxmlformats.org/officeDocument/2006/relationships/hyperlink" Target="https://twitter.com/ceratizit_wnt" TargetMode="External"/><Relationship Id="rId14" Type="http://schemas.openxmlformats.org/officeDocument/2006/relationships/hyperlink" Target="https://www.tiktok.com/@fdj_suez_fut" TargetMode="External"/><Relationship Id="rId22" Type="http://schemas.openxmlformats.org/officeDocument/2006/relationships/hyperlink" Target="https://twitter.com/visma_lab_women" TargetMode="External"/><Relationship Id="rId27" Type="http://schemas.openxmlformats.org/officeDocument/2006/relationships/hyperlink" Target="https://twitter.com/teamsdworx" TargetMode="External"/><Relationship Id="rId30" Type="http://schemas.openxmlformats.org/officeDocument/2006/relationships/hyperlink" Target="https://twitter.com/RolandCycling" TargetMode="External"/><Relationship Id="rId35" Type="http://schemas.openxmlformats.org/officeDocument/2006/relationships/table" Target="../tables/table7.xml"/><Relationship Id="rId8" Type="http://schemas.openxmlformats.org/officeDocument/2006/relationships/hyperlink" Target="https://www.instagram.com/ceratizit_wnt/" TargetMode="External"/><Relationship Id="rId3" Type="http://schemas.openxmlformats.org/officeDocument/2006/relationships/hyperlink" Target="https://www.tiktok.com/@aginsurancesouda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witter.com/LisaBrennauer" TargetMode="External"/><Relationship Id="rId21" Type="http://schemas.openxmlformats.org/officeDocument/2006/relationships/hyperlink" Target="https://www.facebook.com/ellenvdijk" TargetMode="External"/><Relationship Id="rId42" Type="http://schemas.openxmlformats.org/officeDocument/2006/relationships/hyperlink" Target="https://www.facebook.com/evitamuzic/" TargetMode="External"/><Relationship Id="rId47" Type="http://schemas.openxmlformats.org/officeDocument/2006/relationships/hyperlink" Target="https://www.facebook.com/duvaleugenieathlete/" TargetMode="External"/><Relationship Id="rId63" Type="http://schemas.openxmlformats.org/officeDocument/2006/relationships/hyperlink" Target="https://www.facebook.com/floortje.mackay" TargetMode="External"/><Relationship Id="rId68" Type="http://schemas.openxmlformats.org/officeDocument/2006/relationships/hyperlink" Target="https://www.instagram.com/floortjemackaij/?hl=fr" TargetMode="External"/><Relationship Id="rId84" Type="http://schemas.openxmlformats.org/officeDocument/2006/relationships/hyperlink" Target="https://www.instagram.com/emmanorsgaard/" TargetMode="External"/><Relationship Id="rId89" Type="http://schemas.openxmlformats.org/officeDocument/2006/relationships/hyperlink" Target="https://www.instagram.com/lorenawiebes/" TargetMode="External"/><Relationship Id="rId112" Type="http://schemas.openxmlformats.org/officeDocument/2006/relationships/printerSettings" Target="../printerSettings/printerSettings3.bin"/><Relationship Id="rId16" Type="http://schemas.openxmlformats.org/officeDocument/2006/relationships/hyperlink" Target="https://twitter.com/ashleighcycling" TargetMode="External"/><Relationship Id="rId107" Type="http://schemas.openxmlformats.org/officeDocument/2006/relationships/hyperlink" Target="https://www.instagram.com/dariapikulik/" TargetMode="External"/><Relationship Id="rId11" Type="http://schemas.openxmlformats.org/officeDocument/2006/relationships/hyperlink" Target="https://twitter.com/LotteKopecky" TargetMode="External"/><Relationship Id="rId32" Type="http://schemas.openxmlformats.org/officeDocument/2006/relationships/hyperlink" Target="https://twitter.com/mavi_at" TargetMode="External"/><Relationship Id="rId37" Type="http://schemas.openxmlformats.org/officeDocument/2006/relationships/hyperlink" Target="https://www.facebook.com/amypieters1991/" TargetMode="External"/><Relationship Id="rId53" Type="http://schemas.openxmlformats.org/officeDocument/2006/relationships/hyperlink" Target="https://www.facebook.com/ElisaLongoBorghini/" TargetMode="External"/><Relationship Id="rId58" Type="http://schemas.openxmlformats.org/officeDocument/2006/relationships/hyperlink" Target="https://twitter.com/FaulknerKristen" TargetMode="External"/><Relationship Id="rId74" Type="http://schemas.openxmlformats.org/officeDocument/2006/relationships/hyperlink" Target="https://www.instagram.com/evita_mzc/" TargetMode="External"/><Relationship Id="rId79" Type="http://schemas.openxmlformats.org/officeDocument/2006/relationships/hyperlink" Target="https://www.instagram.com/marta_cavalli/" TargetMode="External"/><Relationship Id="rId102" Type="http://schemas.openxmlformats.org/officeDocument/2006/relationships/hyperlink" Target="https://www.instagram.com/shirinvananrooij/" TargetMode="External"/><Relationship Id="rId5" Type="http://schemas.openxmlformats.org/officeDocument/2006/relationships/hyperlink" Target="https://www.facebook.com/ReusserMarlen/" TargetMode="External"/><Relationship Id="rId90" Type="http://schemas.openxmlformats.org/officeDocument/2006/relationships/hyperlink" Target="https://www.instagram.com/lottekopecky/" TargetMode="External"/><Relationship Id="rId95" Type="http://schemas.openxmlformats.org/officeDocument/2006/relationships/hyperlink" Target="https://twitter.com/charlotte_kool" TargetMode="External"/><Relationship Id="rId22" Type="http://schemas.openxmlformats.org/officeDocument/2006/relationships/hyperlink" Target="https://twitter.com/ellenvdijk" TargetMode="External"/><Relationship Id="rId27" Type="http://schemas.openxmlformats.org/officeDocument/2006/relationships/hyperlink" Target="https://www.facebook.com/Marta-Cavalli-214053292731316/" TargetMode="External"/><Relationship Id="rId43" Type="http://schemas.openxmlformats.org/officeDocument/2006/relationships/hyperlink" Target="https://twitter.com/evitamuzic" TargetMode="External"/><Relationship Id="rId48" Type="http://schemas.openxmlformats.org/officeDocument/2006/relationships/hyperlink" Target="https://twitter.com/duvaleugenie" TargetMode="External"/><Relationship Id="rId64" Type="http://schemas.openxmlformats.org/officeDocument/2006/relationships/hyperlink" Target="https://twitter.com/floortjemackaij" TargetMode="External"/><Relationship Id="rId69" Type="http://schemas.openxmlformats.org/officeDocument/2006/relationships/hyperlink" Target="https://www.instagram.com/paulienarooijakkers/?hl=fr" TargetMode="External"/><Relationship Id="rId113" Type="http://schemas.openxmlformats.org/officeDocument/2006/relationships/table" Target="../tables/table10.xml"/><Relationship Id="rId80" Type="http://schemas.openxmlformats.org/officeDocument/2006/relationships/hyperlink" Target="https://www.instagram.com/lisabrennauer/" TargetMode="External"/><Relationship Id="rId85" Type="http://schemas.openxmlformats.org/officeDocument/2006/relationships/hyperlink" Target="https://www.instagram.com/ashleighcycling/" TargetMode="External"/><Relationship Id="rId12" Type="http://schemas.openxmlformats.org/officeDocument/2006/relationships/hyperlink" Target="https://twitter.com/lorenawiebes" TargetMode="External"/><Relationship Id="rId17" Type="http://schemas.openxmlformats.org/officeDocument/2006/relationships/hyperlink" Target="https://www.facebook.com/emmanorsgaard/" TargetMode="External"/><Relationship Id="rId33" Type="http://schemas.openxmlformats.org/officeDocument/2006/relationships/hyperlink" Target="https://www.facebook.com/juliette.labous/" TargetMode="External"/><Relationship Id="rId38" Type="http://schemas.openxmlformats.org/officeDocument/2006/relationships/hyperlink" Target="https://twitter.com/AmyPieters" TargetMode="External"/><Relationship Id="rId59" Type="http://schemas.openxmlformats.org/officeDocument/2006/relationships/hyperlink" Target="https://www.facebook.com/arcticfaulks" TargetMode="External"/><Relationship Id="rId103" Type="http://schemas.openxmlformats.org/officeDocument/2006/relationships/hyperlink" Target="https://www.facebook.com/chloedygertcyclist/" TargetMode="External"/><Relationship Id="rId108" Type="http://schemas.openxmlformats.org/officeDocument/2006/relationships/hyperlink" Target="https://www.instagram.com/gaia_realini" TargetMode="External"/><Relationship Id="rId54" Type="http://schemas.openxmlformats.org/officeDocument/2006/relationships/hyperlink" Target="https://www.facebook.com/brennauerlisa" TargetMode="External"/><Relationship Id="rId70" Type="http://schemas.openxmlformats.org/officeDocument/2006/relationships/hyperlink" Target="https://www.instagram.com/liane_lippert/?hl=fr" TargetMode="External"/><Relationship Id="rId75" Type="http://schemas.openxmlformats.org/officeDocument/2006/relationships/hyperlink" Target="https://www.instagram.com/amypieters/" TargetMode="External"/><Relationship Id="rId91" Type="http://schemas.openxmlformats.org/officeDocument/2006/relationships/hyperlink" Target="https://www.instagram.com/elisalongob/" TargetMode="External"/><Relationship Id="rId96" Type="http://schemas.openxmlformats.org/officeDocument/2006/relationships/hyperlink" Target="https://www.instagram.com/charlottekool_/" TargetMode="External"/><Relationship Id="rId1" Type="http://schemas.openxmlformats.org/officeDocument/2006/relationships/hyperlink" Target="https://www.facebook.com/demi.vollering" TargetMode="External"/><Relationship Id="rId6" Type="http://schemas.openxmlformats.org/officeDocument/2006/relationships/hyperlink" Target="https://www.facebook.com/cecilieuttrupludwig/" TargetMode="External"/><Relationship Id="rId15" Type="http://schemas.openxmlformats.org/officeDocument/2006/relationships/hyperlink" Target="https://www.facebook.com/ashleighcycling" TargetMode="External"/><Relationship Id="rId23" Type="http://schemas.openxmlformats.org/officeDocument/2006/relationships/hyperlink" Target="https://www.facebook.com/LizzieArmitstead" TargetMode="External"/><Relationship Id="rId28" Type="http://schemas.openxmlformats.org/officeDocument/2006/relationships/hyperlink" Target="https://twitter.com/marta_cavalli98" TargetMode="External"/><Relationship Id="rId36" Type="http://schemas.openxmlformats.org/officeDocument/2006/relationships/hyperlink" Target="https://twitter.com/glbrown321" TargetMode="External"/><Relationship Id="rId49" Type="http://schemas.openxmlformats.org/officeDocument/2006/relationships/hyperlink" Target="https://www.instagram.com/duvaleugenie/" TargetMode="External"/><Relationship Id="rId57" Type="http://schemas.openxmlformats.org/officeDocument/2006/relationships/hyperlink" Target="https://www.instagram.com/arcticfaulks/?hl=fr" TargetMode="External"/><Relationship Id="rId106" Type="http://schemas.openxmlformats.org/officeDocument/2006/relationships/hyperlink" Target="https://www.facebook.com/daria.pikulik/" TargetMode="External"/><Relationship Id="rId114" Type="http://schemas.openxmlformats.org/officeDocument/2006/relationships/table" Target="../tables/table11.xml"/><Relationship Id="rId10" Type="http://schemas.openxmlformats.org/officeDocument/2006/relationships/hyperlink" Target="https://twitter.com/marianne_vos" TargetMode="External"/><Relationship Id="rId31" Type="http://schemas.openxmlformats.org/officeDocument/2006/relationships/hyperlink" Target="https://www.facebook.com/mavicyclist" TargetMode="External"/><Relationship Id="rId44" Type="http://schemas.openxmlformats.org/officeDocument/2006/relationships/hyperlink" Target="https://twitter.com/AmandaSpratt" TargetMode="External"/><Relationship Id="rId52" Type="http://schemas.openxmlformats.org/officeDocument/2006/relationships/hyperlink" Target="https://twitter.com/e_chabbey" TargetMode="External"/><Relationship Id="rId60" Type="http://schemas.openxmlformats.org/officeDocument/2006/relationships/hyperlink" Target="https://twitter.com/LianeLippert" TargetMode="External"/><Relationship Id="rId65" Type="http://schemas.openxmlformats.org/officeDocument/2006/relationships/hyperlink" Target="https://www.facebook.com/lucindabrandofficial" TargetMode="External"/><Relationship Id="rId73" Type="http://schemas.openxmlformats.org/officeDocument/2006/relationships/hyperlink" Target="https://www.instagram.com/amandaspratt87/" TargetMode="External"/><Relationship Id="rId78" Type="http://schemas.openxmlformats.org/officeDocument/2006/relationships/hyperlink" Target="https://www.instagram.com/chiara_consonnii/" TargetMode="External"/><Relationship Id="rId81" Type="http://schemas.openxmlformats.org/officeDocument/2006/relationships/hyperlink" Target="https://www.instagram.com/l_deignan/" TargetMode="External"/><Relationship Id="rId86" Type="http://schemas.openxmlformats.org/officeDocument/2006/relationships/hyperlink" Target="https://www.instagram.com/kasianiewiadoma94/" TargetMode="External"/><Relationship Id="rId94" Type="http://schemas.openxmlformats.org/officeDocument/2006/relationships/hyperlink" Target="https://www.instagram.com/demivollering/" TargetMode="External"/><Relationship Id="rId99" Type="http://schemas.openxmlformats.org/officeDocument/2006/relationships/hyperlink" Target="https://www.instagram.com/silvia_persico/" TargetMode="External"/><Relationship Id="rId101" Type="http://schemas.openxmlformats.org/officeDocument/2006/relationships/hyperlink" Target="https://twitter.com/x_shirin" TargetMode="External"/><Relationship Id="rId4" Type="http://schemas.openxmlformats.org/officeDocument/2006/relationships/hyperlink" Target="https://www.facebook.com/profile.php?id=100063716252987" TargetMode="External"/><Relationship Id="rId9" Type="http://schemas.openxmlformats.org/officeDocument/2006/relationships/hyperlink" Target="https://twitter.com/Elisa_balsamo" TargetMode="External"/><Relationship Id="rId13" Type="http://schemas.openxmlformats.org/officeDocument/2006/relationships/hyperlink" Target="https://twitter.com/CUttrupLudwig" TargetMode="External"/><Relationship Id="rId18" Type="http://schemas.openxmlformats.org/officeDocument/2006/relationships/hyperlink" Target="https://twitter.com/emmanorsgaard1" TargetMode="External"/><Relationship Id="rId39" Type="http://schemas.openxmlformats.org/officeDocument/2006/relationships/hyperlink" Target="https://www.facebook.com/niamh.fisherblack" TargetMode="External"/><Relationship Id="rId109" Type="http://schemas.openxmlformats.org/officeDocument/2006/relationships/hyperlink" Target="https://www.facebook.com/riejannee/" TargetMode="External"/><Relationship Id="rId34" Type="http://schemas.openxmlformats.org/officeDocument/2006/relationships/hyperlink" Target="https://twitter.com/JulietteLabous" TargetMode="External"/><Relationship Id="rId50" Type="http://schemas.openxmlformats.org/officeDocument/2006/relationships/hyperlink" Target="https://www.facebook.com/MarieLeNetOff/" TargetMode="External"/><Relationship Id="rId55" Type="http://schemas.openxmlformats.org/officeDocument/2006/relationships/hyperlink" Target="https://www.facebook.com/amandasprattcycling" TargetMode="External"/><Relationship Id="rId76" Type="http://schemas.openxmlformats.org/officeDocument/2006/relationships/hyperlink" Target="https://www.instagram.com/juliettelabous/" TargetMode="External"/><Relationship Id="rId97" Type="http://schemas.openxmlformats.org/officeDocument/2006/relationships/hyperlink" Target="https://www.facebook.com/persicosilvia/" TargetMode="External"/><Relationship Id="rId104" Type="http://schemas.openxmlformats.org/officeDocument/2006/relationships/hyperlink" Target="https://twitter.com/chloedygert30" TargetMode="External"/><Relationship Id="rId7" Type="http://schemas.openxmlformats.org/officeDocument/2006/relationships/hyperlink" Target="https://www.facebook.com/profile.php?id=100045157561251" TargetMode="External"/><Relationship Id="rId71" Type="http://schemas.openxmlformats.org/officeDocument/2006/relationships/hyperlink" Target="https://www.instagram.com/marie.le.net56/" TargetMode="External"/><Relationship Id="rId92" Type="http://schemas.openxmlformats.org/officeDocument/2006/relationships/hyperlink" Target="https://www.instagram.com/mariannevosofficial/" TargetMode="External"/><Relationship Id="rId2" Type="http://schemas.openxmlformats.org/officeDocument/2006/relationships/hyperlink" Target="https://www.facebook.com/MarianneVosOfficial/" TargetMode="External"/><Relationship Id="rId29" Type="http://schemas.openxmlformats.org/officeDocument/2006/relationships/hyperlink" Target="https://www.facebook.com/ChiaraConsonnii/" TargetMode="External"/><Relationship Id="rId24" Type="http://schemas.openxmlformats.org/officeDocument/2006/relationships/hyperlink" Target="https://www.instagram.com/elise_chabbey/" TargetMode="External"/><Relationship Id="rId40" Type="http://schemas.openxmlformats.org/officeDocument/2006/relationships/hyperlink" Target="https://twitter.com/N_FisherBlack" TargetMode="External"/><Relationship Id="rId45" Type="http://schemas.openxmlformats.org/officeDocument/2006/relationships/hyperlink" Target="https://www.facebook.com/CordonAudrey/" TargetMode="External"/><Relationship Id="rId66" Type="http://schemas.openxmlformats.org/officeDocument/2006/relationships/hyperlink" Target="https://twitter.com/lucinda_brand" TargetMode="External"/><Relationship Id="rId87" Type="http://schemas.openxmlformats.org/officeDocument/2006/relationships/hyperlink" Target="https://www.instagram.com/cykel_cille/" TargetMode="External"/><Relationship Id="rId110" Type="http://schemas.openxmlformats.org/officeDocument/2006/relationships/hyperlink" Target="https://twitter.com/Riejannee" TargetMode="External"/><Relationship Id="rId115" Type="http://schemas.openxmlformats.org/officeDocument/2006/relationships/table" Target="../tables/table12.xml"/><Relationship Id="rId61" Type="http://schemas.openxmlformats.org/officeDocument/2006/relationships/hyperlink" Target="https://twitter.com/PaulienaR" TargetMode="External"/><Relationship Id="rId82" Type="http://schemas.openxmlformats.org/officeDocument/2006/relationships/hyperlink" Target="https://www.instagram.com/emvandijk/" TargetMode="External"/><Relationship Id="rId19" Type="http://schemas.openxmlformats.org/officeDocument/2006/relationships/hyperlink" Target="https://www.facebook.com/MartaBasti87/" TargetMode="External"/><Relationship Id="rId14" Type="http://schemas.openxmlformats.org/officeDocument/2006/relationships/hyperlink" Target="https://twitter.com/KNiewiadoma" TargetMode="External"/><Relationship Id="rId30" Type="http://schemas.openxmlformats.org/officeDocument/2006/relationships/hyperlink" Target="https://twitter.com/consonni_chiara" TargetMode="External"/><Relationship Id="rId35" Type="http://schemas.openxmlformats.org/officeDocument/2006/relationships/hyperlink" Target="https://www.instagram.com/_g_brown/" TargetMode="External"/><Relationship Id="rId56" Type="http://schemas.openxmlformats.org/officeDocument/2006/relationships/hyperlink" Target="https://twitter.com/ElisaLongoB" TargetMode="External"/><Relationship Id="rId77" Type="http://schemas.openxmlformats.org/officeDocument/2006/relationships/hyperlink" Target="https://www.instagram.com/mavi_garcia_c/" TargetMode="External"/><Relationship Id="rId100" Type="http://schemas.openxmlformats.org/officeDocument/2006/relationships/hyperlink" Target="https://www.facebook.com/shirinvananrooij185" TargetMode="External"/><Relationship Id="rId105" Type="http://schemas.openxmlformats.org/officeDocument/2006/relationships/hyperlink" Target="https://www.instagram.com/chloedygert/" TargetMode="External"/><Relationship Id="rId8" Type="http://schemas.openxmlformats.org/officeDocument/2006/relationships/hyperlink" Target="https://twitter.com/demivollering" TargetMode="External"/><Relationship Id="rId51" Type="http://schemas.openxmlformats.org/officeDocument/2006/relationships/hyperlink" Target="https://twitter.com/lenetmarie" TargetMode="External"/><Relationship Id="rId72" Type="http://schemas.openxmlformats.org/officeDocument/2006/relationships/hyperlink" Target="https://www.instagram.com/cordonragot/" TargetMode="External"/><Relationship Id="rId93" Type="http://schemas.openxmlformats.org/officeDocument/2006/relationships/hyperlink" Target="https://www.instagram.com/elisa.balsamo/" TargetMode="External"/><Relationship Id="rId98" Type="http://schemas.openxmlformats.org/officeDocument/2006/relationships/hyperlink" Target="https://twitter.com/silvia_persico" TargetMode="External"/><Relationship Id="rId3" Type="http://schemas.openxmlformats.org/officeDocument/2006/relationships/hyperlink" Target="https://www.facebook.com/LotteKopeckyOfficial/" TargetMode="External"/><Relationship Id="rId25" Type="http://schemas.openxmlformats.org/officeDocument/2006/relationships/hyperlink" Target="https://twitter.com/Lizziedeignan" TargetMode="External"/><Relationship Id="rId46" Type="http://schemas.openxmlformats.org/officeDocument/2006/relationships/hyperlink" Target="https://twitter.com/CordonRagot" TargetMode="External"/><Relationship Id="rId67" Type="http://schemas.openxmlformats.org/officeDocument/2006/relationships/hyperlink" Target="https://www.instagram.com/lucinda_brand/?hl=fr" TargetMode="External"/><Relationship Id="rId116" Type="http://schemas.openxmlformats.org/officeDocument/2006/relationships/table" Target="../tables/table13.xml"/><Relationship Id="rId20" Type="http://schemas.openxmlformats.org/officeDocument/2006/relationships/hyperlink" Target="https://twitter.com/martabasti" TargetMode="External"/><Relationship Id="rId41" Type="http://schemas.openxmlformats.org/officeDocument/2006/relationships/hyperlink" Target="https://www.instagram.com/niamhfisherblack/" TargetMode="External"/><Relationship Id="rId62" Type="http://schemas.openxmlformats.org/officeDocument/2006/relationships/hyperlink" Target="https://www.facebook.com/pauliena.rooijakkers" TargetMode="External"/><Relationship Id="rId83" Type="http://schemas.openxmlformats.org/officeDocument/2006/relationships/hyperlink" Target="https://www.instagram.com/marta_bastianelli/" TargetMode="External"/><Relationship Id="rId88" Type="http://schemas.openxmlformats.org/officeDocument/2006/relationships/hyperlink" Target="https://www.instagram.com/marlenreusser/" TargetMode="External"/><Relationship Id="rId111" Type="http://schemas.openxmlformats.org/officeDocument/2006/relationships/hyperlink" Target="https://www.instagram.com/riejann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05AD-AE14-4B36-888D-F9539B0FB6B2}">
  <dimension ref="A1:F126"/>
  <sheetViews>
    <sheetView showGridLines="0" tabSelected="1" workbookViewId="0">
      <selection activeCell="J7" sqref="J7"/>
    </sheetView>
  </sheetViews>
  <sheetFormatPr baseColWidth="10" defaultRowHeight="15" x14ac:dyDescent="0.25"/>
  <cols>
    <col min="1" max="1" width="41.28515625" bestFit="1" customWidth="1"/>
    <col min="2" max="2" width="13.42578125" customWidth="1"/>
    <col min="3" max="3" width="16.85546875" bestFit="1" customWidth="1"/>
    <col min="4" max="4" width="15.85546875" bestFit="1" customWidth="1"/>
    <col min="5" max="5" width="25.710937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s="1" t="s">
        <v>36</v>
      </c>
      <c r="D1" s="1" t="s">
        <v>37</v>
      </c>
      <c r="E1" s="1" t="s">
        <v>38</v>
      </c>
      <c r="F1" s="1" t="s">
        <v>40</v>
      </c>
    </row>
    <row r="2" spans="1:6" x14ac:dyDescent="0.25">
      <c r="A2" t="s">
        <v>4</v>
      </c>
      <c r="B2" t="s">
        <v>5</v>
      </c>
      <c r="C2" s="8">
        <v>109732</v>
      </c>
      <c r="D2" s="8">
        <v>106048</v>
      </c>
      <c r="E2" s="8">
        <v>109744</v>
      </c>
      <c r="F2" s="13" t="s">
        <v>39</v>
      </c>
    </row>
    <row r="3" spans="1:6" x14ac:dyDescent="0.25">
      <c r="A3" t="s">
        <v>6</v>
      </c>
      <c r="B3" t="s">
        <v>5</v>
      </c>
      <c r="C3" s="8">
        <v>44263</v>
      </c>
      <c r="D3" s="8">
        <v>47089</v>
      </c>
      <c r="E3" s="8">
        <v>17329</v>
      </c>
      <c r="F3" s="13" t="s">
        <v>39</v>
      </c>
    </row>
    <row r="4" spans="1:6" x14ac:dyDescent="0.25">
      <c r="A4" s="6" t="s">
        <v>7</v>
      </c>
      <c r="B4" t="s">
        <v>5</v>
      </c>
      <c r="C4" s="8">
        <v>30556</v>
      </c>
      <c r="D4" s="8">
        <v>46800</v>
      </c>
      <c r="E4" s="8">
        <v>50596</v>
      </c>
      <c r="F4" s="8">
        <v>63000</v>
      </c>
    </row>
    <row r="5" spans="1:6" x14ac:dyDescent="0.25">
      <c r="A5" t="s">
        <v>8</v>
      </c>
      <c r="B5" t="s">
        <v>5</v>
      </c>
      <c r="C5" s="8">
        <v>39816</v>
      </c>
      <c r="D5" s="8">
        <v>40724</v>
      </c>
      <c r="E5" s="8">
        <v>44257</v>
      </c>
      <c r="F5" s="13" t="s">
        <v>39</v>
      </c>
    </row>
    <row r="6" spans="1:6" x14ac:dyDescent="0.25">
      <c r="A6" s="6" t="s">
        <v>9</v>
      </c>
      <c r="B6" t="s">
        <v>5</v>
      </c>
      <c r="C6" s="8">
        <v>36579</v>
      </c>
      <c r="D6" s="8">
        <v>39575</v>
      </c>
      <c r="E6" s="8">
        <v>40527</v>
      </c>
      <c r="F6" s="8">
        <v>42000</v>
      </c>
    </row>
    <row r="7" spans="1:6" x14ac:dyDescent="0.25">
      <c r="A7" t="s">
        <v>10</v>
      </c>
      <c r="B7" t="s">
        <v>5</v>
      </c>
      <c r="C7" s="8">
        <v>29455</v>
      </c>
      <c r="D7" s="8">
        <v>30442</v>
      </c>
      <c r="E7" s="8">
        <v>30636</v>
      </c>
      <c r="F7" s="13" t="s">
        <v>39</v>
      </c>
    </row>
    <row r="8" spans="1:6" x14ac:dyDescent="0.25">
      <c r="A8" t="s">
        <v>11</v>
      </c>
      <c r="B8" t="s">
        <v>5</v>
      </c>
      <c r="C8" s="8">
        <v>24983</v>
      </c>
      <c r="D8" s="8">
        <v>27059</v>
      </c>
      <c r="E8" s="8">
        <v>27066</v>
      </c>
      <c r="F8" s="13" t="s">
        <v>39</v>
      </c>
    </row>
    <row r="9" spans="1:6" x14ac:dyDescent="0.25">
      <c r="A9" s="6" t="s">
        <v>12</v>
      </c>
      <c r="B9" t="s">
        <v>5</v>
      </c>
      <c r="C9" s="8">
        <v>13831</v>
      </c>
      <c r="D9" s="8">
        <v>15946</v>
      </c>
      <c r="E9" s="8">
        <v>16095</v>
      </c>
      <c r="F9" s="8">
        <v>16000</v>
      </c>
    </row>
    <row r="10" spans="1:6" x14ac:dyDescent="0.25">
      <c r="A10" t="s">
        <v>13</v>
      </c>
      <c r="B10" t="s">
        <v>5</v>
      </c>
      <c r="C10" s="8">
        <v>14284</v>
      </c>
      <c r="D10" s="8">
        <v>15166</v>
      </c>
      <c r="E10" s="8">
        <v>15295</v>
      </c>
      <c r="F10" s="13" t="s">
        <v>39</v>
      </c>
    </row>
    <row r="11" spans="1:6" x14ac:dyDescent="0.25">
      <c r="A11" t="s">
        <v>14</v>
      </c>
      <c r="B11" t="s">
        <v>5</v>
      </c>
      <c r="C11" s="8">
        <v>13125</v>
      </c>
      <c r="D11" s="8">
        <v>14679</v>
      </c>
      <c r="E11" s="8">
        <v>14000</v>
      </c>
      <c r="F11" s="13" t="s">
        <v>39</v>
      </c>
    </row>
    <row r="12" spans="1:6" x14ac:dyDescent="0.25">
      <c r="A12" s="6" t="s">
        <v>15</v>
      </c>
      <c r="B12" t="s">
        <v>5</v>
      </c>
      <c r="C12" s="8">
        <v>2132</v>
      </c>
      <c r="D12" s="8">
        <v>9900</v>
      </c>
      <c r="E12" s="8">
        <v>10174</v>
      </c>
      <c r="F12" s="8">
        <v>13000</v>
      </c>
    </row>
    <row r="13" spans="1:6" x14ac:dyDescent="0.25">
      <c r="A13" t="s">
        <v>16</v>
      </c>
      <c r="B13" t="s">
        <v>5</v>
      </c>
      <c r="C13" s="8">
        <v>7499</v>
      </c>
      <c r="D13" s="8">
        <v>8984</v>
      </c>
      <c r="E13" s="8">
        <v>8900</v>
      </c>
      <c r="F13" s="13" t="s">
        <v>39</v>
      </c>
    </row>
    <row r="14" spans="1:6" x14ac:dyDescent="0.25">
      <c r="A14" t="s">
        <v>17</v>
      </c>
      <c r="B14" t="s">
        <v>5</v>
      </c>
      <c r="C14" s="8">
        <v>6413</v>
      </c>
      <c r="D14" s="8">
        <v>6563</v>
      </c>
      <c r="E14" s="8">
        <v>6568</v>
      </c>
      <c r="F14" s="13" t="s">
        <v>39</v>
      </c>
    </row>
    <row r="15" spans="1:6" x14ac:dyDescent="0.25">
      <c r="A15" t="s">
        <v>18</v>
      </c>
      <c r="B15" t="s">
        <v>5</v>
      </c>
      <c r="C15" s="8">
        <v>4371</v>
      </c>
      <c r="D15" s="8">
        <v>4968</v>
      </c>
      <c r="E15" s="8">
        <v>5300</v>
      </c>
      <c r="F15" s="13" t="s">
        <v>39</v>
      </c>
    </row>
    <row r="16" spans="1:6" x14ac:dyDescent="0.25">
      <c r="A16" s="6" t="s">
        <v>19</v>
      </c>
      <c r="B16" t="s">
        <v>5</v>
      </c>
      <c r="C16" s="8">
        <v>3688</v>
      </c>
      <c r="D16" s="8">
        <v>4046</v>
      </c>
      <c r="E16" s="8">
        <v>4300</v>
      </c>
      <c r="F16" s="8">
        <v>4600</v>
      </c>
    </row>
    <row r="17" spans="1:6" x14ac:dyDescent="0.25">
      <c r="A17" s="6" t="s">
        <v>20</v>
      </c>
      <c r="B17" t="s">
        <v>5</v>
      </c>
      <c r="C17" s="8">
        <v>3333</v>
      </c>
      <c r="D17" s="8">
        <v>3487</v>
      </c>
      <c r="E17" s="8">
        <v>3600</v>
      </c>
      <c r="F17" s="8">
        <v>3800</v>
      </c>
    </row>
    <row r="18" spans="1:6" x14ac:dyDescent="0.25">
      <c r="A18" s="6" t="s">
        <v>21</v>
      </c>
      <c r="B18" t="s">
        <v>5</v>
      </c>
      <c r="C18" s="8">
        <v>2048</v>
      </c>
      <c r="D18" s="8">
        <v>2050</v>
      </c>
      <c r="E18" s="8">
        <v>2100</v>
      </c>
      <c r="F18" s="8">
        <v>2600</v>
      </c>
    </row>
    <row r="19" spans="1:6" x14ac:dyDescent="0.25">
      <c r="A19" s="6" t="s">
        <v>22</v>
      </c>
      <c r="B19" t="s">
        <v>5</v>
      </c>
      <c r="C19" s="8">
        <v>41</v>
      </c>
      <c r="D19" s="8">
        <v>1565</v>
      </c>
      <c r="E19" s="8">
        <v>2188</v>
      </c>
      <c r="F19" s="8">
        <v>3500</v>
      </c>
    </row>
    <row r="20" spans="1:6" x14ac:dyDescent="0.25">
      <c r="A20" t="s">
        <v>23</v>
      </c>
      <c r="B20" t="s">
        <v>5</v>
      </c>
      <c r="C20" s="8">
        <v>1507</v>
      </c>
      <c r="D20" s="8">
        <v>1491</v>
      </c>
      <c r="E20" s="8">
        <v>1400</v>
      </c>
      <c r="F20" s="13" t="s">
        <v>42</v>
      </c>
    </row>
    <row r="21" spans="1:6" x14ac:dyDescent="0.25">
      <c r="A21" s="6" t="s">
        <v>24</v>
      </c>
      <c r="B21" t="s">
        <v>5</v>
      </c>
      <c r="C21" s="8">
        <v>1250</v>
      </c>
      <c r="D21" s="8">
        <v>1341</v>
      </c>
      <c r="E21" s="8">
        <v>1300</v>
      </c>
      <c r="F21" s="8">
        <v>1400</v>
      </c>
    </row>
    <row r="22" spans="1:6" x14ac:dyDescent="0.25">
      <c r="A22" s="6" t="s">
        <v>25</v>
      </c>
      <c r="B22" t="s">
        <v>5</v>
      </c>
      <c r="C22" s="8">
        <v>832</v>
      </c>
      <c r="D22" s="8">
        <v>960</v>
      </c>
      <c r="E22" s="8">
        <v>1400</v>
      </c>
      <c r="F22" s="8">
        <v>11000</v>
      </c>
    </row>
    <row r="23" spans="1:6" x14ac:dyDescent="0.25">
      <c r="A23" s="6" t="s">
        <v>26</v>
      </c>
      <c r="B23" t="s">
        <v>5</v>
      </c>
      <c r="C23" s="8">
        <v>120</v>
      </c>
      <c r="D23" s="8">
        <v>213</v>
      </c>
      <c r="E23" s="8">
        <v>660</v>
      </c>
      <c r="F23" s="8">
        <v>800</v>
      </c>
    </row>
    <row r="24" spans="1:6" x14ac:dyDescent="0.25">
      <c r="A24" t="s">
        <v>27</v>
      </c>
      <c r="B24" t="s">
        <v>5</v>
      </c>
      <c r="C24" s="12"/>
      <c r="D24" s="12"/>
      <c r="E24" s="12"/>
      <c r="F24" s="13" t="s">
        <v>39</v>
      </c>
    </row>
    <row r="25" spans="1:6" x14ac:dyDescent="0.25">
      <c r="A25" t="s">
        <v>28</v>
      </c>
      <c r="B25" t="s">
        <v>5</v>
      </c>
      <c r="C25" s="12"/>
      <c r="D25" s="12"/>
      <c r="E25" s="12"/>
      <c r="F25" s="13" t="s">
        <v>42</v>
      </c>
    </row>
    <row r="26" spans="1:6" x14ac:dyDescent="0.25">
      <c r="A26" t="s">
        <v>29</v>
      </c>
      <c r="B26" t="s">
        <v>5</v>
      </c>
      <c r="C26" s="12"/>
      <c r="D26" s="12"/>
      <c r="E26" s="12"/>
      <c r="F26" s="13" t="s">
        <v>39</v>
      </c>
    </row>
    <row r="27" spans="1:6" x14ac:dyDescent="0.25">
      <c r="A27" t="s">
        <v>30</v>
      </c>
      <c r="B27" t="s">
        <v>5</v>
      </c>
      <c r="C27" s="12"/>
      <c r="D27" s="12"/>
      <c r="E27" s="12"/>
      <c r="F27" s="13" t="s">
        <v>39</v>
      </c>
    </row>
    <row r="28" spans="1:6" x14ac:dyDescent="0.25">
      <c r="A28" t="s">
        <v>31</v>
      </c>
      <c r="B28" t="s">
        <v>5</v>
      </c>
      <c r="C28" s="12"/>
      <c r="D28" s="12"/>
      <c r="E28" s="12"/>
      <c r="F28" s="13" t="s">
        <v>39</v>
      </c>
    </row>
    <row r="29" spans="1:6" x14ac:dyDescent="0.25">
      <c r="A29" t="s">
        <v>32</v>
      </c>
      <c r="B29" t="s">
        <v>5</v>
      </c>
      <c r="C29" s="12"/>
      <c r="D29" s="12"/>
      <c r="E29" s="12"/>
      <c r="F29" s="13" t="s">
        <v>39</v>
      </c>
    </row>
    <row r="33" spans="1:6" x14ac:dyDescent="0.25">
      <c r="A33" s="9" t="s">
        <v>33</v>
      </c>
      <c r="B33" s="9" t="s">
        <v>1</v>
      </c>
      <c r="C33" s="10" t="s">
        <v>36</v>
      </c>
      <c r="D33" s="10" t="s">
        <v>37</v>
      </c>
      <c r="E33" s="10" t="s">
        <v>38</v>
      </c>
      <c r="F33" s="10" t="s">
        <v>40</v>
      </c>
    </row>
    <row r="34" spans="1:6" x14ac:dyDescent="0.25">
      <c r="A34" t="s">
        <v>4</v>
      </c>
      <c r="B34" t="s">
        <v>5</v>
      </c>
      <c r="C34" s="8">
        <v>38298</v>
      </c>
      <c r="D34" s="8">
        <v>38752</v>
      </c>
      <c r="E34" s="8">
        <v>38077</v>
      </c>
      <c r="F34" s="13" t="s">
        <v>39</v>
      </c>
    </row>
    <row r="35" spans="1:6" x14ac:dyDescent="0.25">
      <c r="A35" s="6" t="s">
        <v>9</v>
      </c>
      <c r="B35" t="s">
        <v>5</v>
      </c>
      <c r="C35" s="8">
        <v>37277</v>
      </c>
      <c r="D35" s="8">
        <v>38600</v>
      </c>
      <c r="E35" s="8">
        <v>38466</v>
      </c>
      <c r="F35" s="8">
        <v>37900</v>
      </c>
    </row>
    <row r="36" spans="1:6" x14ac:dyDescent="0.25">
      <c r="A36" t="s">
        <v>8</v>
      </c>
      <c r="B36" t="s">
        <v>5</v>
      </c>
      <c r="C36" s="8">
        <v>35050</v>
      </c>
      <c r="D36" s="8">
        <v>36864</v>
      </c>
      <c r="E36" s="8">
        <v>36954</v>
      </c>
      <c r="F36" s="13" t="s">
        <v>39</v>
      </c>
    </row>
    <row r="37" spans="1:6" x14ac:dyDescent="0.25">
      <c r="A37" t="s">
        <v>14</v>
      </c>
      <c r="B37" t="s">
        <v>5</v>
      </c>
      <c r="C37" s="8">
        <v>27767</v>
      </c>
      <c r="D37" s="8">
        <v>25200</v>
      </c>
      <c r="E37" s="8">
        <v>25015</v>
      </c>
      <c r="F37" s="13" t="s">
        <v>39</v>
      </c>
    </row>
    <row r="38" spans="1:6" x14ac:dyDescent="0.25">
      <c r="A38" t="s">
        <v>11</v>
      </c>
      <c r="B38" t="s">
        <v>5</v>
      </c>
      <c r="C38" s="8">
        <v>27639</v>
      </c>
      <c r="D38" s="8">
        <v>28700</v>
      </c>
      <c r="E38" s="8">
        <v>28529</v>
      </c>
      <c r="F38" s="13" t="s">
        <v>39</v>
      </c>
    </row>
    <row r="39" spans="1:6" x14ac:dyDescent="0.25">
      <c r="A39" t="s">
        <v>6</v>
      </c>
      <c r="B39" t="s">
        <v>5</v>
      </c>
      <c r="C39" s="8">
        <v>26124</v>
      </c>
      <c r="D39" s="8">
        <v>26700</v>
      </c>
      <c r="E39" s="8">
        <v>26900</v>
      </c>
      <c r="F39" s="13" t="s">
        <v>39</v>
      </c>
    </row>
    <row r="40" spans="1:6" x14ac:dyDescent="0.25">
      <c r="A40" s="6" t="s">
        <v>12</v>
      </c>
      <c r="B40" t="s">
        <v>5</v>
      </c>
      <c r="C40" s="8">
        <v>23604</v>
      </c>
      <c r="D40" s="8">
        <v>25200</v>
      </c>
      <c r="E40" s="8">
        <v>24854</v>
      </c>
      <c r="F40" s="8">
        <v>23800</v>
      </c>
    </row>
    <row r="41" spans="1:6" x14ac:dyDescent="0.25">
      <c r="A41" t="s">
        <v>26</v>
      </c>
      <c r="B41" t="s">
        <v>5</v>
      </c>
      <c r="C41" s="8">
        <v>22527</v>
      </c>
      <c r="D41" s="8">
        <v>23600</v>
      </c>
      <c r="E41" s="8">
        <v>23520</v>
      </c>
      <c r="F41" s="13" t="s">
        <v>39</v>
      </c>
    </row>
    <row r="42" spans="1:6" x14ac:dyDescent="0.25">
      <c r="A42" t="s">
        <v>16</v>
      </c>
      <c r="B42" t="s">
        <v>5</v>
      </c>
      <c r="C42" s="8">
        <v>17371</v>
      </c>
      <c r="D42" s="8">
        <v>18600</v>
      </c>
      <c r="E42" s="8">
        <v>18518</v>
      </c>
      <c r="F42" s="13" t="s">
        <v>39</v>
      </c>
    </row>
    <row r="43" spans="1:6" x14ac:dyDescent="0.25">
      <c r="A43" t="s">
        <v>10</v>
      </c>
      <c r="B43" t="s">
        <v>5</v>
      </c>
      <c r="C43" s="8">
        <v>14687</v>
      </c>
      <c r="D43" s="8">
        <v>14800</v>
      </c>
      <c r="E43" s="8">
        <v>14672</v>
      </c>
      <c r="F43" s="13" t="s">
        <v>39</v>
      </c>
    </row>
    <row r="44" spans="1:6" x14ac:dyDescent="0.25">
      <c r="A44" t="s">
        <v>13</v>
      </c>
      <c r="B44" t="s">
        <v>5</v>
      </c>
      <c r="C44" s="8">
        <v>7865</v>
      </c>
      <c r="D44" s="8">
        <v>7838</v>
      </c>
      <c r="E44" s="8">
        <v>7713</v>
      </c>
      <c r="F44" s="13" t="s">
        <v>39</v>
      </c>
    </row>
    <row r="45" spans="1:6" x14ac:dyDescent="0.25">
      <c r="A45" s="6" t="s">
        <v>7</v>
      </c>
      <c r="B45" t="s">
        <v>5</v>
      </c>
      <c r="C45" s="8">
        <v>6037</v>
      </c>
      <c r="D45" s="8">
        <v>28226</v>
      </c>
      <c r="E45" s="8">
        <v>28253</v>
      </c>
      <c r="F45" s="8">
        <v>38900</v>
      </c>
    </row>
    <row r="46" spans="1:6" x14ac:dyDescent="0.25">
      <c r="A46" s="6" t="s">
        <v>20</v>
      </c>
      <c r="B46" t="s">
        <v>5</v>
      </c>
      <c r="C46" s="8">
        <v>4364</v>
      </c>
      <c r="D46" s="8">
        <v>4353</v>
      </c>
      <c r="E46" s="8">
        <v>4536</v>
      </c>
      <c r="F46" s="8">
        <v>4588</v>
      </c>
    </row>
    <row r="47" spans="1:6" x14ac:dyDescent="0.25">
      <c r="A47" t="s">
        <v>17</v>
      </c>
      <c r="B47" t="s">
        <v>5</v>
      </c>
      <c r="C47" s="8">
        <v>3922</v>
      </c>
      <c r="D47" s="8">
        <v>3977</v>
      </c>
      <c r="E47" s="8">
        <v>3952</v>
      </c>
      <c r="F47" s="13" t="s">
        <v>39</v>
      </c>
    </row>
    <row r="48" spans="1:6" x14ac:dyDescent="0.25">
      <c r="A48" s="6" t="s">
        <v>21</v>
      </c>
      <c r="B48" t="s">
        <v>5</v>
      </c>
      <c r="C48" s="8">
        <v>3894</v>
      </c>
      <c r="D48" s="8">
        <v>3878</v>
      </c>
      <c r="E48" s="8">
        <v>3827</v>
      </c>
      <c r="F48" s="8">
        <v>3981</v>
      </c>
    </row>
    <row r="49" spans="1:6" x14ac:dyDescent="0.25">
      <c r="A49" t="s">
        <v>18</v>
      </c>
      <c r="B49" t="s">
        <v>5</v>
      </c>
      <c r="C49" s="8">
        <v>2950</v>
      </c>
      <c r="D49" s="8">
        <v>2984</v>
      </c>
      <c r="E49" s="8">
        <v>3150</v>
      </c>
      <c r="F49" s="13" t="s">
        <v>39</v>
      </c>
    </row>
    <row r="50" spans="1:6" x14ac:dyDescent="0.25">
      <c r="A50" s="6" t="s">
        <v>24</v>
      </c>
      <c r="B50" t="s">
        <v>5</v>
      </c>
      <c r="C50" s="8">
        <v>2919</v>
      </c>
      <c r="D50" s="8">
        <v>2926</v>
      </c>
      <c r="E50" s="8">
        <v>2900</v>
      </c>
      <c r="F50" s="8">
        <v>2936</v>
      </c>
    </row>
    <row r="51" spans="1:6" x14ac:dyDescent="0.25">
      <c r="A51" s="6" t="s">
        <v>19</v>
      </c>
      <c r="B51" t="s">
        <v>5</v>
      </c>
      <c r="C51" s="8">
        <v>2655</v>
      </c>
      <c r="D51" s="8">
        <v>2740</v>
      </c>
      <c r="E51" s="8">
        <v>3305</v>
      </c>
      <c r="F51" s="8">
        <v>3440</v>
      </c>
    </row>
    <row r="52" spans="1:6" x14ac:dyDescent="0.25">
      <c r="A52" t="s">
        <v>23</v>
      </c>
      <c r="B52" t="s">
        <v>5</v>
      </c>
      <c r="C52" s="8">
        <v>2406</v>
      </c>
      <c r="D52" s="8">
        <v>2410</v>
      </c>
      <c r="E52" s="8">
        <v>2390</v>
      </c>
      <c r="F52" s="13" t="s">
        <v>42</v>
      </c>
    </row>
    <row r="53" spans="1:6" x14ac:dyDescent="0.25">
      <c r="A53" s="6" t="s">
        <v>25</v>
      </c>
      <c r="B53" t="s">
        <v>5</v>
      </c>
      <c r="C53" s="8">
        <v>1392</v>
      </c>
      <c r="D53" s="8">
        <v>1553</v>
      </c>
      <c r="E53" s="8">
        <v>2453</v>
      </c>
      <c r="F53" s="8">
        <v>5084</v>
      </c>
    </row>
    <row r="54" spans="1:6" x14ac:dyDescent="0.25">
      <c r="A54" s="6" t="s">
        <v>15</v>
      </c>
      <c r="B54" t="s">
        <v>5</v>
      </c>
      <c r="C54" s="8">
        <v>970</v>
      </c>
      <c r="D54" s="8">
        <v>2598</v>
      </c>
      <c r="E54" s="8">
        <v>2576</v>
      </c>
      <c r="F54" s="8">
        <v>5384</v>
      </c>
    </row>
    <row r="55" spans="1:6" x14ac:dyDescent="0.25">
      <c r="A55" s="6" t="s">
        <v>22</v>
      </c>
      <c r="B55" t="s">
        <v>5</v>
      </c>
      <c r="C55" s="8">
        <v>493</v>
      </c>
      <c r="D55" s="8">
        <v>719</v>
      </c>
      <c r="E55" s="8">
        <v>711</v>
      </c>
      <c r="F55" s="8">
        <v>726</v>
      </c>
    </row>
    <row r="56" spans="1:6" x14ac:dyDescent="0.25">
      <c r="A56" t="s">
        <v>27</v>
      </c>
      <c r="B56" t="s">
        <v>5</v>
      </c>
      <c r="C56" s="12">
        <v>0</v>
      </c>
      <c r="D56" s="12"/>
      <c r="E56" s="12"/>
      <c r="F56" s="13" t="s">
        <v>39</v>
      </c>
    </row>
    <row r="57" spans="1:6" x14ac:dyDescent="0.25">
      <c r="A57" t="s">
        <v>28</v>
      </c>
      <c r="B57" t="s">
        <v>5</v>
      </c>
      <c r="C57" s="12">
        <v>0</v>
      </c>
      <c r="D57" s="12"/>
      <c r="E57" s="12"/>
      <c r="F57" s="13" t="s">
        <v>42</v>
      </c>
    </row>
    <row r="58" spans="1:6" x14ac:dyDescent="0.25">
      <c r="A58" t="s">
        <v>29</v>
      </c>
      <c r="B58" t="s">
        <v>5</v>
      </c>
      <c r="C58" s="12"/>
      <c r="D58" s="12"/>
      <c r="E58" s="12"/>
      <c r="F58" s="13" t="s">
        <v>39</v>
      </c>
    </row>
    <row r="59" spans="1:6" x14ac:dyDescent="0.25">
      <c r="A59" t="s">
        <v>30</v>
      </c>
      <c r="B59" t="s">
        <v>5</v>
      </c>
      <c r="C59" s="12"/>
      <c r="D59" s="12"/>
      <c r="E59" s="12"/>
      <c r="F59" s="13" t="s">
        <v>39</v>
      </c>
    </row>
    <row r="60" spans="1:6" x14ac:dyDescent="0.25">
      <c r="A60" t="s">
        <v>31</v>
      </c>
      <c r="B60" t="s">
        <v>5</v>
      </c>
      <c r="C60" s="12"/>
      <c r="D60" s="12"/>
      <c r="E60" s="12"/>
      <c r="F60" s="13" t="s">
        <v>39</v>
      </c>
    </row>
    <row r="61" spans="1:6" x14ac:dyDescent="0.25">
      <c r="A61" t="s">
        <v>32</v>
      </c>
      <c r="B61" t="s">
        <v>5</v>
      </c>
      <c r="C61" s="12"/>
      <c r="D61" s="12"/>
      <c r="E61" s="12"/>
      <c r="F61" s="13" t="s">
        <v>39</v>
      </c>
    </row>
    <row r="65" spans="1:6" x14ac:dyDescent="0.25">
      <c r="A65" t="s">
        <v>34</v>
      </c>
      <c r="B65" t="s">
        <v>1</v>
      </c>
      <c r="C65" s="1" t="s">
        <v>36</v>
      </c>
      <c r="D65" s="1" t="s">
        <v>37</v>
      </c>
      <c r="E65" s="1" t="s">
        <v>38</v>
      </c>
      <c r="F65" s="1" t="s">
        <v>40</v>
      </c>
    </row>
    <row r="66" spans="1:6" x14ac:dyDescent="0.25">
      <c r="A66" s="6" t="s">
        <v>7</v>
      </c>
      <c r="B66" t="s">
        <v>5</v>
      </c>
      <c r="C66" s="8">
        <v>28972</v>
      </c>
      <c r="D66" s="8">
        <v>122348</v>
      </c>
      <c r="E66" s="8">
        <v>129952</v>
      </c>
      <c r="F66" s="8">
        <v>247000</v>
      </c>
    </row>
    <row r="67" spans="1:6" x14ac:dyDescent="0.25">
      <c r="A67" t="s">
        <v>4</v>
      </c>
      <c r="B67" t="s">
        <v>5</v>
      </c>
      <c r="C67" s="8">
        <v>69748</v>
      </c>
      <c r="D67" s="8">
        <v>70497</v>
      </c>
      <c r="E67" s="8">
        <v>70693</v>
      </c>
      <c r="F67" s="13" t="s">
        <v>39</v>
      </c>
    </row>
    <row r="68" spans="1:6" x14ac:dyDescent="0.25">
      <c r="A68" t="s">
        <v>6</v>
      </c>
      <c r="B68" t="s">
        <v>5</v>
      </c>
      <c r="C68" s="8">
        <v>26213</v>
      </c>
      <c r="D68" s="8">
        <v>28600</v>
      </c>
      <c r="E68" s="8">
        <v>29155</v>
      </c>
      <c r="F68" s="13" t="s">
        <v>39</v>
      </c>
    </row>
    <row r="69" spans="1:6" x14ac:dyDescent="0.25">
      <c r="A69" t="s">
        <v>10</v>
      </c>
      <c r="B69" t="s">
        <v>5</v>
      </c>
      <c r="C69" s="8">
        <v>15993</v>
      </c>
      <c r="D69" s="8">
        <v>18500</v>
      </c>
      <c r="E69" s="8">
        <v>18500</v>
      </c>
      <c r="F69" s="13" t="s">
        <v>39</v>
      </c>
    </row>
    <row r="70" spans="1:6" x14ac:dyDescent="0.25">
      <c r="A70" s="6" t="s">
        <v>9</v>
      </c>
      <c r="B70" t="s">
        <v>5</v>
      </c>
      <c r="C70" s="8">
        <v>15140</v>
      </c>
      <c r="D70" s="8">
        <v>17700</v>
      </c>
      <c r="E70" s="8">
        <v>18456</v>
      </c>
      <c r="F70" s="8">
        <v>21900</v>
      </c>
    </row>
    <row r="71" spans="1:6" x14ac:dyDescent="0.25">
      <c r="A71" t="s">
        <v>11</v>
      </c>
      <c r="B71" t="s">
        <v>5</v>
      </c>
      <c r="C71" s="8">
        <v>13241</v>
      </c>
      <c r="D71" s="8">
        <v>15900</v>
      </c>
      <c r="E71" s="8">
        <v>15960</v>
      </c>
      <c r="F71" s="13" t="s">
        <v>39</v>
      </c>
    </row>
    <row r="72" spans="1:6" x14ac:dyDescent="0.25">
      <c r="A72" t="s">
        <v>8</v>
      </c>
      <c r="B72" t="s">
        <v>5</v>
      </c>
      <c r="C72" s="8">
        <v>13241</v>
      </c>
      <c r="D72" s="8">
        <v>15900</v>
      </c>
      <c r="E72" s="8">
        <v>15960</v>
      </c>
      <c r="F72" s="13" t="s">
        <v>39</v>
      </c>
    </row>
    <row r="73" spans="1:6" x14ac:dyDescent="0.25">
      <c r="A73" s="6" t="s">
        <v>12</v>
      </c>
      <c r="B73" t="s">
        <v>5</v>
      </c>
      <c r="C73" s="8">
        <v>12471</v>
      </c>
      <c r="D73" s="8">
        <v>13700</v>
      </c>
      <c r="E73" s="8">
        <v>13782</v>
      </c>
      <c r="F73" s="8">
        <v>13700</v>
      </c>
    </row>
    <row r="74" spans="1:6" x14ac:dyDescent="0.25">
      <c r="A74" t="s">
        <v>14</v>
      </c>
      <c r="B74" t="s">
        <v>5</v>
      </c>
      <c r="C74" s="8">
        <v>10426</v>
      </c>
      <c r="D74" s="8">
        <v>10600</v>
      </c>
      <c r="E74" s="8">
        <v>10592</v>
      </c>
      <c r="F74" s="13" t="s">
        <v>39</v>
      </c>
    </row>
    <row r="75" spans="1:6" x14ac:dyDescent="0.25">
      <c r="A75" t="s">
        <v>16</v>
      </c>
      <c r="B75" t="s">
        <v>5</v>
      </c>
      <c r="C75" s="8">
        <v>7629</v>
      </c>
      <c r="D75" s="8">
        <v>8677</v>
      </c>
      <c r="E75" s="8">
        <v>8614</v>
      </c>
      <c r="F75" s="13" t="s">
        <v>39</v>
      </c>
    </row>
    <row r="76" spans="1:6" x14ac:dyDescent="0.25">
      <c r="A76" t="s">
        <v>13</v>
      </c>
      <c r="B76" t="s">
        <v>5</v>
      </c>
      <c r="C76" s="8">
        <v>7804</v>
      </c>
      <c r="D76" s="8">
        <v>7738</v>
      </c>
      <c r="E76" s="8">
        <v>7825</v>
      </c>
      <c r="F76" s="13" t="s">
        <v>39</v>
      </c>
    </row>
    <row r="77" spans="1:6" x14ac:dyDescent="0.25">
      <c r="A77" s="6" t="s">
        <v>22</v>
      </c>
      <c r="B77" t="s">
        <v>5</v>
      </c>
      <c r="C77" s="8">
        <v>3707</v>
      </c>
      <c r="D77" s="8">
        <v>5301</v>
      </c>
      <c r="E77" s="8">
        <v>5527</v>
      </c>
      <c r="F77" s="8">
        <v>2992</v>
      </c>
    </row>
    <row r="78" spans="1:6" x14ac:dyDescent="0.25">
      <c r="A78" s="6" t="s">
        <v>15</v>
      </c>
      <c r="B78" t="s">
        <v>5</v>
      </c>
      <c r="C78" s="8">
        <v>1110</v>
      </c>
      <c r="D78" s="8">
        <v>4742</v>
      </c>
      <c r="E78" s="8">
        <v>4827</v>
      </c>
      <c r="F78" s="8">
        <v>22300</v>
      </c>
    </row>
    <row r="79" spans="1:6" x14ac:dyDescent="0.25">
      <c r="A79" s="6" t="s">
        <v>19</v>
      </c>
      <c r="B79" t="s">
        <v>5</v>
      </c>
      <c r="C79" s="8">
        <v>2166</v>
      </c>
      <c r="D79" s="8">
        <v>2443</v>
      </c>
      <c r="E79" s="8">
        <v>2979</v>
      </c>
      <c r="F79" s="8">
        <v>3103</v>
      </c>
    </row>
    <row r="80" spans="1:6" x14ac:dyDescent="0.25">
      <c r="A80" t="s">
        <v>17</v>
      </c>
      <c r="B80" t="s">
        <v>5</v>
      </c>
      <c r="C80" s="8">
        <v>1909</v>
      </c>
      <c r="D80" s="8">
        <v>1988</v>
      </c>
      <c r="E80" s="8">
        <v>1987</v>
      </c>
      <c r="F80" s="13" t="s">
        <v>39</v>
      </c>
    </row>
    <row r="81" spans="1:6" x14ac:dyDescent="0.25">
      <c r="A81" t="s">
        <v>23</v>
      </c>
      <c r="B81" t="s">
        <v>5</v>
      </c>
      <c r="C81" s="8">
        <v>1989</v>
      </c>
      <c r="D81" s="8">
        <v>1958</v>
      </c>
      <c r="E81" s="8">
        <v>1927</v>
      </c>
      <c r="F81" s="13" t="s">
        <v>42</v>
      </c>
    </row>
    <row r="82" spans="1:6" x14ac:dyDescent="0.25">
      <c r="A82" t="s">
        <v>18</v>
      </c>
      <c r="B82" t="s">
        <v>5</v>
      </c>
      <c r="C82" s="8">
        <v>1587</v>
      </c>
      <c r="D82" s="8">
        <v>1609</v>
      </c>
      <c r="E82" s="8">
        <v>2162</v>
      </c>
      <c r="F82" s="13" t="s">
        <v>39</v>
      </c>
    </row>
    <row r="83" spans="1:6" x14ac:dyDescent="0.25">
      <c r="A83" s="6" t="s">
        <v>21</v>
      </c>
      <c r="B83" t="s">
        <v>5</v>
      </c>
      <c r="C83" s="8">
        <v>860</v>
      </c>
      <c r="D83" s="8">
        <v>849</v>
      </c>
      <c r="E83" s="8">
        <v>835</v>
      </c>
      <c r="F83" s="13" t="s">
        <v>41</v>
      </c>
    </row>
    <row r="84" spans="1:6" x14ac:dyDescent="0.25">
      <c r="A84" s="6" t="s">
        <v>25</v>
      </c>
      <c r="B84" t="s">
        <v>5</v>
      </c>
      <c r="C84" s="8">
        <v>565</v>
      </c>
      <c r="D84" s="8">
        <v>812</v>
      </c>
      <c r="E84" s="8">
        <v>2582</v>
      </c>
      <c r="F84" s="8">
        <v>17600</v>
      </c>
    </row>
    <row r="85" spans="1:6" x14ac:dyDescent="0.25">
      <c r="A85" s="6" t="s">
        <v>24</v>
      </c>
      <c r="B85" t="s">
        <v>5</v>
      </c>
      <c r="C85" s="8">
        <v>658</v>
      </c>
      <c r="D85" s="8">
        <v>780</v>
      </c>
      <c r="E85" s="8">
        <v>820</v>
      </c>
      <c r="F85" s="8">
        <v>1179</v>
      </c>
    </row>
    <row r="86" spans="1:6" x14ac:dyDescent="0.25">
      <c r="A86" s="6" t="s">
        <v>20</v>
      </c>
      <c r="B86" t="s">
        <v>5</v>
      </c>
      <c r="C86" s="8">
        <v>571</v>
      </c>
      <c r="D86" s="8">
        <v>608</v>
      </c>
      <c r="E86" s="8">
        <v>860</v>
      </c>
      <c r="F86" s="8">
        <v>1508</v>
      </c>
    </row>
    <row r="87" spans="1:6" x14ac:dyDescent="0.25">
      <c r="A87" t="s">
        <v>26</v>
      </c>
      <c r="B87" t="s">
        <v>5</v>
      </c>
      <c r="C87" s="8">
        <v>387</v>
      </c>
      <c r="D87" s="8">
        <v>501</v>
      </c>
      <c r="E87" s="8">
        <v>1249</v>
      </c>
      <c r="F87" s="13" t="s">
        <v>39</v>
      </c>
    </row>
    <row r="88" spans="1:6" x14ac:dyDescent="0.25">
      <c r="A88" t="s">
        <v>27</v>
      </c>
      <c r="B88" t="s">
        <v>5</v>
      </c>
      <c r="C88" s="12">
        <v>0</v>
      </c>
      <c r="D88" s="12"/>
      <c r="E88" s="12"/>
      <c r="F88" s="13" t="s">
        <v>39</v>
      </c>
    </row>
    <row r="89" spans="1:6" x14ac:dyDescent="0.25">
      <c r="A89" t="s">
        <v>28</v>
      </c>
      <c r="B89" t="s">
        <v>5</v>
      </c>
      <c r="C89" s="12">
        <v>0</v>
      </c>
      <c r="D89" s="12"/>
      <c r="E89" s="12"/>
      <c r="F89" s="13" t="s">
        <v>42</v>
      </c>
    </row>
    <row r="90" spans="1:6" x14ac:dyDescent="0.25">
      <c r="A90" t="s">
        <v>29</v>
      </c>
      <c r="B90" t="s">
        <v>5</v>
      </c>
      <c r="C90" s="12"/>
      <c r="D90" s="12"/>
      <c r="E90" s="12"/>
      <c r="F90" s="13" t="s">
        <v>39</v>
      </c>
    </row>
    <row r="91" spans="1:6" x14ac:dyDescent="0.25">
      <c r="A91" t="s">
        <v>30</v>
      </c>
      <c r="B91" t="s">
        <v>5</v>
      </c>
      <c r="C91" s="12"/>
      <c r="D91" s="12"/>
      <c r="E91" s="12"/>
      <c r="F91" s="13" t="s">
        <v>39</v>
      </c>
    </row>
    <row r="92" spans="1:6" x14ac:dyDescent="0.25">
      <c r="A92" t="s">
        <v>31</v>
      </c>
      <c r="B92" t="s">
        <v>5</v>
      </c>
      <c r="C92" s="12"/>
      <c r="D92" s="12"/>
      <c r="E92" s="12"/>
      <c r="F92" s="13" t="s">
        <v>39</v>
      </c>
    </row>
    <row r="93" spans="1:6" x14ac:dyDescent="0.25">
      <c r="A93" t="s">
        <v>32</v>
      </c>
      <c r="B93" t="s">
        <v>5</v>
      </c>
      <c r="C93" s="12"/>
      <c r="D93" s="12"/>
      <c r="E93" s="12"/>
      <c r="F93" s="13" t="s">
        <v>39</v>
      </c>
    </row>
    <row r="96" spans="1:6" x14ac:dyDescent="0.25">
      <c r="A96" t="s">
        <v>35</v>
      </c>
      <c r="B96" t="s">
        <v>1</v>
      </c>
      <c r="C96" s="1" t="s">
        <v>36</v>
      </c>
      <c r="D96" s="1" t="s">
        <v>37</v>
      </c>
      <c r="E96" s="1" t="s">
        <v>38</v>
      </c>
      <c r="F96" s="1" t="s">
        <v>40</v>
      </c>
    </row>
    <row r="97" spans="1:6" x14ac:dyDescent="0.25">
      <c r="A97" t="s">
        <v>4</v>
      </c>
      <c r="B97" t="s">
        <v>5</v>
      </c>
      <c r="C97" s="8">
        <v>217778</v>
      </c>
      <c r="D97" s="8">
        <v>215297</v>
      </c>
      <c r="E97" s="8">
        <v>218514</v>
      </c>
      <c r="F97" s="13" t="s">
        <v>39</v>
      </c>
    </row>
    <row r="98" spans="1:6" x14ac:dyDescent="0.25">
      <c r="A98" t="s">
        <v>7</v>
      </c>
      <c r="B98" t="s">
        <v>5</v>
      </c>
      <c r="C98" s="8">
        <v>65565</v>
      </c>
      <c r="D98" s="8">
        <v>197374</v>
      </c>
      <c r="E98" s="8">
        <v>208801</v>
      </c>
      <c r="F98" s="8">
        <f>F4+F45+F66</f>
        <v>348900</v>
      </c>
    </row>
    <row r="99" spans="1:6" x14ac:dyDescent="0.25">
      <c r="A99" t="s">
        <v>6</v>
      </c>
      <c r="B99" t="s">
        <v>5</v>
      </c>
      <c r="C99" s="8">
        <v>96600</v>
      </c>
      <c r="D99" s="8">
        <v>102389</v>
      </c>
      <c r="E99" s="8">
        <v>73384</v>
      </c>
      <c r="F99" s="13" t="s">
        <v>39</v>
      </c>
    </row>
    <row r="100" spans="1:6" x14ac:dyDescent="0.25">
      <c r="A100" t="s">
        <v>9</v>
      </c>
      <c r="B100" t="s">
        <v>5</v>
      </c>
      <c r="C100" s="8">
        <v>88996</v>
      </c>
      <c r="D100" s="8">
        <v>95875</v>
      </c>
      <c r="E100" s="8">
        <v>97449</v>
      </c>
      <c r="F100" s="8">
        <f>F6+F35+F70</f>
        <v>101800</v>
      </c>
    </row>
    <row r="101" spans="1:6" x14ac:dyDescent="0.25">
      <c r="A101" t="s">
        <v>8</v>
      </c>
      <c r="B101" t="s">
        <v>5</v>
      </c>
      <c r="C101" s="8">
        <v>88107</v>
      </c>
      <c r="D101" s="8">
        <v>93488</v>
      </c>
      <c r="E101" s="8">
        <v>97171</v>
      </c>
      <c r="F101" s="13" t="s">
        <v>39</v>
      </c>
    </row>
    <row r="102" spans="1:6" x14ac:dyDescent="0.25">
      <c r="A102" t="s">
        <v>11</v>
      </c>
      <c r="B102" t="s">
        <v>5</v>
      </c>
      <c r="C102" s="8">
        <v>65863</v>
      </c>
      <c r="D102" s="8">
        <v>71659</v>
      </c>
      <c r="E102" s="8">
        <v>71555</v>
      </c>
      <c r="F102" s="13" t="s">
        <v>39</v>
      </c>
    </row>
    <row r="103" spans="1:6" x14ac:dyDescent="0.25">
      <c r="A103" t="s">
        <v>10</v>
      </c>
      <c r="B103" t="s">
        <v>5</v>
      </c>
      <c r="C103" s="8">
        <v>60135</v>
      </c>
      <c r="D103" s="8">
        <v>63742</v>
      </c>
      <c r="E103" s="8">
        <v>63808</v>
      </c>
      <c r="F103" s="13" t="s">
        <v>39</v>
      </c>
    </row>
    <row r="104" spans="1:6" x14ac:dyDescent="0.25">
      <c r="A104" t="s">
        <v>12</v>
      </c>
      <c r="B104" t="s">
        <v>5</v>
      </c>
      <c r="C104" s="8">
        <v>49906</v>
      </c>
      <c r="D104" s="8">
        <v>54846</v>
      </c>
      <c r="E104" s="8">
        <v>54731</v>
      </c>
      <c r="F104" s="8">
        <f>F9+F40+F73</f>
        <v>53500</v>
      </c>
    </row>
    <row r="105" spans="1:6" x14ac:dyDescent="0.25">
      <c r="A105" t="s">
        <v>14</v>
      </c>
      <c r="B105" t="s">
        <v>5</v>
      </c>
      <c r="C105" s="8">
        <v>51318</v>
      </c>
      <c r="D105" s="8">
        <v>50479</v>
      </c>
      <c r="E105" s="8">
        <v>49607</v>
      </c>
      <c r="F105" s="13" t="s">
        <v>39</v>
      </c>
    </row>
    <row r="106" spans="1:6" x14ac:dyDescent="0.25">
      <c r="A106" t="s">
        <v>16</v>
      </c>
      <c r="B106" t="s">
        <v>5</v>
      </c>
      <c r="C106" s="8">
        <v>32499</v>
      </c>
      <c r="D106" s="8">
        <v>36261</v>
      </c>
      <c r="E106" s="8">
        <v>36032</v>
      </c>
      <c r="F106" s="13" t="s">
        <v>39</v>
      </c>
    </row>
    <row r="107" spans="1:6" x14ac:dyDescent="0.25">
      <c r="A107" t="s">
        <v>13</v>
      </c>
      <c r="B107" t="s">
        <v>5</v>
      </c>
      <c r="C107" s="12" t="e">
        <v>#N/A</v>
      </c>
      <c r="D107" s="12" t="e">
        <v>#N/A</v>
      </c>
      <c r="E107" s="12" t="e">
        <v>#N/A</v>
      </c>
      <c r="F107" s="13" t="s">
        <v>39</v>
      </c>
    </row>
    <row r="108" spans="1:6" x14ac:dyDescent="0.25">
      <c r="A108" t="s">
        <v>26</v>
      </c>
      <c r="B108" t="s">
        <v>5</v>
      </c>
      <c r="C108" s="8">
        <v>23034</v>
      </c>
      <c r="D108" s="8">
        <v>24314</v>
      </c>
      <c r="E108" s="8">
        <v>25429</v>
      </c>
      <c r="F108" s="8">
        <f>F23</f>
        <v>800</v>
      </c>
    </row>
    <row r="109" spans="1:6" x14ac:dyDescent="0.25">
      <c r="A109" t="s">
        <v>15</v>
      </c>
      <c r="B109" t="s">
        <v>5</v>
      </c>
      <c r="C109" s="8">
        <v>4212</v>
      </c>
      <c r="D109" s="8">
        <v>17240</v>
      </c>
      <c r="E109" s="8">
        <v>17577</v>
      </c>
      <c r="F109" s="8">
        <f>F12+F54+F78</f>
        <v>40684</v>
      </c>
    </row>
    <row r="110" spans="1:6" x14ac:dyDescent="0.25">
      <c r="A110" t="s">
        <v>17</v>
      </c>
      <c r="B110" t="s">
        <v>5</v>
      </c>
      <c r="C110" s="8">
        <v>12244</v>
      </c>
      <c r="D110" s="8">
        <v>12528</v>
      </c>
      <c r="E110" s="8">
        <v>12507</v>
      </c>
      <c r="F110" s="13" t="s">
        <v>39</v>
      </c>
    </row>
    <row r="111" spans="1:6" x14ac:dyDescent="0.25">
      <c r="A111" t="s">
        <v>18</v>
      </c>
      <c r="B111" t="s">
        <v>5</v>
      </c>
      <c r="C111" s="8">
        <v>8908</v>
      </c>
      <c r="D111" s="8">
        <v>9561</v>
      </c>
      <c r="E111" s="8">
        <v>10612</v>
      </c>
      <c r="F111" s="13" t="s">
        <v>39</v>
      </c>
    </row>
    <row r="112" spans="1:6" x14ac:dyDescent="0.25">
      <c r="A112" t="s">
        <v>19</v>
      </c>
      <c r="B112" t="s">
        <v>5</v>
      </c>
      <c r="C112" s="8">
        <v>8509</v>
      </c>
      <c r="D112" s="8">
        <v>9229</v>
      </c>
      <c r="E112" s="8">
        <v>10584</v>
      </c>
      <c r="F112" s="8">
        <f>F16+F51+F79</f>
        <v>11143</v>
      </c>
    </row>
    <row r="113" spans="1:6" x14ac:dyDescent="0.25">
      <c r="A113" t="s">
        <v>20</v>
      </c>
      <c r="B113" t="s">
        <v>5</v>
      </c>
      <c r="C113" s="8">
        <v>8268</v>
      </c>
      <c r="D113" s="8">
        <v>8448</v>
      </c>
      <c r="E113" s="8">
        <v>8996</v>
      </c>
      <c r="F113" s="8">
        <f>F17+F46+F86</f>
        <v>9896</v>
      </c>
    </row>
    <row r="114" spans="1:6" x14ac:dyDescent="0.25">
      <c r="A114" t="s">
        <v>22</v>
      </c>
      <c r="B114" t="s">
        <v>5</v>
      </c>
      <c r="C114" s="8">
        <v>4241</v>
      </c>
      <c r="D114" s="8">
        <v>7585</v>
      </c>
      <c r="E114" s="8">
        <v>8426</v>
      </c>
      <c r="F114" s="8">
        <f>F19+F55+F77</f>
        <v>7218</v>
      </c>
    </row>
    <row r="115" spans="1:6" x14ac:dyDescent="0.25">
      <c r="A115" t="s">
        <v>21</v>
      </c>
      <c r="B115" t="s">
        <v>5</v>
      </c>
      <c r="C115" s="8">
        <v>6802</v>
      </c>
      <c r="D115" s="8">
        <v>6777</v>
      </c>
      <c r="E115" s="8">
        <v>6762</v>
      </c>
      <c r="F115" s="8">
        <f>F18+F48</f>
        <v>6581</v>
      </c>
    </row>
    <row r="116" spans="1:6" x14ac:dyDescent="0.25">
      <c r="A116" t="s">
        <v>23</v>
      </c>
      <c r="B116" t="s">
        <v>5</v>
      </c>
      <c r="C116" s="8">
        <v>5902</v>
      </c>
      <c r="D116" s="8">
        <v>5859</v>
      </c>
      <c r="E116" s="8">
        <v>5717</v>
      </c>
      <c r="F116" s="13" t="s">
        <v>42</v>
      </c>
    </row>
    <row r="117" spans="1:6" x14ac:dyDescent="0.25">
      <c r="A117" t="s">
        <v>24</v>
      </c>
      <c r="B117" t="s">
        <v>5</v>
      </c>
      <c r="C117" s="8">
        <v>4827</v>
      </c>
      <c r="D117" s="8">
        <v>5047</v>
      </c>
      <c r="E117" s="8">
        <v>5020</v>
      </c>
      <c r="F117" s="8">
        <f>F21+F50+F85</f>
        <v>5515</v>
      </c>
    </row>
    <row r="118" spans="1:6" x14ac:dyDescent="0.25">
      <c r="A118" t="s">
        <v>25</v>
      </c>
      <c r="B118" t="s">
        <v>5</v>
      </c>
      <c r="C118" s="12" t="e">
        <v>#N/A</v>
      </c>
      <c r="D118" s="12" t="e">
        <v>#N/A</v>
      </c>
      <c r="E118" s="12" t="e">
        <v>#N/A</v>
      </c>
      <c r="F118" s="8">
        <f>F22+F53+F84</f>
        <v>33684</v>
      </c>
    </row>
    <row r="119" spans="1:6" x14ac:dyDescent="0.25">
      <c r="A119" t="s">
        <v>27</v>
      </c>
      <c r="B119" t="s">
        <v>5</v>
      </c>
      <c r="C119" s="12">
        <v>0</v>
      </c>
      <c r="D119" s="12"/>
      <c r="E119" s="12"/>
      <c r="F119" s="13" t="s">
        <v>39</v>
      </c>
    </row>
    <row r="120" spans="1:6" x14ac:dyDescent="0.25">
      <c r="A120" t="s">
        <v>28</v>
      </c>
      <c r="B120" t="s">
        <v>5</v>
      </c>
      <c r="C120" s="12">
        <v>0</v>
      </c>
      <c r="D120" s="12"/>
      <c r="E120" s="12"/>
      <c r="F120" s="13" t="s">
        <v>42</v>
      </c>
    </row>
    <row r="121" spans="1:6" x14ac:dyDescent="0.25">
      <c r="A121" t="s">
        <v>29</v>
      </c>
      <c r="B121" t="s">
        <v>5</v>
      </c>
      <c r="C121" s="12"/>
      <c r="D121" s="12"/>
      <c r="E121" s="12"/>
      <c r="F121" s="13" t="s">
        <v>39</v>
      </c>
    </row>
    <row r="122" spans="1:6" x14ac:dyDescent="0.25">
      <c r="A122" t="s">
        <v>30</v>
      </c>
      <c r="B122" t="s">
        <v>5</v>
      </c>
      <c r="C122" s="12"/>
      <c r="D122" s="12"/>
      <c r="E122" s="12"/>
      <c r="F122" s="13" t="s">
        <v>39</v>
      </c>
    </row>
    <row r="123" spans="1:6" x14ac:dyDescent="0.25">
      <c r="A123" t="s">
        <v>31</v>
      </c>
      <c r="B123" t="s">
        <v>5</v>
      </c>
      <c r="C123" s="12"/>
      <c r="D123" s="12"/>
      <c r="E123" s="12"/>
      <c r="F123" s="13" t="s">
        <v>39</v>
      </c>
    </row>
    <row r="124" spans="1:6" x14ac:dyDescent="0.25">
      <c r="A124" t="s">
        <v>32</v>
      </c>
      <c r="B124" t="s">
        <v>5</v>
      </c>
      <c r="C124" s="12"/>
      <c r="D124" s="12"/>
      <c r="E124" s="12"/>
      <c r="F124" s="13" t="s">
        <v>39</v>
      </c>
    </row>
    <row r="126" spans="1:6" x14ac:dyDescent="0.25">
      <c r="A126" s="15" t="s">
        <v>35</v>
      </c>
      <c r="B126" s="11" t="s">
        <v>5</v>
      </c>
      <c r="C126" s="14"/>
      <c r="D126" s="14"/>
      <c r="E126" s="14"/>
      <c r="F126" s="16">
        <f>SUM(Tableau5[avr-24])</f>
        <v>619721</v>
      </c>
    </row>
  </sheetData>
  <hyperlinks>
    <hyperlink ref="A50" r:id="rId1" xr:uid="{77DE8294-9BA2-4B48-9739-D1F9F880937F}"/>
    <hyperlink ref="A21" r:id="rId2" xr:uid="{A968AA73-F716-4EB7-9254-86905A7C8915}"/>
    <hyperlink ref="A85" r:id="rId3" xr:uid="{D0D74155-DAEC-4818-8132-96F31FD7C00C}"/>
    <hyperlink ref="A12" r:id="rId4" xr:uid="{D6D4FE11-50EF-4CDF-8C78-CDFF9DE1DC78}"/>
    <hyperlink ref="A54" r:id="rId5" xr:uid="{D7E820B4-8B6E-4A49-94AA-0649A07F5FF8}"/>
    <hyperlink ref="A78" r:id="rId6" xr:uid="{D7CB2620-D9D2-42AE-A023-9F1D24C3F2EB}"/>
    <hyperlink ref="A22" r:id="rId7" xr:uid="{3D8FA568-5CE1-4D9D-916F-588F0B681904}"/>
    <hyperlink ref="A53" r:id="rId8" xr:uid="{A855567B-B370-4B36-9FAC-8349C5C86D03}"/>
    <hyperlink ref="A84" r:id="rId9" xr:uid="{AB95CBB2-74AF-4F1C-BC6E-F1A3A30A7E75}"/>
    <hyperlink ref="A6" r:id="rId10" xr:uid="{9352673D-D884-4545-9448-F5F74E7ACDEE}"/>
    <hyperlink ref="A70" r:id="rId11" xr:uid="{8368DAF2-727B-46FA-949C-0CC986ED048B}"/>
    <hyperlink ref="A35" r:id="rId12" xr:uid="{6134B4E2-6DB4-4672-A924-420DB6C26F71}"/>
    <hyperlink ref="A40" r:id="rId13" xr:uid="{D68830EA-907D-43A1-9CF8-12073CAC7FDC}"/>
    <hyperlink ref="A9" r:id="rId14" xr:uid="{274DBE49-A410-450C-9B12-759724FD7321}"/>
    <hyperlink ref="A73" r:id="rId15" xr:uid="{E7F47A9F-C026-42DA-93D5-0B9D9482535A}"/>
    <hyperlink ref="A66" r:id="rId16" xr:uid="{851C16AE-D4C9-4965-B349-372D4D773C21}"/>
    <hyperlink ref="A45" r:id="rId17" xr:uid="{2504FB4D-AE45-4C12-94C0-7A0C03447792}"/>
    <hyperlink ref="A4" r:id="rId18" xr:uid="{44C3F789-019B-44E0-9813-11723F1EDD2F}"/>
    <hyperlink ref="A79" r:id="rId19" xr:uid="{D07BA508-3872-4753-9173-DE469AF925A6}"/>
    <hyperlink ref="A16" r:id="rId20" xr:uid="{DA5B9C17-97AB-490B-96B8-481751C9B1CB}"/>
    <hyperlink ref="A51" r:id="rId21" xr:uid="{0CF5CD57-1C86-44E9-9D31-BC884A5A6A19}"/>
    <hyperlink ref="A23" r:id="rId22" xr:uid="{7449E7D1-B583-47E5-8A23-F3BE42E4D1CF}"/>
    <hyperlink ref="A46" r:id="rId23" xr:uid="{B1DC37C2-83E0-4230-BC32-8B72C00F3A21}"/>
    <hyperlink ref="A17" r:id="rId24" xr:uid="{DB3065C6-41D4-41A0-A4D9-49D3CA201E43}"/>
    <hyperlink ref="A86" r:id="rId25" xr:uid="{960D4E06-5D4A-4CF7-9472-B39C5ACF658D}"/>
    <hyperlink ref="A48" r:id="rId26" xr:uid="{92DB8F41-9C6C-4BD1-88AB-B753FBBBF579}"/>
    <hyperlink ref="A18" r:id="rId27" xr:uid="{56F89867-2DDE-4CE1-AE16-0B336428B071}"/>
    <hyperlink ref="A83" r:id="rId28" xr:uid="{806240DC-D536-4A5F-82C4-BED8835BEBB9}"/>
    <hyperlink ref="A19" r:id="rId29" xr:uid="{5E5588F8-C3EF-4D04-BA83-67B015357643}"/>
    <hyperlink ref="A55" r:id="rId30" xr:uid="{67620FD6-0900-4FAB-B42C-C9242A77900A}"/>
    <hyperlink ref="A77" r:id="rId31" xr:uid="{CA2318FB-F137-44C2-AAEE-E2A3DD633193}"/>
  </hyperlinks>
  <pageMargins left="0.7" right="0.7" top="0.75" bottom="0.75" header="0.3" footer="0.3"/>
  <pageSetup paperSize="9" orientation="portrait" r:id="rId32"/>
  <tableParts count="4">
    <tablePart r:id="rId33"/>
    <tablePart r:id="rId34"/>
    <tablePart r:id="rId35"/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00FF-0339-4A65-BBF0-62CB4F25C619}">
  <dimension ref="A1:E91"/>
  <sheetViews>
    <sheetView showGridLines="0" topLeftCell="A64" workbookViewId="0">
      <selection activeCell="H79" sqref="H79"/>
    </sheetView>
  </sheetViews>
  <sheetFormatPr baseColWidth="10" defaultRowHeight="15" x14ac:dyDescent="0.25"/>
  <cols>
    <col min="1" max="1" width="32.5703125" bestFit="1" customWidth="1"/>
    <col min="2" max="4" width="11.5703125" customWidth="1"/>
    <col min="5" max="5" width="15.28515625" bestFit="1" customWidth="1"/>
  </cols>
  <sheetData>
    <row r="1" spans="1:5" x14ac:dyDescent="0.25">
      <c r="A1" t="s">
        <v>0</v>
      </c>
      <c r="B1" s="1" t="s">
        <v>36</v>
      </c>
      <c r="C1" t="s">
        <v>43</v>
      </c>
      <c r="D1" s="1" t="s">
        <v>38</v>
      </c>
      <c r="E1" s="1" t="s">
        <v>40</v>
      </c>
    </row>
    <row r="2" spans="1:5" x14ac:dyDescent="0.25">
      <c r="A2" t="s">
        <v>44</v>
      </c>
      <c r="B2" s="8">
        <v>649587</v>
      </c>
      <c r="C2" s="8">
        <v>651070</v>
      </c>
      <c r="D2" s="8">
        <v>652841</v>
      </c>
      <c r="E2" s="13" t="s">
        <v>39</v>
      </c>
    </row>
    <row r="3" spans="1:5" x14ac:dyDescent="0.25">
      <c r="A3" t="s">
        <v>58</v>
      </c>
      <c r="B3" s="8">
        <v>619480</v>
      </c>
      <c r="C3" s="8">
        <v>629308</v>
      </c>
      <c r="D3" s="8">
        <v>631877</v>
      </c>
      <c r="E3" s="13" t="s">
        <v>39</v>
      </c>
    </row>
    <row r="4" spans="1:5" x14ac:dyDescent="0.25">
      <c r="A4" t="s">
        <v>59</v>
      </c>
      <c r="B4" s="8">
        <v>265883</v>
      </c>
      <c r="C4" s="8">
        <v>296660</v>
      </c>
      <c r="D4" s="8">
        <v>302077</v>
      </c>
      <c r="E4" s="13" t="s">
        <v>39</v>
      </c>
    </row>
    <row r="5" spans="1:5" x14ac:dyDescent="0.25">
      <c r="A5" t="s">
        <v>60</v>
      </c>
      <c r="B5" s="8">
        <v>237652</v>
      </c>
      <c r="C5" s="8">
        <v>239597</v>
      </c>
      <c r="D5" s="8">
        <v>240551</v>
      </c>
      <c r="E5" s="13" t="s">
        <v>39</v>
      </c>
    </row>
    <row r="6" spans="1:5" x14ac:dyDescent="0.25">
      <c r="A6" t="s">
        <v>47</v>
      </c>
      <c r="B6" s="8">
        <v>143806</v>
      </c>
      <c r="C6" s="8">
        <v>145344</v>
      </c>
      <c r="D6" s="8">
        <v>146079</v>
      </c>
      <c r="E6" s="13" t="s">
        <v>39</v>
      </c>
    </row>
    <row r="7" spans="1:5" x14ac:dyDescent="0.25">
      <c r="A7" s="6" t="s">
        <v>48</v>
      </c>
      <c r="B7" s="8">
        <v>52758</v>
      </c>
      <c r="C7" s="8">
        <v>54569</v>
      </c>
      <c r="D7" s="8">
        <v>55000</v>
      </c>
      <c r="E7" s="8">
        <v>59000</v>
      </c>
    </row>
    <row r="8" spans="1:5" x14ac:dyDescent="0.25">
      <c r="A8" s="6" t="s">
        <v>49</v>
      </c>
      <c r="B8" s="8">
        <v>27397</v>
      </c>
      <c r="C8" s="8">
        <v>27874</v>
      </c>
      <c r="D8" s="8">
        <v>27000</v>
      </c>
      <c r="E8" s="8">
        <v>30000</v>
      </c>
    </row>
    <row r="9" spans="1:5" x14ac:dyDescent="0.25">
      <c r="A9" s="6" t="s">
        <v>50</v>
      </c>
      <c r="B9" s="8">
        <v>22848</v>
      </c>
      <c r="C9" s="8">
        <v>25436</v>
      </c>
      <c r="D9" s="8">
        <v>25954</v>
      </c>
      <c r="E9" s="8">
        <v>38000</v>
      </c>
    </row>
    <row r="10" spans="1:5" x14ac:dyDescent="0.25">
      <c r="A10" s="6" t="s">
        <v>51</v>
      </c>
      <c r="B10" s="8">
        <v>14000</v>
      </c>
      <c r="C10" s="8">
        <v>15000</v>
      </c>
      <c r="D10" s="8">
        <v>15000</v>
      </c>
      <c r="E10" s="8">
        <v>18000</v>
      </c>
    </row>
    <row r="11" spans="1:5" x14ac:dyDescent="0.25">
      <c r="A11" t="s">
        <v>52</v>
      </c>
      <c r="B11" s="8">
        <v>8200</v>
      </c>
      <c r="C11" s="8">
        <v>9000</v>
      </c>
      <c r="D11" s="8">
        <v>9300</v>
      </c>
      <c r="E11" s="13" t="s">
        <v>39</v>
      </c>
    </row>
    <row r="12" spans="1:5" x14ac:dyDescent="0.25">
      <c r="A12" s="6" t="s">
        <v>63</v>
      </c>
      <c r="B12" s="8">
        <v>3305</v>
      </c>
      <c r="C12" s="8">
        <v>5204</v>
      </c>
      <c r="D12" s="8">
        <v>5367</v>
      </c>
      <c r="E12" s="8">
        <v>8300</v>
      </c>
    </row>
    <row r="13" spans="1:5" x14ac:dyDescent="0.25">
      <c r="A13" s="6" t="s">
        <v>53</v>
      </c>
      <c r="B13" s="8">
        <v>5136</v>
      </c>
      <c r="C13" s="8">
        <v>5200</v>
      </c>
      <c r="D13" s="8">
        <v>5500</v>
      </c>
      <c r="E13" s="8">
        <v>6700</v>
      </c>
    </row>
    <row r="14" spans="1:5" x14ac:dyDescent="0.25">
      <c r="A14" s="6" t="s">
        <v>54</v>
      </c>
      <c r="B14" s="8">
        <v>617</v>
      </c>
      <c r="C14" s="8">
        <v>712</v>
      </c>
      <c r="D14" s="8">
        <v>797</v>
      </c>
      <c r="E14" s="8">
        <v>1200</v>
      </c>
    </row>
    <row r="15" spans="1:5" x14ac:dyDescent="0.25">
      <c r="A15" s="6" t="s">
        <v>55</v>
      </c>
      <c r="B15" s="8">
        <v>44</v>
      </c>
      <c r="C15" s="8">
        <v>410</v>
      </c>
      <c r="D15" s="8">
        <v>568</v>
      </c>
      <c r="E15" s="8">
        <v>1600</v>
      </c>
    </row>
    <row r="16" spans="1:5" x14ac:dyDescent="0.25">
      <c r="A16" s="6" t="s">
        <v>61</v>
      </c>
      <c r="B16" s="12"/>
      <c r="C16" s="12"/>
      <c r="D16" s="12"/>
      <c r="E16" s="8">
        <v>6200</v>
      </c>
    </row>
    <row r="19" spans="1:5" x14ac:dyDescent="0.25">
      <c r="A19" s="9" t="s">
        <v>33</v>
      </c>
      <c r="B19" s="10" t="s">
        <v>36</v>
      </c>
      <c r="C19" s="9" t="s">
        <v>43</v>
      </c>
      <c r="D19" s="10" t="s">
        <v>38</v>
      </c>
      <c r="E19" s="10" t="s">
        <v>40</v>
      </c>
    </row>
    <row r="20" spans="1:5" x14ac:dyDescent="0.25">
      <c r="A20" t="s">
        <v>44</v>
      </c>
      <c r="B20" s="8">
        <v>705150</v>
      </c>
      <c r="C20" s="8">
        <v>712600</v>
      </c>
      <c r="D20" s="8">
        <v>713812</v>
      </c>
      <c r="E20" s="13" t="s">
        <v>39</v>
      </c>
    </row>
    <row r="21" spans="1:5" x14ac:dyDescent="0.25">
      <c r="A21" t="s">
        <v>58</v>
      </c>
      <c r="B21" s="8">
        <v>231302</v>
      </c>
      <c r="C21" s="8">
        <v>242700</v>
      </c>
      <c r="D21" s="8">
        <v>245118</v>
      </c>
      <c r="E21" s="13" t="s">
        <v>39</v>
      </c>
    </row>
    <row r="22" spans="1:5" x14ac:dyDescent="0.25">
      <c r="A22" t="s">
        <v>60</v>
      </c>
      <c r="B22" s="8">
        <v>220695</v>
      </c>
      <c r="C22" s="8">
        <v>224000</v>
      </c>
      <c r="D22" s="8">
        <v>222961</v>
      </c>
      <c r="E22" s="13" t="s">
        <v>39</v>
      </c>
    </row>
    <row r="23" spans="1:5" x14ac:dyDescent="0.25">
      <c r="A23" t="s">
        <v>47</v>
      </c>
      <c r="B23" s="8">
        <v>169290</v>
      </c>
      <c r="C23" s="8">
        <v>172400</v>
      </c>
      <c r="D23" s="8">
        <v>171804</v>
      </c>
      <c r="E23" s="13" t="s">
        <v>39</v>
      </c>
    </row>
    <row r="24" spans="1:5" x14ac:dyDescent="0.25">
      <c r="A24" s="6" t="s">
        <v>49</v>
      </c>
      <c r="B24" s="8">
        <v>18691</v>
      </c>
      <c r="C24" s="8">
        <v>19100</v>
      </c>
      <c r="D24" s="8">
        <v>19154</v>
      </c>
      <c r="E24" s="8">
        <v>20500</v>
      </c>
    </row>
    <row r="25" spans="1:5" x14ac:dyDescent="0.25">
      <c r="A25" s="6" t="s">
        <v>50</v>
      </c>
      <c r="B25" s="8">
        <v>15581</v>
      </c>
      <c r="C25" s="8">
        <v>17900</v>
      </c>
      <c r="D25" s="8">
        <v>18314</v>
      </c>
      <c r="E25" s="8">
        <v>22300</v>
      </c>
    </row>
    <row r="26" spans="1:5" x14ac:dyDescent="0.25">
      <c r="A26" s="6" t="s">
        <v>48</v>
      </c>
      <c r="B26" s="8">
        <v>16470</v>
      </c>
      <c r="C26" s="8">
        <v>17600</v>
      </c>
      <c r="D26" s="8">
        <v>17689</v>
      </c>
      <c r="E26" s="8">
        <v>19200</v>
      </c>
    </row>
    <row r="27" spans="1:5" x14ac:dyDescent="0.25">
      <c r="A27" s="6" t="s">
        <v>51</v>
      </c>
      <c r="B27" s="8">
        <v>6749</v>
      </c>
      <c r="C27" s="8">
        <v>9240</v>
      </c>
      <c r="D27" s="8">
        <v>9884</v>
      </c>
      <c r="E27" s="8">
        <v>12000</v>
      </c>
    </row>
    <row r="28" spans="1:5" x14ac:dyDescent="0.25">
      <c r="A28" s="6" t="s">
        <v>59</v>
      </c>
      <c r="B28" s="8">
        <v>5459</v>
      </c>
      <c r="C28" s="8">
        <v>8027</v>
      </c>
      <c r="D28" s="8">
        <v>8523</v>
      </c>
      <c r="E28" s="8">
        <v>11800</v>
      </c>
    </row>
    <row r="29" spans="1:5" x14ac:dyDescent="0.25">
      <c r="A29" t="s">
        <v>52</v>
      </c>
      <c r="B29" s="8">
        <v>6996</v>
      </c>
      <c r="C29" s="8">
        <v>7930</v>
      </c>
      <c r="D29" s="8">
        <v>8199</v>
      </c>
      <c r="E29" s="13" t="s">
        <v>39</v>
      </c>
    </row>
    <row r="30" spans="1:5" x14ac:dyDescent="0.25">
      <c r="A30" s="6" t="s">
        <v>53</v>
      </c>
      <c r="B30" s="8">
        <v>4396</v>
      </c>
      <c r="C30" s="8">
        <v>4684</v>
      </c>
      <c r="D30" s="8">
        <v>4700</v>
      </c>
      <c r="E30" s="8">
        <v>5313</v>
      </c>
    </row>
    <row r="31" spans="1:5" x14ac:dyDescent="0.25">
      <c r="A31" s="6" t="s">
        <v>63</v>
      </c>
      <c r="B31" s="8">
        <v>1218</v>
      </c>
      <c r="C31" s="8">
        <v>1498</v>
      </c>
      <c r="D31" s="8">
        <v>1705</v>
      </c>
      <c r="E31" s="8">
        <v>3281</v>
      </c>
    </row>
    <row r="32" spans="1:5" x14ac:dyDescent="0.25">
      <c r="A32" s="6" t="s">
        <v>55</v>
      </c>
      <c r="B32" s="8">
        <v>294</v>
      </c>
      <c r="C32" s="8">
        <v>519</v>
      </c>
      <c r="D32" s="8">
        <v>688</v>
      </c>
      <c r="E32" s="8">
        <v>1789</v>
      </c>
    </row>
    <row r="33" spans="1:5" x14ac:dyDescent="0.25">
      <c r="A33" s="6" t="s">
        <v>54</v>
      </c>
      <c r="B33" s="8">
        <v>319</v>
      </c>
      <c r="C33" s="8">
        <v>404</v>
      </c>
      <c r="D33" s="8">
        <v>588</v>
      </c>
      <c r="E33" s="8">
        <v>1328</v>
      </c>
    </row>
    <row r="34" spans="1:5" x14ac:dyDescent="0.25">
      <c r="A34" s="6" t="s">
        <v>62</v>
      </c>
      <c r="B34" s="12"/>
      <c r="C34" s="12"/>
      <c r="D34" s="12"/>
      <c r="E34" s="8">
        <v>3049</v>
      </c>
    </row>
    <row r="37" spans="1:5" x14ac:dyDescent="0.25">
      <c r="A37" t="s">
        <v>34</v>
      </c>
      <c r="B37" s="1" t="s">
        <v>36</v>
      </c>
      <c r="C37" t="s">
        <v>43</v>
      </c>
      <c r="D37" s="1" t="s">
        <v>38</v>
      </c>
      <c r="E37" s="1" t="s">
        <v>40</v>
      </c>
    </row>
    <row r="38" spans="1:5" x14ac:dyDescent="0.25">
      <c r="A38" t="s">
        <v>44</v>
      </c>
      <c r="B38" s="8">
        <v>699798</v>
      </c>
      <c r="C38" s="8">
        <v>710000</v>
      </c>
      <c r="D38" s="8">
        <v>713797</v>
      </c>
      <c r="E38" s="13" t="s">
        <v>39</v>
      </c>
    </row>
    <row r="39" spans="1:5" x14ac:dyDescent="0.25">
      <c r="A39" t="s">
        <v>58</v>
      </c>
      <c r="B39" s="8">
        <v>564458</v>
      </c>
      <c r="C39" s="8">
        <v>565000</v>
      </c>
      <c r="D39" s="8">
        <v>560032</v>
      </c>
      <c r="E39" s="13" t="s">
        <v>39</v>
      </c>
    </row>
    <row r="40" spans="1:5" x14ac:dyDescent="0.25">
      <c r="A40" t="s">
        <v>60</v>
      </c>
      <c r="B40" s="8">
        <v>344550</v>
      </c>
      <c r="C40" s="8">
        <v>346000</v>
      </c>
      <c r="D40" s="8">
        <v>342193</v>
      </c>
      <c r="E40" s="13" t="s">
        <v>39</v>
      </c>
    </row>
    <row r="41" spans="1:5" x14ac:dyDescent="0.25">
      <c r="A41" t="s">
        <v>47</v>
      </c>
      <c r="B41" s="8">
        <v>297884</v>
      </c>
      <c r="C41" s="8">
        <v>304000</v>
      </c>
      <c r="D41" s="8">
        <v>301650</v>
      </c>
      <c r="E41" s="13" t="s">
        <v>39</v>
      </c>
    </row>
    <row r="42" spans="1:5" x14ac:dyDescent="0.25">
      <c r="A42" s="6" t="s">
        <v>48</v>
      </c>
      <c r="B42" s="8">
        <v>106961</v>
      </c>
      <c r="C42" s="8">
        <v>111000</v>
      </c>
      <c r="D42" s="8">
        <v>110479</v>
      </c>
      <c r="E42" s="8">
        <v>151000</v>
      </c>
    </row>
    <row r="43" spans="1:5" x14ac:dyDescent="0.25">
      <c r="A43" s="6" t="s">
        <v>59</v>
      </c>
      <c r="B43" s="8">
        <v>44072</v>
      </c>
      <c r="C43" s="8">
        <v>55100</v>
      </c>
      <c r="D43" s="8">
        <v>57372</v>
      </c>
      <c r="E43" s="8">
        <v>85500</v>
      </c>
    </row>
    <row r="44" spans="1:5" x14ac:dyDescent="0.25">
      <c r="A44" s="6" t="s">
        <v>50</v>
      </c>
      <c r="B44" s="8">
        <v>36070</v>
      </c>
      <c r="C44" s="8">
        <v>39700</v>
      </c>
      <c r="D44" s="8">
        <v>39976</v>
      </c>
      <c r="E44" s="8">
        <v>76000</v>
      </c>
    </row>
    <row r="45" spans="1:5" x14ac:dyDescent="0.25">
      <c r="A45" s="6" t="s">
        <v>49</v>
      </c>
      <c r="B45" s="8">
        <v>25453</v>
      </c>
      <c r="C45" s="8">
        <v>26000</v>
      </c>
      <c r="D45" s="8">
        <v>26170</v>
      </c>
      <c r="E45" s="8">
        <v>30800</v>
      </c>
    </row>
    <row r="46" spans="1:5" x14ac:dyDescent="0.25">
      <c r="A46" t="s">
        <v>52</v>
      </c>
      <c r="B46" s="8">
        <v>17705</v>
      </c>
      <c r="C46" s="8">
        <v>20400</v>
      </c>
      <c r="D46" s="8">
        <v>21452</v>
      </c>
      <c r="E46" s="13" t="s">
        <v>39</v>
      </c>
    </row>
    <row r="47" spans="1:5" x14ac:dyDescent="0.25">
      <c r="A47" s="6" t="s">
        <v>51</v>
      </c>
      <c r="B47" s="8">
        <v>12802</v>
      </c>
      <c r="C47" s="8">
        <v>16200</v>
      </c>
      <c r="D47" s="8">
        <v>16992</v>
      </c>
      <c r="E47" s="8">
        <v>30200</v>
      </c>
    </row>
    <row r="48" spans="1:5" x14ac:dyDescent="0.25">
      <c r="A48" s="6" t="s">
        <v>53</v>
      </c>
      <c r="B48" s="8">
        <v>7989</v>
      </c>
      <c r="C48" s="8">
        <v>8944</v>
      </c>
      <c r="D48" s="8">
        <v>9100</v>
      </c>
      <c r="E48" s="8">
        <v>11100</v>
      </c>
    </row>
    <row r="49" spans="1:5" x14ac:dyDescent="0.25">
      <c r="A49" t="s">
        <v>63</v>
      </c>
      <c r="B49" s="8">
        <v>4998</v>
      </c>
      <c r="C49" s="8">
        <v>6749</v>
      </c>
      <c r="D49" s="8">
        <v>7275</v>
      </c>
      <c r="E49" s="13" t="s">
        <v>42</v>
      </c>
    </row>
    <row r="50" spans="1:5" x14ac:dyDescent="0.25">
      <c r="A50" s="6" t="s">
        <v>55</v>
      </c>
      <c r="B50" s="8">
        <v>346</v>
      </c>
      <c r="C50" s="8">
        <v>2398</v>
      </c>
      <c r="D50" s="8">
        <v>3294</v>
      </c>
      <c r="E50" s="8">
        <v>10000</v>
      </c>
    </row>
    <row r="51" spans="1:5" x14ac:dyDescent="0.25">
      <c r="A51" s="6" t="s">
        <v>54</v>
      </c>
      <c r="B51" s="8">
        <v>667</v>
      </c>
      <c r="C51" s="8">
        <v>980</v>
      </c>
      <c r="D51" s="8">
        <v>1306</v>
      </c>
      <c r="E51" s="8">
        <v>4315</v>
      </c>
    </row>
    <row r="52" spans="1:5" x14ac:dyDescent="0.25">
      <c r="A52" s="6" t="s">
        <v>62</v>
      </c>
      <c r="B52" s="12"/>
      <c r="C52" s="12"/>
      <c r="D52" s="12"/>
      <c r="E52" s="8">
        <v>16600</v>
      </c>
    </row>
    <row r="55" spans="1:5" x14ac:dyDescent="0.25">
      <c r="A55" t="s">
        <v>56</v>
      </c>
      <c r="B55" s="1" t="s">
        <v>36</v>
      </c>
      <c r="C55" t="s">
        <v>43</v>
      </c>
      <c r="D55" s="1" t="s">
        <v>38</v>
      </c>
      <c r="E55" s="1" t="s">
        <v>40</v>
      </c>
    </row>
    <row r="56" spans="1:5" x14ac:dyDescent="0.25">
      <c r="A56" t="s">
        <v>45</v>
      </c>
      <c r="B56" s="12"/>
      <c r="C56" s="8">
        <v>36600</v>
      </c>
      <c r="D56" s="8">
        <v>37500</v>
      </c>
      <c r="E56" s="13" t="s">
        <v>39</v>
      </c>
    </row>
    <row r="57" spans="1:5" x14ac:dyDescent="0.25">
      <c r="A57" t="s">
        <v>44</v>
      </c>
      <c r="B57" s="12"/>
      <c r="C57" s="8">
        <v>6860</v>
      </c>
      <c r="D57" s="8">
        <v>8243</v>
      </c>
      <c r="E57" s="13" t="s">
        <v>39</v>
      </c>
    </row>
    <row r="58" spans="1:5" x14ac:dyDescent="0.25">
      <c r="A58" s="6" t="s">
        <v>63</v>
      </c>
      <c r="B58" s="12"/>
      <c r="C58" s="8">
        <v>6835</v>
      </c>
      <c r="D58" s="8">
        <v>6589</v>
      </c>
      <c r="E58" s="8">
        <v>9336</v>
      </c>
    </row>
    <row r="59" spans="1:5" x14ac:dyDescent="0.25">
      <c r="A59" t="s">
        <v>46</v>
      </c>
      <c r="B59" s="12"/>
      <c r="C59" s="8">
        <v>4476</v>
      </c>
      <c r="D59" s="8">
        <v>4864</v>
      </c>
      <c r="E59" s="13" t="s">
        <v>39</v>
      </c>
    </row>
    <row r="60" spans="1:5" x14ac:dyDescent="0.25">
      <c r="A60" t="s">
        <v>47</v>
      </c>
      <c r="B60" s="12"/>
      <c r="C60" s="8">
        <v>3600</v>
      </c>
      <c r="D60" s="8">
        <v>3762</v>
      </c>
      <c r="E60" s="13" t="s">
        <v>39</v>
      </c>
    </row>
    <row r="61" spans="1:5" x14ac:dyDescent="0.25">
      <c r="A61" s="6" t="s">
        <v>51</v>
      </c>
      <c r="B61" s="12"/>
      <c r="C61" s="8">
        <v>60</v>
      </c>
      <c r="D61" s="8">
        <v>344</v>
      </c>
      <c r="E61" s="8">
        <v>1017</v>
      </c>
    </row>
    <row r="62" spans="1:5" x14ac:dyDescent="0.25">
      <c r="A62" t="s">
        <v>49</v>
      </c>
      <c r="B62" s="12"/>
      <c r="C62" s="8">
        <v>18</v>
      </c>
      <c r="D62" s="8">
        <v>20</v>
      </c>
      <c r="E62" s="13" t="s">
        <v>42</v>
      </c>
    </row>
    <row r="63" spans="1:5" x14ac:dyDescent="0.25">
      <c r="A63" t="s">
        <v>58</v>
      </c>
      <c r="B63" s="12"/>
      <c r="C63" s="12">
        <v>0</v>
      </c>
      <c r="D63" s="12"/>
      <c r="E63" s="13" t="s">
        <v>39</v>
      </c>
    </row>
    <row r="64" spans="1:5" x14ac:dyDescent="0.25">
      <c r="A64" t="s">
        <v>48</v>
      </c>
      <c r="B64" s="12"/>
      <c r="C64" s="12">
        <v>0</v>
      </c>
      <c r="D64" s="12"/>
      <c r="E64" s="13" t="s">
        <v>42</v>
      </c>
    </row>
    <row r="65" spans="1:5" x14ac:dyDescent="0.25">
      <c r="A65" t="s">
        <v>50</v>
      </c>
      <c r="B65" s="12"/>
      <c r="C65" s="12">
        <v>0</v>
      </c>
      <c r="D65" s="12"/>
      <c r="E65" s="13" t="s">
        <v>42</v>
      </c>
    </row>
    <row r="66" spans="1:5" x14ac:dyDescent="0.25">
      <c r="A66" t="s">
        <v>52</v>
      </c>
      <c r="B66" s="12"/>
      <c r="C66" s="12">
        <v>0</v>
      </c>
      <c r="D66" s="12"/>
      <c r="E66" s="13" t="s">
        <v>39</v>
      </c>
    </row>
    <row r="67" spans="1:5" x14ac:dyDescent="0.25">
      <c r="A67" s="6" t="s">
        <v>53</v>
      </c>
      <c r="B67" s="12"/>
      <c r="C67" s="12">
        <v>0</v>
      </c>
      <c r="D67" s="12"/>
      <c r="E67" s="8">
        <v>204</v>
      </c>
    </row>
    <row r="68" spans="1:5" x14ac:dyDescent="0.25">
      <c r="A68" t="s">
        <v>54</v>
      </c>
      <c r="B68" s="12"/>
      <c r="C68" s="12">
        <v>0</v>
      </c>
      <c r="D68" s="12"/>
      <c r="E68" s="13" t="s">
        <v>42</v>
      </c>
    </row>
    <row r="69" spans="1:5" x14ac:dyDescent="0.25">
      <c r="A69" t="s">
        <v>55</v>
      </c>
      <c r="B69" s="12"/>
      <c r="C69" s="12">
        <v>0</v>
      </c>
      <c r="D69" s="12"/>
      <c r="E69" s="13" t="s">
        <v>42</v>
      </c>
    </row>
    <row r="70" spans="1:5" x14ac:dyDescent="0.25">
      <c r="A70" t="s">
        <v>62</v>
      </c>
      <c r="B70" s="12"/>
      <c r="C70" s="12"/>
      <c r="D70" s="12"/>
      <c r="E70" s="13" t="s">
        <v>42</v>
      </c>
    </row>
    <row r="71" spans="1:5" x14ac:dyDescent="0.25">
      <c r="B71" s="8"/>
      <c r="C71" s="8"/>
      <c r="D71" s="8"/>
      <c r="E71" s="8"/>
    </row>
    <row r="73" spans="1:5" x14ac:dyDescent="0.25">
      <c r="A73" t="s">
        <v>35</v>
      </c>
      <c r="B73" s="1" t="s">
        <v>36</v>
      </c>
      <c r="C73" t="s">
        <v>57</v>
      </c>
      <c r="D73" s="1" t="s">
        <v>38</v>
      </c>
      <c r="E73" s="1" t="s">
        <v>40</v>
      </c>
    </row>
    <row r="74" spans="1:5" x14ac:dyDescent="0.25">
      <c r="A74" t="s">
        <v>44</v>
      </c>
      <c r="B74" s="8">
        <v>2054535</v>
      </c>
      <c r="C74" s="8">
        <v>2073670</v>
      </c>
      <c r="D74" s="8">
        <v>2080450</v>
      </c>
      <c r="E74" s="13" t="s">
        <v>39</v>
      </c>
    </row>
    <row r="75" spans="1:5" x14ac:dyDescent="0.25">
      <c r="A75" t="s">
        <v>58</v>
      </c>
      <c r="B75" s="8">
        <v>1415240</v>
      </c>
      <c r="C75" s="8">
        <v>1437008</v>
      </c>
      <c r="D75" s="8">
        <v>1437027</v>
      </c>
      <c r="E75" s="13" t="s">
        <v>39</v>
      </c>
    </row>
    <row r="76" spans="1:5" x14ac:dyDescent="0.25">
      <c r="A76" t="s">
        <v>60</v>
      </c>
      <c r="B76" s="8">
        <v>802897</v>
      </c>
      <c r="C76" s="8">
        <v>809597</v>
      </c>
      <c r="D76" s="8">
        <v>805705</v>
      </c>
      <c r="E76" s="13" t="s">
        <v>39</v>
      </c>
    </row>
    <row r="77" spans="1:5" x14ac:dyDescent="0.25">
      <c r="A77" t="s">
        <v>47</v>
      </c>
      <c r="B77" s="8">
        <v>610980</v>
      </c>
      <c r="C77" s="8">
        <v>621744</v>
      </c>
      <c r="D77" s="8">
        <v>619533</v>
      </c>
      <c r="E77" s="13" t="s">
        <v>39</v>
      </c>
    </row>
    <row r="78" spans="1:5" x14ac:dyDescent="0.25">
      <c r="A78" t="s">
        <v>59</v>
      </c>
      <c r="B78" s="8">
        <v>315414</v>
      </c>
      <c r="C78" s="8">
        <v>359787</v>
      </c>
      <c r="D78" s="8">
        <v>367972</v>
      </c>
      <c r="E78" s="8">
        <f>E28+E43</f>
        <v>97300</v>
      </c>
    </row>
    <row r="79" spans="1:5" x14ac:dyDescent="0.25">
      <c r="A79" t="s">
        <v>48</v>
      </c>
      <c r="B79" s="8">
        <v>176189</v>
      </c>
      <c r="C79" s="8">
        <v>183169</v>
      </c>
      <c r="D79" s="8">
        <v>183168</v>
      </c>
      <c r="E79" s="8">
        <f>E7+E26+E42</f>
        <v>229200</v>
      </c>
    </row>
    <row r="80" spans="1:5" x14ac:dyDescent="0.25">
      <c r="A80" t="s">
        <v>50</v>
      </c>
      <c r="B80" s="8">
        <v>74499</v>
      </c>
      <c r="C80" s="8">
        <v>83036</v>
      </c>
      <c r="D80" s="8">
        <v>84244</v>
      </c>
      <c r="E80" s="8">
        <f>E9+E25+E44</f>
        <v>136300</v>
      </c>
    </row>
    <row r="81" spans="1:5" x14ac:dyDescent="0.25">
      <c r="A81" t="s">
        <v>49</v>
      </c>
      <c r="B81" s="8">
        <v>71541</v>
      </c>
      <c r="C81" s="8">
        <v>72974</v>
      </c>
      <c r="D81" s="8">
        <v>72324</v>
      </c>
      <c r="E81" s="8">
        <f>E8+E24+E45</f>
        <v>81300</v>
      </c>
    </row>
    <row r="82" spans="1:5" x14ac:dyDescent="0.25">
      <c r="A82" t="s">
        <v>51</v>
      </c>
      <c r="B82" s="8">
        <v>33551</v>
      </c>
      <c r="C82" s="8">
        <v>40440</v>
      </c>
      <c r="D82" s="8">
        <v>41876</v>
      </c>
      <c r="E82" s="8">
        <f>E10+E27+E47+E61</f>
        <v>61217</v>
      </c>
    </row>
    <row r="83" spans="1:5" x14ac:dyDescent="0.25">
      <c r="A83" t="s">
        <v>52</v>
      </c>
      <c r="B83" s="8">
        <v>32901</v>
      </c>
      <c r="C83" s="8">
        <v>37330</v>
      </c>
      <c r="D83" s="8">
        <v>38951</v>
      </c>
      <c r="E83" s="13" t="s">
        <v>39</v>
      </c>
    </row>
    <row r="84" spans="1:5" x14ac:dyDescent="0.25">
      <c r="A84" t="s">
        <v>53</v>
      </c>
      <c r="B84" s="8">
        <v>17521</v>
      </c>
      <c r="C84" s="8">
        <v>18828</v>
      </c>
      <c r="D84" s="8">
        <v>19300</v>
      </c>
      <c r="E84" s="8">
        <f>E13+E30+E48+E67</f>
        <v>23317</v>
      </c>
    </row>
    <row r="85" spans="1:5" x14ac:dyDescent="0.25">
      <c r="A85" t="s">
        <v>63</v>
      </c>
      <c r="B85" s="8">
        <v>9521</v>
      </c>
      <c r="C85" s="8">
        <v>13451</v>
      </c>
      <c r="D85" s="8">
        <v>14347</v>
      </c>
      <c r="E85" s="8">
        <f>E12+E31+E58</f>
        <v>20917</v>
      </c>
    </row>
    <row r="86" spans="1:5" x14ac:dyDescent="0.25">
      <c r="A86" t="s">
        <v>55</v>
      </c>
      <c r="B86" s="8">
        <v>684</v>
      </c>
      <c r="C86" s="8">
        <v>3327</v>
      </c>
      <c r="D86" s="8">
        <v>4550</v>
      </c>
      <c r="E86" s="8">
        <f>E15+E32+E50</f>
        <v>13389</v>
      </c>
    </row>
    <row r="87" spans="1:5" x14ac:dyDescent="0.25">
      <c r="A87" t="s">
        <v>54</v>
      </c>
      <c r="B87" s="8">
        <v>1603</v>
      </c>
      <c r="C87" s="8">
        <v>2096</v>
      </c>
      <c r="D87" s="8">
        <v>2691</v>
      </c>
      <c r="E87" s="8">
        <f>E14+E33+E51</f>
        <v>6843</v>
      </c>
    </row>
    <row r="88" spans="1:5" x14ac:dyDescent="0.25">
      <c r="A88" t="s">
        <v>62</v>
      </c>
      <c r="B88" s="12"/>
      <c r="C88" s="12"/>
      <c r="D88" s="12"/>
      <c r="E88" s="8">
        <f>E16+E34+E52</f>
        <v>25849</v>
      </c>
    </row>
    <row r="91" spans="1:5" ht="15.75" x14ac:dyDescent="0.25">
      <c r="A91" s="17" t="s">
        <v>35</v>
      </c>
      <c r="B91" s="18">
        <f>SUM(Tableau10[mars-22])</f>
        <v>5617076</v>
      </c>
      <c r="C91" s="18">
        <f>SUM(Tableau10[aout 2022])</f>
        <v>5756457</v>
      </c>
      <c r="D91" s="18">
        <f>SUM(Tableau10[nov-22])</f>
        <v>5772138</v>
      </c>
      <c r="E91" s="18">
        <f>SUM(Tableau10[avr-24])</f>
        <v>695632</v>
      </c>
    </row>
  </sheetData>
  <hyperlinks>
    <hyperlink ref="A12" r:id="rId1" xr:uid="{A60E07C6-4BB9-4016-ADFD-0F0DE5D9C27B}"/>
    <hyperlink ref="A31" r:id="rId2" xr:uid="{A5610A43-67ED-4130-A73A-95498B1DF05F}"/>
    <hyperlink ref="A58" r:id="rId3" xr:uid="{F3B14378-90D3-4EEE-88F9-927127840BFB}"/>
    <hyperlink ref="A7" r:id="rId4" xr:uid="{D96A5937-B219-4CE7-AAF5-C529A154BADE}"/>
    <hyperlink ref="A42" r:id="rId5" xr:uid="{E8C4DB8F-9F02-44F5-831B-7903451285C2}"/>
    <hyperlink ref="A26" r:id="rId6" xr:uid="{5900F33B-D9AF-41BF-85FE-5DA098486C5E}"/>
    <hyperlink ref="A13" r:id="rId7" xr:uid="{833B31F2-2E3A-4E7F-A6A8-8419BD32CEF3}"/>
    <hyperlink ref="A48" r:id="rId8" xr:uid="{DE34B468-771A-4628-88E9-4C064E0CD0D9}"/>
    <hyperlink ref="A30" r:id="rId9" xr:uid="{2AB51C7E-6F72-4B4D-9265-0A564092936E}"/>
    <hyperlink ref="A67" r:id="rId10" xr:uid="{CC034391-CE8C-4261-9E87-E0F0EAD9B38C}"/>
    <hyperlink ref="A47" r:id="rId11" xr:uid="{14877854-34D4-4FA5-B67C-36FBB830BAF4}"/>
    <hyperlink ref="A27" r:id="rId12" xr:uid="{7FC28DF8-421C-4CC5-B8A7-24959B5525AA}"/>
    <hyperlink ref="A10" r:id="rId13" xr:uid="{D9CC72E5-0C39-44FC-A555-0F281BC89489}"/>
    <hyperlink ref="A61" r:id="rId14" xr:uid="{13528ED5-4E0B-4B44-AFB9-3DD01361BE7E}"/>
    <hyperlink ref="A52" r:id="rId15" xr:uid="{F322C2CC-3BB3-495F-A703-2ECD5F5E717A}"/>
    <hyperlink ref="A16" r:id="rId16" xr:uid="{EF6B03B1-5A31-486D-9ACA-4CC4EDBEF46E}"/>
    <hyperlink ref="A34" r:id="rId17" xr:uid="{07985CA7-AB26-4915-AD4D-3D6EE6CE3114}"/>
    <hyperlink ref="A8" r:id="rId18" xr:uid="{93F7EA36-17D1-4025-981D-B40A3B51BE07}"/>
    <hyperlink ref="A24" r:id="rId19" xr:uid="{EF813432-6D44-4500-8D64-102499E3BF68}"/>
    <hyperlink ref="A45" r:id="rId20" xr:uid="{1DA25A40-744C-48A9-B369-0874A80311D6}"/>
    <hyperlink ref="A43" r:id="rId21" xr:uid="{4ACDC76D-8F9E-453B-A0E5-7BB0ECECB577}"/>
    <hyperlink ref="A28" r:id="rId22" xr:uid="{BE38C4AE-6173-400D-B513-95F76B505F1B}"/>
    <hyperlink ref="A32" r:id="rId23" xr:uid="{F7FCDB3F-7A18-4154-8E21-5A28B0868A6D}"/>
    <hyperlink ref="A15" r:id="rId24" xr:uid="{3AE7C062-D7DF-471F-A7FC-0D2C223BE707}"/>
    <hyperlink ref="A50" r:id="rId25" xr:uid="{E1CB84DD-9BB3-4025-B386-CC01BF2A881B}"/>
    <hyperlink ref="A9" r:id="rId26" xr:uid="{7ADADA02-99C8-45D8-9B82-3F8CC2448021}"/>
    <hyperlink ref="A25" r:id="rId27" xr:uid="{E1AB44A9-BF87-47E9-A43A-61E128713E99}"/>
    <hyperlink ref="A44" r:id="rId28" xr:uid="{8094FCD4-2E7A-4C40-870F-90481935C842}"/>
    <hyperlink ref="A51" r:id="rId29" xr:uid="{939A2EE9-1352-4420-A126-095D92439394}"/>
    <hyperlink ref="A33" r:id="rId30" xr:uid="{12D180D0-786F-4A6A-9030-296140960E82}"/>
    <hyperlink ref="A14" r:id="rId31" xr:uid="{D3A78ABC-3A9E-41FB-B8BA-0DABE24F2349}"/>
  </hyperlinks>
  <pageMargins left="0.7" right="0.7" top="0.75" bottom="0.75" header="0.3" footer="0.3"/>
  <pageSetup paperSize="9" orientation="portrait" r:id="rId32"/>
  <tableParts count="5"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08CD-D5A4-4583-AA99-B4710C0AD694}">
  <dimension ref="A1:J167"/>
  <sheetViews>
    <sheetView showGridLines="0" topLeftCell="A134" zoomScaleNormal="100" workbookViewId="0">
      <selection activeCell="K138" sqref="K138"/>
    </sheetView>
  </sheetViews>
  <sheetFormatPr baseColWidth="10" defaultRowHeight="15" x14ac:dyDescent="0.25"/>
  <cols>
    <col min="1" max="1" width="27.85546875" bestFit="1" customWidth="1"/>
    <col min="2" max="2" width="11.42578125" bestFit="1" customWidth="1"/>
    <col min="3" max="3" width="15.28515625" customWidth="1"/>
    <col min="4" max="4" width="15.28515625" style="35" bestFit="1" customWidth="1"/>
    <col min="5" max="5" width="15.140625" style="35" customWidth="1"/>
    <col min="6" max="6" width="15.140625" bestFit="1" customWidth="1"/>
    <col min="7" max="7" width="13.85546875" bestFit="1" customWidth="1"/>
    <col min="9" max="9" width="14.28515625" bestFit="1" customWidth="1"/>
  </cols>
  <sheetData>
    <row r="1" spans="1:7" x14ac:dyDescent="0.25">
      <c r="A1" s="19" t="s">
        <v>0</v>
      </c>
      <c r="B1" s="20">
        <v>44621</v>
      </c>
      <c r="C1" s="20">
        <v>44774</v>
      </c>
      <c r="D1" s="20">
        <v>44895</v>
      </c>
      <c r="E1" s="20">
        <v>45383</v>
      </c>
      <c r="F1" s="21" t="s">
        <v>98</v>
      </c>
      <c r="G1" s="5" t="s">
        <v>3</v>
      </c>
    </row>
    <row r="2" spans="1:7" x14ac:dyDescent="0.25">
      <c r="A2" s="22" t="s">
        <v>64</v>
      </c>
      <c r="B2" s="23">
        <v>114000</v>
      </c>
      <c r="C2" s="7">
        <v>125000</v>
      </c>
      <c r="D2" s="24">
        <v>132000</v>
      </c>
      <c r="E2" s="24">
        <v>136000</v>
      </c>
      <c r="F2" s="25">
        <f>(E2-D2)/D2</f>
        <v>3.0303030303030304E-2</v>
      </c>
      <c r="G2" s="7">
        <f>E2-D2</f>
        <v>4000</v>
      </c>
    </row>
    <row r="3" spans="1:7" x14ac:dyDescent="0.25">
      <c r="A3" s="22" t="s">
        <v>65</v>
      </c>
      <c r="B3" s="23">
        <v>81000</v>
      </c>
      <c r="C3" s="7">
        <v>81000</v>
      </c>
      <c r="D3" s="26">
        <v>81000</v>
      </c>
      <c r="E3" s="26">
        <v>79000</v>
      </c>
      <c r="F3" s="25">
        <f t="shared" ref="F3:F30" si="0">(E3-D3)/D3</f>
        <v>-2.4691358024691357E-2</v>
      </c>
      <c r="G3" s="7">
        <f t="shared" ref="G3:G30" si="1">E3-D3</f>
        <v>-2000</v>
      </c>
    </row>
    <row r="4" spans="1:7" x14ac:dyDescent="0.25">
      <c r="A4" s="22" t="s">
        <v>66</v>
      </c>
      <c r="B4" s="23">
        <v>38000</v>
      </c>
      <c r="C4" s="7">
        <v>44000</v>
      </c>
      <c r="D4" s="26">
        <v>48000</v>
      </c>
      <c r="E4" s="26">
        <v>59000</v>
      </c>
      <c r="F4" s="25">
        <f t="shared" si="0"/>
        <v>0.22916666666666666</v>
      </c>
      <c r="G4" s="7">
        <f t="shared" si="1"/>
        <v>11000</v>
      </c>
    </row>
    <row r="5" spans="1:7" x14ac:dyDescent="0.25">
      <c r="A5" s="27" t="s">
        <v>67</v>
      </c>
      <c r="B5" s="28">
        <v>37000</v>
      </c>
      <c r="C5" s="24">
        <v>40000</v>
      </c>
      <c r="D5" s="24">
        <v>40000</v>
      </c>
      <c r="E5" s="24">
        <v>44000</v>
      </c>
      <c r="F5" s="25">
        <f t="shared" si="0"/>
        <v>0.1</v>
      </c>
      <c r="G5" s="7">
        <f t="shared" si="1"/>
        <v>4000</v>
      </c>
    </row>
    <row r="6" spans="1:7" x14ac:dyDescent="0.25">
      <c r="A6" s="27" t="s">
        <v>68</v>
      </c>
      <c r="B6" s="28"/>
      <c r="C6" s="24">
        <v>40000</v>
      </c>
      <c r="D6" s="26">
        <v>41000</v>
      </c>
      <c r="E6" s="26">
        <v>47000</v>
      </c>
      <c r="F6" s="25">
        <f t="shared" si="0"/>
        <v>0.14634146341463414</v>
      </c>
      <c r="G6" s="7">
        <f t="shared" si="1"/>
        <v>6000</v>
      </c>
    </row>
    <row r="7" spans="1:7" x14ac:dyDescent="0.25">
      <c r="A7" s="27" t="s">
        <v>69</v>
      </c>
      <c r="B7" s="28">
        <v>35000</v>
      </c>
      <c r="C7" s="24">
        <v>37000</v>
      </c>
      <c r="D7" s="24">
        <v>38000</v>
      </c>
      <c r="E7" s="24">
        <v>40000</v>
      </c>
      <c r="F7" s="25">
        <f t="shared" si="0"/>
        <v>5.2631578947368418E-2</v>
      </c>
      <c r="G7" s="7">
        <f t="shared" si="1"/>
        <v>2000</v>
      </c>
    </row>
    <row r="8" spans="1:7" x14ac:dyDescent="0.25">
      <c r="A8" s="27" t="s">
        <v>70</v>
      </c>
      <c r="B8" s="28"/>
      <c r="C8" s="24">
        <v>20000</v>
      </c>
      <c r="D8" s="26">
        <v>20000</v>
      </c>
      <c r="E8" s="26">
        <v>25000</v>
      </c>
      <c r="F8" s="25">
        <f t="shared" si="0"/>
        <v>0.25</v>
      </c>
      <c r="G8" s="7">
        <f t="shared" si="1"/>
        <v>5000</v>
      </c>
    </row>
    <row r="9" spans="1:7" x14ac:dyDescent="0.25">
      <c r="A9" s="27" t="s">
        <v>71</v>
      </c>
      <c r="B9" s="28">
        <v>9800</v>
      </c>
      <c r="C9" s="24">
        <v>16000</v>
      </c>
      <c r="D9" s="24">
        <v>22000</v>
      </c>
      <c r="E9" s="24">
        <v>26000</v>
      </c>
      <c r="F9" s="25">
        <f t="shared" si="0"/>
        <v>0.18181818181818182</v>
      </c>
      <c r="G9" s="7">
        <f t="shared" si="1"/>
        <v>4000</v>
      </c>
    </row>
    <row r="10" spans="1:7" x14ac:dyDescent="0.25">
      <c r="A10" s="22" t="s">
        <v>72</v>
      </c>
      <c r="B10" s="23">
        <v>11803</v>
      </c>
      <c r="C10" s="7">
        <v>13632</v>
      </c>
      <c r="D10" s="26">
        <v>14392</v>
      </c>
      <c r="E10" s="26">
        <v>15000</v>
      </c>
      <c r="F10" s="25">
        <f t="shared" si="0"/>
        <v>4.2245692051139525E-2</v>
      </c>
      <c r="G10" s="7">
        <f t="shared" si="1"/>
        <v>608</v>
      </c>
    </row>
    <row r="11" spans="1:7" x14ac:dyDescent="0.25">
      <c r="A11" s="22" t="s">
        <v>73</v>
      </c>
      <c r="B11" s="23">
        <v>11000</v>
      </c>
      <c r="C11" s="7">
        <v>11000</v>
      </c>
      <c r="D11" s="26">
        <v>11000</v>
      </c>
      <c r="E11" s="26">
        <v>11000</v>
      </c>
      <c r="F11" s="25">
        <f t="shared" si="0"/>
        <v>0</v>
      </c>
      <c r="G11" s="7">
        <f t="shared" si="1"/>
        <v>0</v>
      </c>
    </row>
    <row r="12" spans="1:7" x14ac:dyDescent="0.25">
      <c r="A12" s="27" t="s">
        <v>74</v>
      </c>
      <c r="B12" s="28">
        <v>9900</v>
      </c>
      <c r="C12" s="24">
        <v>11000</v>
      </c>
      <c r="D12" s="24">
        <v>12000</v>
      </c>
      <c r="E12" s="24">
        <v>17000</v>
      </c>
      <c r="F12" s="25">
        <f t="shared" si="0"/>
        <v>0.41666666666666669</v>
      </c>
      <c r="G12" s="7">
        <f t="shared" si="1"/>
        <v>5000</v>
      </c>
    </row>
    <row r="13" spans="1:7" x14ac:dyDescent="0.25">
      <c r="A13" s="27" t="s">
        <v>75</v>
      </c>
      <c r="B13" s="28">
        <v>7000</v>
      </c>
      <c r="C13" s="24">
        <v>10000</v>
      </c>
      <c r="D13" s="26">
        <v>16000</v>
      </c>
      <c r="E13" s="26">
        <v>22000</v>
      </c>
      <c r="F13" s="25">
        <f t="shared" si="0"/>
        <v>0.375</v>
      </c>
      <c r="G13" s="7">
        <f t="shared" si="1"/>
        <v>6000</v>
      </c>
    </row>
    <row r="14" spans="1:7" x14ac:dyDescent="0.25">
      <c r="A14" s="27" t="s">
        <v>76</v>
      </c>
      <c r="B14" s="28">
        <v>9500</v>
      </c>
      <c r="C14" s="24">
        <v>9800</v>
      </c>
      <c r="D14" s="24">
        <v>10000</v>
      </c>
      <c r="E14" s="24">
        <v>11000</v>
      </c>
      <c r="F14" s="25">
        <f t="shared" si="0"/>
        <v>0.1</v>
      </c>
      <c r="G14" s="7">
        <f t="shared" si="1"/>
        <v>1000</v>
      </c>
    </row>
    <row r="15" spans="1:7" x14ac:dyDescent="0.25">
      <c r="A15" s="22" t="s">
        <v>77</v>
      </c>
      <c r="B15" s="23">
        <v>9300</v>
      </c>
      <c r="C15" s="7">
        <v>9500</v>
      </c>
      <c r="D15" s="26">
        <v>9600</v>
      </c>
      <c r="E15" s="26">
        <v>9600</v>
      </c>
      <c r="F15" s="25">
        <f t="shared" si="0"/>
        <v>0</v>
      </c>
      <c r="G15" s="7">
        <f t="shared" si="1"/>
        <v>0</v>
      </c>
    </row>
    <row r="16" spans="1:7" x14ac:dyDescent="0.25">
      <c r="A16" s="22" t="s">
        <v>78</v>
      </c>
      <c r="B16" s="23">
        <v>3662</v>
      </c>
      <c r="C16" s="7">
        <v>6800</v>
      </c>
      <c r="D16" s="24">
        <v>8100</v>
      </c>
      <c r="E16" s="24">
        <v>13000</v>
      </c>
      <c r="F16" s="25">
        <f t="shared" si="0"/>
        <v>0.60493827160493829</v>
      </c>
      <c r="G16" s="7">
        <f t="shared" si="1"/>
        <v>4900</v>
      </c>
    </row>
    <row r="17" spans="1:9" x14ac:dyDescent="0.25">
      <c r="A17" s="27" t="s">
        <v>79</v>
      </c>
      <c r="B17" s="28">
        <v>3800</v>
      </c>
      <c r="C17" s="24">
        <v>4900</v>
      </c>
      <c r="D17" s="26">
        <v>5100</v>
      </c>
      <c r="E17" s="26">
        <v>5700</v>
      </c>
      <c r="F17" s="25">
        <f t="shared" si="0"/>
        <v>0.11764705882352941</v>
      </c>
      <c r="G17" s="7">
        <f t="shared" si="1"/>
        <v>600</v>
      </c>
    </row>
    <row r="18" spans="1:9" x14ac:dyDescent="0.25">
      <c r="A18" s="27" t="s">
        <v>80</v>
      </c>
      <c r="B18" s="28">
        <v>3076</v>
      </c>
      <c r="C18" s="24">
        <v>4133</v>
      </c>
      <c r="D18" s="24">
        <v>4300</v>
      </c>
      <c r="E18" s="24">
        <v>5200</v>
      </c>
      <c r="F18" s="25">
        <f t="shared" si="0"/>
        <v>0.20930232558139536</v>
      </c>
      <c r="G18" s="7">
        <f t="shared" si="1"/>
        <v>900</v>
      </c>
    </row>
    <row r="19" spans="1:9" x14ac:dyDescent="0.25">
      <c r="A19" s="27" t="s">
        <v>81</v>
      </c>
      <c r="B19" s="28">
        <v>1700</v>
      </c>
      <c r="C19" s="24">
        <v>3500</v>
      </c>
      <c r="D19" s="26">
        <v>4200</v>
      </c>
      <c r="E19" s="26">
        <v>8000</v>
      </c>
      <c r="F19" s="25">
        <f t="shared" si="0"/>
        <v>0.90476190476190477</v>
      </c>
      <c r="G19" s="7">
        <f t="shared" si="1"/>
        <v>3800</v>
      </c>
    </row>
    <row r="20" spans="1:9" x14ac:dyDescent="0.25">
      <c r="A20" s="22" t="s">
        <v>82</v>
      </c>
      <c r="B20" s="23">
        <v>2800</v>
      </c>
      <c r="C20" s="7">
        <v>3300</v>
      </c>
      <c r="D20" s="24">
        <v>3900</v>
      </c>
      <c r="E20" s="24">
        <v>10000</v>
      </c>
      <c r="F20" s="25">
        <f t="shared" si="0"/>
        <v>1.5641025641025641</v>
      </c>
      <c r="G20" s="7">
        <f t="shared" si="1"/>
        <v>6100</v>
      </c>
    </row>
    <row r="21" spans="1:9" x14ac:dyDescent="0.25">
      <c r="A21" s="22" t="s">
        <v>83</v>
      </c>
      <c r="B21" s="23">
        <v>2398</v>
      </c>
      <c r="C21" s="7">
        <v>2772</v>
      </c>
      <c r="D21" s="26">
        <v>2800</v>
      </c>
      <c r="E21" s="26">
        <v>3100</v>
      </c>
      <c r="F21" s="25">
        <f t="shared" si="0"/>
        <v>0.10714285714285714</v>
      </c>
      <c r="G21" s="7">
        <f t="shared" si="1"/>
        <v>300</v>
      </c>
    </row>
    <row r="22" spans="1:9" x14ac:dyDescent="0.25">
      <c r="A22" s="22" t="s">
        <v>84</v>
      </c>
      <c r="B22" s="23">
        <v>1203</v>
      </c>
      <c r="C22" s="7">
        <v>2100</v>
      </c>
      <c r="D22" s="24">
        <v>3500</v>
      </c>
      <c r="E22" s="24">
        <v>6200</v>
      </c>
      <c r="F22" s="25">
        <f t="shared" si="0"/>
        <v>0.77142857142857146</v>
      </c>
      <c r="G22" s="7">
        <f t="shared" si="1"/>
        <v>2700</v>
      </c>
    </row>
    <row r="23" spans="1:9" x14ac:dyDescent="0.25">
      <c r="A23" s="22" t="s">
        <v>85</v>
      </c>
      <c r="B23" s="23">
        <v>1846</v>
      </c>
      <c r="C23" s="7">
        <v>2038</v>
      </c>
      <c r="D23" s="26">
        <v>2100</v>
      </c>
      <c r="E23" s="26">
        <v>2800</v>
      </c>
      <c r="F23" s="25">
        <f t="shared" si="0"/>
        <v>0.33333333333333331</v>
      </c>
      <c r="G23" s="7">
        <f t="shared" si="1"/>
        <v>700</v>
      </c>
    </row>
    <row r="24" spans="1:9" x14ac:dyDescent="0.25">
      <c r="A24" s="22" t="s">
        <v>86</v>
      </c>
      <c r="B24" s="23">
        <v>1500</v>
      </c>
      <c r="C24" s="7">
        <v>1900</v>
      </c>
      <c r="D24" s="24">
        <v>2300</v>
      </c>
      <c r="E24" s="24">
        <v>2600</v>
      </c>
      <c r="F24" s="25">
        <f t="shared" si="0"/>
        <v>0.13043478260869565</v>
      </c>
      <c r="G24" s="7">
        <f t="shared" si="1"/>
        <v>300</v>
      </c>
    </row>
    <row r="25" spans="1:9" x14ac:dyDescent="0.25">
      <c r="A25" s="27" t="s">
        <v>87</v>
      </c>
      <c r="B25" s="28">
        <v>1100</v>
      </c>
      <c r="C25" s="24">
        <v>1600</v>
      </c>
      <c r="D25" s="26">
        <v>1900</v>
      </c>
      <c r="E25" s="26">
        <v>3200</v>
      </c>
      <c r="F25" s="25">
        <f t="shared" si="0"/>
        <v>0.68421052631578949</v>
      </c>
      <c r="G25" s="7">
        <f t="shared" si="1"/>
        <v>1300</v>
      </c>
    </row>
    <row r="26" spans="1:9" x14ac:dyDescent="0.25">
      <c r="A26" s="27" t="s">
        <v>88</v>
      </c>
      <c r="B26" s="28"/>
      <c r="C26" s="24">
        <v>1600</v>
      </c>
      <c r="D26" s="24">
        <v>1600</v>
      </c>
      <c r="E26" s="24">
        <v>1600</v>
      </c>
      <c r="F26" s="25">
        <f t="shared" si="0"/>
        <v>0</v>
      </c>
      <c r="G26" s="7">
        <f t="shared" si="1"/>
        <v>0</v>
      </c>
    </row>
    <row r="27" spans="1:9" x14ac:dyDescent="0.25">
      <c r="A27" s="22" t="s">
        <v>89</v>
      </c>
      <c r="B27" s="23">
        <v>1200</v>
      </c>
      <c r="C27" s="7">
        <v>1200</v>
      </c>
      <c r="D27" s="26">
        <v>1200</v>
      </c>
      <c r="E27" s="26">
        <v>1100</v>
      </c>
      <c r="F27" s="25">
        <f t="shared" si="0"/>
        <v>-8.3333333333333329E-2</v>
      </c>
      <c r="G27" s="7">
        <f t="shared" si="1"/>
        <v>-100</v>
      </c>
    </row>
    <row r="28" spans="1:9" x14ac:dyDescent="0.25">
      <c r="A28" s="22" t="s">
        <v>90</v>
      </c>
      <c r="B28" s="23">
        <v>770</v>
      </c>
      <c r="C28" s="7">
        <v>770</v>
      </c>
      <c r="D28" s="24">
        <v>772</v>
      </c>
      <c r="E28" s="24">
        <v>1000</v>
      </c>
      <c r="F28" s="25">
        <f t="shared" si="0"/>
        <v>0.29533678756476683</v>
      </c>
      <c r="G28" s="7">
        <f t="shared" si="1"/>
        <v>228</v>
      </c>
    </row>
    <row r="29" spans="1:9" x14ac:dyDescent="0.25">
      <c r="A29" s="27" t="s">
        <v>91</v>
      </c>
      <c r="B29" s="28">
        <v>686</v>
      </c>
      <c r="C29" s="24">
        <v>689</v>
      </c>
      <c r="D29" s="26">
        <v>691</v>
      </c>
      <c r="E29" s="26">
        <v>680</v>
      </c>
      <c r="F29" s="25">
        <f t="shared" si="0"/>
        <v>-1.5918958031837915E-2</v>
      </c>
      <c r="G29" s="7">
        <f t="shared" si="1"/>
        <v>-11</v>
      </c>
    </row>
    <row r="30" spans="1:9" x14ac:dyDescent="0.25">
      <c r="A30" s="27" t="s">
        <v>92</v>
      </c>
      <c r="B30" s="28"/>
      <c r="C30" s="24">
        <v>339</v>
      </c>
      <c r="D30" s="24">
        <v>349</v>
      </c>
      <c r="E30" s="24">
        <v>1300</v>
      </c>
      <c r="F30" s="25">
        <f t="shared" si="0"/>
        <v>2.7249283667621778</v>
      </c>
      <c r="G30" s="7">
        <f t="shared" si="1"/>
        <v>951</v>
      </c>
    </row>
    <row r="31" spans="1:9" x14ac:dyDescent="0.25">
      <c r="A31" s="29" t="s">
        <v>93</v>
      </c>
      <c r="B31" s="48">
        <v>0</v>
      </c>
      <c r="C31" s="48">
        <v>0</v>
      </c>
      <c r="D31" s="48"/>
      <c r="E31" s="57">
        <v>0</v>
      </c>
      <c r="F31" s="55"/>
      <c r="G31" s="49"/>
      <c r="I31" s="60" t="s">
        <v>42</v>
      </c>
    </row>
    <row r="32" spans="1:9" x14ac:dyDescent="0.25">
      <c r="A32" s="29" t="s">
        <v>94</v>
      </c>
      <c r="B32" s="48">
        <v>0</v>
      </c>
      <c r="C32" s="48">
        <v>0</v>
      </c>
      <c r="D32" s="48"/>
      <c r="E32" s="48"/>
      <c r="F32" s="55"/>
      <c r="G32" s="49"/>
      <c r="I32" s="60" t="s">
        <v>42</v>
      </c>
    </row>
    <row r="33" spans="1:9" x14ac:dyDescent="0.25">
      <c r="A33" s="30" t="s">
        <v>95</v>
      </c>
      <c r="B33" s="49">
        <v>0</v>
      </c>
      <c r="C33" s="49">
        <v>0</v>
      </c>
      <c r="D33" s="48"/>
      <c r="E33" s="57">
        <v>0</v>
      </c>
      <c r="F33" s="55"/>
      <c r="G33" s="49"/>
      <c r="I33" s="60" t="s">
        <v>42</v>
      </c>
    </row>
    <row r="34" spans="1:9" x14ac:dyDescent="0.25">
      <c r="A34" s="31" t="s">
        <v>96</v>
      </c>
      <c r="B34" s="48"/>
      <c r="C34" s="48">
        <v>0</v>
      </c>
      <c r="D34" s="48"/>
      <c r="E34" s="48"/>
      <c r="F34" s="55"/>
      <c r="G34" s="49"/>
      <c r="I34" s="60" t="s">
        <v>42</v>
      </c>
    </row>
    <row r="35" spans="1:9" x14ac:dyDescent="0.25">
      <c r="A35" s="6" t="s">
        <v>100</v>
      </c>
      <c r="B35" s="51"/>
      <c r="C35" s="48"/>
      <c r="D35" s="52"/>
      <c r="E35" s="50">
        <v>3000</v>
      </c>
      <c r="F35" s="55"/>
      <c r="G35" s="49"/>
    </row>
    <row r="36" spans="1:9" x14ac:dyDescent="0.25">
      <c r="A36" t="s">
        <v>99</v>
      </c>
      <c r="B36" s="51"/>
      <c r="C36" s="48"/>
      <c r="D36" s="52"/>
      <c r="E36" s="57">
        <v>0</v>
      </c>
      <c r="F36" s="55"/>
      <c r="G36" s="49"/>
      <c r="I36" s="60" t="s">
        <v>42</v>
      </c>
    </row>
    <row r="37" spans="1:9" x14ac:dyDescent="0.25">
      <c r="A37" s="6" t="s">
        <v>101</v>
      </c>
      <c r="B37" s="51"/>
      <c r="C37" s="48"/>
      <c r="D37" s="52"/>
      <c r="E37" s="50">
        <v>6800</v>
      </c>
      <c r="F37" s="55"/>
      <c r="G37" s="49"/>
    </row>
    <row r="38" spans="1:9" x14ac:dyDescent="0.25">
      <c r="A38" s="6" t="s">
        <v>102</v>
      </c>
      <c r="B38" s="51"/>
      <c r="C38" s="48"/>
      <c r="D38" s="52"/>
      <c r="E38" s="50">
        <v>7000</v>
      </c>
      <c r="F38" s="55"/>
      <c r="G38" s="49"/>
    </row>
    <row r="39" spans="1:9" x14ac:dyDescent="0.25">
      <c r="A39" s="6" t="s">
        <v>103</v>
      </c>
      <c r="B39" s="51"/>
      <c r="C39" s="48"/>
      <c r="D39" s="52"/>
      <c r="E39" s="50">
        <v>1800</v>
      </c>
      <c r="F39" s="55"/>
      <c r="G39" s="49"/>
    </row>
    <row r="40" spans="1:9" x14ac:dyDescent="0.25">
      <c r="A40" t="s">
        <v>104</v>
      </c>
      <c r="B40" s="51"/>
      <c r="C40" s="48"/>
      <c r="D40" s="52"/>
      <c r="E40" s="52"/>
      <c r="F40" s="55"/>
      <c r="G40" s="49"/>
      <c r="I40" s="60" t="s">
        <v>42</v>
      </c>
    </row>
    <row r="41" spans="1:9" x14ac:dyDescent="0.25">
      <c r="A41" s="6" t="s">
        <v>105</v>
      </c>
      <c r="B41" s="51"/>
      <c r="C41" s="48"/>
      <c r="D41" s="52"/>
      <c r="E41" s="50">
        <v>1000</v>
      </c>
      <c r="F41" s="55"/>
      <c r="G41" s="49"/>
    </row>
    <row r="43" spans="1:9" x14ac:dyDescent="0.25">
      <c r="A43" s="2" t="s">
        <v>33</v>
      </c>
      <c r="B43" s="3">
        <v>44621</v>
      </c>
      <c r="C43" s="3">
        <v>44774</v>
      </c>
      <c r="D43" s="3">
        <v>44895</v>
      </c>
      <c r="E43" s="3">
        <v>45383</v>
      </c>
      <c r="F43" s="4" t="s">
        <v>2</v>
      </c>
      <c r="G43" s="5" t="s">
        <v>3</v>
      </c>
    </row>
    <row r="44" spans="1:9" x14ac:dyDescent="0.25">
      <c r="A44" s="32" t="s">
        <v>65</v>
      </c>
      <c r="B44" s="33">
        <v>126754</v>
      </c>
      <c r="C44" s="33">
        <v>126600</v>
      </c>
      <c r="D44" s="34">
        <v>124911</v>
      </c>
      <c r="E44" s="34">
        <v>120100</v>
      </c>
      <c r="F44" s="25">
        <f>(E44-D44)/D44</f>
        <v>-3.8515422981162589E-2</v>
      </c>
      <c r="G44" s="7">
        <f>E44-D44</f>
        <v>-4811</v>
      </c>
    </row>
    <row r="45" spans="1:9" x14ac:dyDescent="0.25">
      <c r="A45" s="32" t="s">
        <v>64</v>
      </c>
      <c r="B45" s="33">
        <v>123729</v>
      </c>
      <c r="C45" s="7">
        <v>125800</v>
      </c>
      <c r="D45" s="34">
        <v>144667</v>
      </c>
      <c r="E45" s="34">
        <v>120600</v>
      </c>
      <c r="F45" s="25">
        <f t="shared" ref="F45:F75" si="2">(E45-D45)/D45</f>
        <v>-0.16636136783094971</v>
      </c>
      <c r="G45" s="7">
        <f t="shared" ref="G45:G75" si="3">E45-D45</f>
        <v>-24067</v>
      </c>
    </row>
    <row r="46" spans="1:9" x14ac:dyDescent="0.25">
      <c r="A46" s="32" t="s">
        <v>77</v>
      </c>
      <c r="B46" s="33">
        <v>24445</v>
      </c>
      <c r="C46" s="7">
        <v>30800</v>
      </c>
      <c r="D46" s="34">
        <v>32096</v>
      </c>
      <c r="E46" s="34">
        <v>33100</v>
      </c>
      <c r="F46" s="25">
        <f t="shared" si="2"/>
        <v>3.1281156530408777E-2</v>
      </c>
      <c r="G46" s="7">
        <f t="shared" si="3"/>
        <v>1004</v>
      </c>
    </row>
    <row r="47" spans="1:9" x14ac:dyDescent="0.25">
      <c r="A47" s="32" t="s">
        <v>67</v>
      </c>
      <c r="B47" s="33">
        <v>21877</v>
      </c>
      <c r="C47" s="7">
        <v>30200</v>
      </c>
      <c r="D47" s="34">
        <v>33389</v>
      </c>
      <c r="E47" s="34">
        <v>33600</v>
      </c>
      <c r="F47" s="25">
        <f t="shared" si="2"/>
        <v>6.3194465243044118E-3</v>
      </c>
      <c r="G47" s="7">
        <f t="shared" si="3"/>
        <v>211</v>
      </c>
    </row>
    <row r="48" spans="1:9" x14ac:dyDescent="0.25">
      <c r="A48" s="32" t="s">
        <v>80</v>
      </c>
      <c r="B48" s="33">
        <v>16477</v>
      </c>
      <c r="C48" s="7">
        <v>18800</v>
      </c>
      <c r="D48" s="34">
        <v>19179</v>
      </c>
      <c r="E48" s="34">
        <v>20000</v>
      </c>
      <c r="F48" s="25">
        <f t="shared" si="2"/>
        <v>4.280723708222535E-2</v>
      </c>
      <c r="G48" s="7">
        <f t="shared" si="3"/>
        <v>821</v>
      </c>
    </row>
    <row r="49" spans="1:7" x14ac:dyDescent="0.25">
      <c r="A49" s="32" t="s">
        <v>69</v>
      </c>
      <c r="B49" s="33">
        <v>15459</v>
      </c>
      <c r="C49" s="7">
        <v>16900</v>
      </c>
      <c r="D49" s="34">
        <v>17572</v>
      </c>
      <c r="E49" s="34">
        <v>18600</v>
      </c>
      <c r="F49" s="25">
        <f t="shared" si="2"/>
        <v>5.8502162531299792E-2</v>
      </c>
      <c r="G49" s="7">
        <f t="shared" si="3"/>
        <v>1028</v>
      </c>
    </row>
    <row r="50" spans="1:7" x14ac:dyDescent="0.25">
      <c r="A50" s="32" t="s">
        <v>68</v>
      </c>
      <c r="B50" s="59"/>
      <c r="C50" s="7">
        <v>16700</v>
      </c>
      <c r="D50" s="34">
        <v>16982</v>
      </c>
      <c r="E50" s="34">
        <v>17300</v>
      </c>
      <c r="F50" s="25">
        <f t="shared" si="2"/>
        <v>1.8725709574843954E-2</v>
      </c>
      <c r="G50" s="7">
        <f t="shared" si="3"/>
        <v>318</v>
      </c>
    </row>
    <row r="51" spans="1:7" x14ac:dyDescent="0.25">
      <c r="A51" s="32" t="s">
        <v>74</v>
      </c>
      <c r="B51" s="33">
        <v>15269</v>
      </c>
      <c r="C51" s="7">
        <v>15600</v>
      </c>
      <c r="D51" s="34">
        <v>15626</v>
      </c>
      <c r="E51" s="34">
        <v>15500</v>
      </c>
      <c r="F51" s="25">
        <f t="shared" si="2"/>
        <v>-8.0634839370280296E-3</v>
      </c>
      <c r="G51" s="7">
        <f t="shared" si="3"/>
        <v>-126</v>
      </c>
    </row>
    <row r="52" spans="1:7" x14ac:dyDescent="0.25">
      <c r="A52" s="32" t="s">
        <v>66</v>
      </c>
      <c r="B52" s="33">
        <v>9522</v>
      </c>
      <c r="C52" s="7">
        <v>11600</v>
      </c>
      <c r="D52" s="34">
        <v>11683</v>
      </c>
      <c r="E52" s="34">
        <v>14600</v>
      </c>
      <c r="F52" s="25">
        <f t="shared" si="2"/>
        <v>0.2496790207994522</v>
      </c>
      <c r="G52" s="7">
        <f t="shared" si="3"/>
        <v>2917</v>
      </c>
    </row>
    <row r="53" spans="1:7" x14ac:dyDescent="0.25">
      <c r="A53" s="32" t="s">
        <v>82</v>
      </c>
      <c r="B53" s="33">
        <v>6950</v>
      </c>
      <c r="C53" s="7">
        <v>9197</v>
      </c>
      <c r="D53" s="34">
        <v>9815</v>
      </c>
      <c r="E53" s="34">
        <v>16100</v>
      </c>
      <c r="F53" s="25">
        <f t="shared" si="2"/>
        <v>0.64034640855832914</v>
      </c>
      <c r="G53" s="7">
        <f t="shared" si="3"/>
        <v>6285</v>
      </c>
    </row>
    <row r="54" spans="1:7" x14ac:dyDescent="0.25">
      <c r="A54" s="32" t="s">
        <v>86</v>
      </c>
      <c r="B54" s="33">
        <v>8493</v>
      </c>
      <c r="C54" s="7">
        <v>8790</v>
      </c>
      <c r="D54" s="34">
        <v>8789</v>
      </c>
      <c r="E54" s="34">
        <v>8866</v>
      </c>
      <c r="F54" s="25">
        <f t="shared" si="2"/>
        <v>8.7609511889862324E-3</v>
      </c>
      <c r="G54" s="7">
        <f t="shared" si="3"/>
        <v>77</v>
      </c>
    </row>
    <row r="55" spans="1:7" x14ac:dyDescent="0.25">
      <c r="A55" s="32" t="s">
        <v>73</v>
      </c>
      <c r="B55" s="33">
        <v>6642</v>
      </c>
      <c r="C55" s="7">
        <v>6870</v>
      </c>
      <c r="D55" s="34">
        <v>6825</v>
      </c>
      <c r="E55" s="34">
        <v>6545</v>
      </c>
      <c r="F55" s="25">
        <f t="shared" si="2"/>
        <v>-4.1025641025641026E-2</v>
      </c>
      <c r="G55" s="7">
        <f t="shared" si="3"/>
        <v>-280</v>
      </c>
    </row>
    <row r="56" spans="1:7" x14ac:dyDescent="0.25">
      <c r="A56" s="32" t="s">
        <v>72</v>
      </c>
      <c r="B56" s="33">
        <v>5988</v>
      </c>
      <c r="C56" s="7">
        <v>6531</v>
      </c>
      <c r="D56" s="34">
        <v>6607</v>
      </c>
      <c r="E56" s="34">
        <v>6694</v>
      </c>
      <c r="F56" s="25">
        <f t="shared" si="2"/>
        <v>1.3167852277887089E-2</v>
      </c>
      <c r="G56" s="7">
        <f t="shared" si="3"/>
        <v>87</v>
      </c>
    </row>
    <row r="57" spans="1:7" x14ac:dyDescent="0.25">
      <c r="A57" s="32" t="s">
        <v>87</v>
      </c>
      <c r="B57" s="33">
        <v>5644</v>
      </c>
      <c r="C57" s="7">
        <v>5790</v>
      </c>
      <c r="D57" s="34">
        <v>5742</v>
      </c>
      <c r="E57" s="34">
        <v>5516</v>
      </c>
      <c r="F57" s="25">
        <f t="shared" si="2"/>
        <v>-3.9359108324625566E-2</v>
      </c>
      <c r="G57" s="7">
        <f t="shared" si="3"/>
        <v>-226</v>
      </c>
    </row>
    <row r="58" spans="1:7" x14ac:dyDescent="0.25">
      <c r="A58" s="32" t="s">
        <v>89</v>
      </c>
      <c r="B58" s="33">
        <v>3332</v>
      </c>
      <c r="C58" s="7">
        <v>5225</v>
      </c>
      <c r="D58" s="34">
        <v>5856</v>
      </c>
      <c r="E58" s="34">
        <v>9624</v>
      </c>
      <c r="F58" s="25">
        <f t="shared" si="2"/>
        <v>0.64344262295081966</v>
      </c>
      <c r="G58" s="7">
        <f t="shared" si="3"/>
        <v>3768</v>
      </c>
    </row>
    <row r="59" spans="1:7" x14ac:dyDescent="0.25">
      <c r="A59" s="32" t="s">
        <v>76</v>
      </c>
      <c r="B59" s="33">
        <v>4373</v>
      </c>
      <c r="C59" s="7">
        <v>4604</v>
      </c>
      <c r="D59" s="34">
        <v>4613</v>
      </c>
      <c r="E59" s="34">
        <v>4499</v>
      </c>
      <c r="F59" s="25">
        <f t="shared" si="2"/>
        <v>-2.4712768263602861E-2</v>
      </c>
      <c r="G59" s="7">
        <f t="shared" si="3"/>
        <v>-114</v>
      </c>
    </row>
    <row r="60" spans="1:7" x14ac:dyDescent="0.25">
      <c r="A60" s="32" t="s">
        <v>71</v>
      </c>
      <c r="B60" s="33">
        <v>3695</v>
      </c>
      <c r="C60" s="7">
        <v>4549</v>
      </c>
      <c r="D60" s="34">
        <v>4741</v>
      </c>
      <c r="E60" s="34">
        <v>5318</v>
      </c>
      <c r="F60" s="25">
        <f t="shared" si="2"/>
        <v>0.12170428179708923</v>
      </c>
      <c r="G60" s="7">
        <f t="shared" si="3"/>
        <v>577</v>
      </c>
    </row>
    <row r="61" spans="1:7" x14ac:dyDescent="0.25">
      <c r="A61" s="32" t="s">
        <v>93</v>
      </c>
      <c r="B61" s="33">
        <v>3113</v>
      </c>
      <c r="C61" s="7">
        <v>4549</v>
      </c>
      <c r="D61" s="34">
        <v>4973</v>
      </c>
      <c r="E61" s="34">
        <v>6145</v>
      </c>
      <c r="F61" s="25">
        <f t="shared" si="2"/>
        <v>0.23567263221395535</v>
      </c>
      <c r="G61" s="7">
        <f t="shared" si="3"/>
        <v>1172</v>
      </c>
    </row>
    <row r="62" spans="1:7" x14ac:dyDescent="0.25">
      <c r="A62" s="32" t="s">
        <v>70</v>
      </c>
      <c r="B62" s="59"/>
      <c r="C62" s="7">
        <v>4463</v>
      </c>
      <c r="D62" s="34">
        <v>4501</v>
      </c>
      <c r="E62" s="34">
        <v>4667</v>
      </c>
      <c r="F62" s="25">
        <f t="shared" si="2"/>
        <v>3.6880693179293489E-2</v>
      </c>
      <c r="G62" s="7">
        <f t="shared" si="3"/>
        <v>166</v>
      </c>
    </row>
    <row r="63" spans="1:7" x14ac:dyDescent="0.25">
      <c r="A63" s="32" t="s">
        <v>83</v>
      </c>
      <c r="B63" s="33">
        <v>2985</v>
      </c>
      <c r="C63" s="7">
        <v>4332</v>
      </c>
      <c r="D63" s="34">
        <v>4487</v>
      </c>
      <c r="E63" s="34">
        <v>5440</v>
      </c>
      <c r="F63" s="25">
        <f t="shared" si="2"/>
        <v>0.21239135279696902</v>
      </c>
      <c r="G63" s="7">
        <f t="shared" si="3"/>
        <v>953</v>
      </c>
    </row>
    <row r="64" spans="1:7" x14ac:dyDescent="0.25">
      <c r="A64" s="32" t="s">
        <v>79</v>
      </c>
      <c r="B64" s="33">
        <v>2411</v>
      </c>
      <c r="C64" s="7">
        <v>3596</v>
      </c>
      <c r="D64" s="34">
        <v>3826</v>
      </c>
      <c r="E64" s="34">
        <v>4189</v>
      </c>
      <c r="F64" s="25">
        <f t="shared" si="2"/>
        <v>9.4877156299006796E-2</v>
      </c>
      <c r="G64" s="7">
        <f t="shared" si="3"/>
        <v>363</v>
      </c>
    </row>
    <row r="65" spans="1:9" x14ac:dyDescent="0.25">
      <c r="A65" s="32" t="s">
        <v>81</v>
      </c>
      <c r="B65" s="33">
        <v>2025</v>
      </c>
      <c r="C65" s="7">
        <v>3202</v>
      </c>
      <c r="D65" s="34">
        <v>3503</v>
      </c>
      <c r="E65" s="34">
        <v>4624</v>
      </c>
      <c r="F65" s="25">
        <f t="shared" si="2"/>
        <v>0.32001141878389949</v>
      </c>
      <c r="G65" s="7">
        <f t="shared" si="3"/>
        <v>1121</v>
      </c>
    </row>
    <row r="66" spans="1:9" x14ac:dyDescent="0.25">
      <c r="A66" s="32" t="s">
        <v>95</v>
      </c>
      <c r="B66" s="33">
        <v>2272</v>
      </c>
      <c r="C66" s="7">
        <v>2973</v>
      </c>
      <c r="D66" s="34">
        <v>3138</v>
      </c>
      <c r="E66" s="34">
        <v>3498</v>
      </c>
      <c r="F66" s="25">
        <f t="shared" si="2"/>
        <v>0.1147227533460803</v>
      </c>
      <c r="G66" s="7">
        <f t="shared" si="3"/>
        <v>360</v>
      </c>
    </row>
    <row r="67" spans="1:9" x14ac:dyDescent="0.25">
      <c r="A67" s="32" t="s">
        <v>84</v>
      </c>
      <c r="B67" s="33">
        <v>1287</v>
      </c>
      <c r="C67" s="7">
        <v>2936</v>
      </c>
      <c r="D67" s="34">
        <v>3241</v>
      </c>
      <c r="E67" s="34">
        <v>4031</v>
      </c>
      <c r="F67" s="25">
        <f t="shared" si="2"/>
        <v>0.24375192841715521</v>
      </c>
      <c r="G67" s="7">
        <f t="shared" si="3"/>
        <v>790</v>
      </c>
    </row>
    <row r="68" spans="1:9" x14ac:dyDescent="0.25">
      <c r="A68" s="36" t="s">
        <v>88</v>
      </c>
      <c r="B68" s="59"/>
      <c r="C68" s="7">
        <v>2488</v>
      </c>
      <c r="D68" s="34">
        <v>2587</v>
      </c>
      <c r="E68" s="34">
        <v>2852</v>
      </c>
      <c r="F68" s="25">
        <f t="shared" si="2"/>
        <v>0.10243525318902204</v>
      </c>
      <c r="G68" s="7">
        <f t="shared" si="3"/>
        <v>265</v>
      </c>
    </row>
    <row r="69" spans="1:9" x14ac:dyDescent="0.25">
      <c r="A69" s="32" t="s">
        <v>92</v>
      </c>
      <c r="B69" s="59"/>
      <c r="C69" s="7">
        <v>2188</v>
      </c>
      <c r="D69" s="34">
        <v>2225</v>
      </c>
      <c r="E69" s="34">
        <v>2754</v>
      </c>
      <c r="F69" s="25">
        <f t="shared" si="2"/>
        <v>0.23775280898876405</v>
      </c>
      <c r="G69" s="7">
        <f t="shared" si="3"/>
        <v>529</v>
      </c>
    </row>
    <row r="70" spans="1:9" x14ac:dyDescent="0.25">
      <c r="A70" s="32" t="s">
        <v>78</v>
      </c>
      <c r="B70" s="33">
        <v>1381</v>
      </c>
      <c r="C70" s="7">
        <v>1876</v>
      </c>
      <c r="D70" s="34">
        <v>1994</v>
      </c>
      <c r="E70" s="34">
        <v>2253</v>
      </c>
      <c r="F70" s="25">
        <f t="shared" si="2"/>
        <v>0.12988966900702106</v>
      </c>
      <c r="G70" s="7">
        <f t="shared" si="3"/>
        <v>259</v>
      </c>
    </row>
    <row r="71" spans="1:9" x14ac:dyDescent="0.25">
      <c r="A71" s="32" t="s">
        <v>90</v>
      </c>
      <c r="B71" s="33">
        <v>1769</v>
      </c>
      <c r="C71" s="7">
        <v>1815</v>
      </c>
      <c r="D71" s="34">
        <v>1819</v>
      </c>
      <c r="E71" s="34">
        <v>1793</v>
      </c>
      <c r="F71" s="25">
        <f t="shared" si="2"/>
        <v>-1.4293567894447499E-2</v>
      </c>
      <c r="G71" s="7">
        <f t="shared" si="3"/>
        <v>-26</v>
      </c>
    </row>
    <row r="72" spans="1:9" x14ac:dyDescent="0.25">
      <c r="A72" s="32" t="s">
        <v>75</v>
      </c>
      <c r="B72" s="33">
        <v>1485</v>
      </c>
      <c r="C72" s="7">
        <v>1705</v>
      </c>
      <c r="D72" s="34">
        <v>1769</v>
      </c>
      <c r="E72" s="34">
        <v>2014</v>
      </c>
      <c r="F72" s="25">
        <f t="shared" si="2"/>
        <v>0.13849632560768796</v>
      </c>
      <c r="G72" s="7">
        <f t="shared" si="3"/>
        <v>245</v>
      </c>
    </row>
    <row r="73" spans="1:9" x14ac:dyDescent="0.25">
      <c r="A73" s="32" t="s">
        <v>96</v>
      </c>
      <c r="B73" s="59"/>
      <c r="C73" s="7">
        <v>1192</v>
      </c>
      <c r="D73" s="34">
        <v>1418</v>
      </c>
      <c r="E73" s="34">
        <v>3048</v>
      </c>
      <c r="F73" s="25">
        <f t="shared" si="2"/>
        <v>1.1495063469675599</v>
      </c>
      <c r="G73" s="7">
        <f t="shared" si="3"/>
        <v>1630</v>
      </c>
    </row>
    <row r="74" spans="1:9" x14ac:dyDescent="0.25">
      <c r="A74" s="32" t="s">
        <v>91</v>
      </c>
      <c r="B74" s="33">
        <v>1039</v>
      </c>
      <c r="C74" s="7">
        <v>1166</v>
      </c>
      <c r="D74" s="34">
        <v>1286</v>
      </c>
      <c r="E74" s="34">
        <v>1785</v>
      </c>
      <c r="F74" s="25">
        <f t="shared" si="2"/>
        <v>0.3880248833592535</v>
      </c>
      <c r="G74" s="7">
        <f t="shared" si="3"/>
        <v>499</v>
      </c>
    </row>
    <row r="75" spans="1:9" x14ac:dyDescent="0.25">
      <c r="A75" s="32" t="s">
        <v>94</v>
      </c>
      <c r="B75" s="33">
        <v>168</v>
      </c>
      <c r="C75" s="7">
        <v>483</v>
      </c>
      <c r="D75" s="37">
        <v>558</v>
      </c>
      <c r="E75" s="37">
        <v>989</v>
      </c>
      <c r="F75" s="25">
        <f t="shared" si="2"/>
        <v>0.77240143369175629</v>
      </c>
      <c r="G75" s="7">
        <f t="shared" si="3"/>
        <v>431</v>
      </c>
    </row>
    <row r="76" spans="1:9" x14ac:dyDescent="0.25">
      <c r="A76" s="6" t="s">
        <v>100</v>
      </c>
      <c r="B76" s="53"/>
      <c r="C76" s="49"/>
      <c r="D76" s="54"/>
      <c r="E76" s="34">
        <v>814</v>
      </c>
      <c r="F76" s="55"/>
      <c r="G76" s="49"/>
    </row>
    <row r="77" spans="1:9" x14ac:dyDescent="0.25">
      <c r="A77" s="6" t="s">
        <v>99</v>
      </c>
      <c r="B77" s="53"/>
      <c r="C77" s="49"/>
      <c r="D77" s="54"/>
      <c r="E77" s="34">
        <v>1374</v>
      </c>
      <c r="F77" s="55"/>
      <c r="G77" s="49"/>
    </row>
    <row r="78" spans="1:9" x14ac:dyDescent="0.25">
      <c r="A78" s="6" t="s">
        <v>101</v>
      </c>
      <c r="B78" s="53"/>
      <c r="C78" s="49"/>
      <c r="D78" s="54"/>
      <c r="E78" s="34">
        <v>4968</v>
      </c>
      <c r="F78" s="55"/>
      <c r="G78" s="49"/>
    </row>
    <row r="79" spans="1:9" x14ac:dyDescent="0.25">
      <c r="A79" s="6" t="s">
        <v>102</v>
      </c>
      <c r="B79" s="53"/>
      <c r="C79" s="49"/>
      <c r="D79" s="54"/>
      <c r="E79" s="34">
        <v>19000</v>
      </c>
      <c r="F79" s="55"/>
      <c r="G79" s="49"/>
    </row>
    <row r="80" spans="1:9" x14ac:dyDescent="0.25">
      <c r="A80" t="s">
        <v>85</v>
      </c>
      <c r="B80" s="53"/>
      <c r="C80" s="49"/>
      <c r="D80" s="54"/>
      <c r="E80" s="54"/>
      <c r="F80" s="55"/>
      <c r="G80" s="49"/>
      <c r="I80" s="60" t="s">
        <v>42</v>
      </c>
    </row>
    <row r="81" spans="1:10" x14ac:dyDescent="0.25">
      <c r="A81" t="s">
        <v>103</v>
      </c>
      <c r="B81" s="49"/>
      <c r="C81" s="49"/>
      <c r="D81" s="54"/>
      <c r="E81" s="58"/>
      <c r="F81" s="55"/>
      <c r="G81" s="49"/>
      <c r="I81" s="60" t="s">
        <v>42</v>
      </c>
    </row>
    <row r="82" spans="1:10" x14ac:dyDescent="0.25">
      <c r="A82" t="s">
        <v>104</v>
      </c>
      <c r="B82" s="49"/>
      <c r="C82" s="49"/>
      <c r="D82" s="54"/>
      <c r="E82" s="34">
        <v>279</v>
      </c>
      <c r="F82" s="55"/>
      <c r="G82" s="49"/>
    </row>
    <row r="83" spans="1:10" x14ac:dyDescent="0.25">
      <c r="A83" s="6" t="s">
        <v>105</v>
      </c>
      <c r="B83" s="51"/>
      <c r="C83" s="49"/>
      <c r="D83" s="54"/>
      <c r="E83" s="34">
        <v>3504</v>
      </c>
      <c r="F83" s="55"/>
      <c r="G83" s="49"/>
    </row>
    <row r="84" spans="1:10" x14ac:dyDescent="0.25">
      <c r="F84" s="7"/>
    </row>
    <row r="85" spans="1:10" x14ac:dyDescent="0.25">
      <c r="A85" s="39" t="s">
        <v>34</v>
      </c>
      <c r="B85" s="40">
        <v>44621</v>
      </c>
      <c r="C85" s="40">
        <v>44774</v>
      </c>
      <c r="D85" s="40">
        <v>44895</v>
      </c>
      <c r="E85" s="40">
        <v>45383</v>
      </c>
      <c r="F85" s="21" t="s">
        <v>2</v>
      </c>
      <c r="G85" s="41" t="s">
        <v>3</v>
      </c>
    </row>
    <row r="86" spans="1:10" x14ac:dyDescent="0.25">
      <c r="A86" s="42" t="s">
        <v>64</v>
      </c>
      <c r="B86" s="43">
        <v>128000</v>
      </c>
      <c r="C86" s="43">
        <v>147000</v>
      </c>
      <c r="D86" s="34">
        <v>154362</v>
      </c>
      <c r="E86" s="34">
        <v>173000</v>
      </c>
      <c r="F86" s="25">
        <f>(E86-D86)/D86</f>
        <v>0.12074215156579987</v>
      </c>
      <c r="G86" s="7">
        <f>E86-D86</f>
        <v>18638</v>
      </c>
    </row>
    <row r="87" spans="1:10" x14ac:dyDescent="0.25">
      <c r="A87" s="42" t="s">
        <v>67</v>
      </c>
      <c r="B87" s="43">
        <v>75213</v>
      </c>
      <c r="C87" s="43">
        <v>136000</v>
      </c>
      <c r="D87" s="34">
        <v>142782</v>
      </c>
      <c r="E87" s="34">
        <v>144000</v>
      </c>
      <c r="F87" s="25">
        <f t="shared" ref="F87:F118" si="4">(E87-D87)/D87</f>
        <v>8.5304870361810319E-3</v>
      </c>
      <c r="G87" s="7">
        <f t="shared" ref="G87:G118" si="5">E87-D87</f>
        <v>1218</v>
      </c>
    </row>
    <row r="88" spans="1:10" x14ac:dyDescent="0.25">
      <c r="A88" s="42" t="s">
        <v>65</v>
      </c>
      <c r="B88" s="43">
        <v>109724</v>
      </c>
      <c r="C88" s="43">
        <v>110000</v>
      </c>
      <c r="D88" s="34">
        <v>110305</v>
      </c>
      <c r="E88" s="34">
        <v>110000</v>
      </c>
      <c r="F88" s="25">
        <f t="shared" si="4"/>
        <v>-2.7650605140292824E-3</v>
      </c>
      <c r="G88" s="7">
        <f t="shared" si="5"/>
        <v>-305</v>
      </c>
    </row>
    <row r="89" spans="1:10" x14ac:dyDescent="0.25">
      <c r="A89" s="42" t="s">
        <v>66</v>
      </c>
      <c r="B89" s="43">
        <v>62964</v>
      </c>
      <c r="C89" s="43">
        <v>90200</v>
      </c>
      <c r="D89" s="34">
        <v>92586</v>
      </c>
      <c r="E89" s="34">
        <v>159000</v>
      </c>
      <c r="F89" s="25">
        <f t="shared" si="4"/>
        <v>0.71732227334586218</v>
      </c>
      <c r="G89" s="7">
        <f t="shared" si="5"/>
        <v>66414</v>
      </c>
    </row>
    <row r="90" spans="1:10" x14ac:dyDescent="0.25">
      <c r="A90" s="42" t="s">
        <v>89</v>
      </c>
      <c r="B90" s="43">
        <v>50627</v>
      </c>
      <c r="C90" s="43">
        <v>72700</v>
      </c>
      <c r="D90" s="34">
        <v>81490</v>
      </c>
      <c r="E90" s="34">
        <v>221000</v>
      </c>
      <c r="F90" s="25">
        <f t="shared" si="4"/>
        <v>1.7119892011289728</v>
      </c>
      <c r="G90" s="7">
        <f t="shared" si="5"/>
        <v>139510</v>
      </c>
    </row>
    <row r="91" spans="1:10" x14ac:dyDescent="0.25">
      <c r="A91" s="42" t="s">
        <v>68</v>
      </c>
      <c r="B91" s="56"/>
      <c r="C91" s="43">
        <v>52700</v>
      </c>
      <c r="D91" s="34">
        <v>54615</v>
      </c>
      <c r="E91" s="34">
        <v>66300</v>
      </c>
      <c r="F91" s="25">
        <f t="shared" si="4"/>
        <v>0.2139522109310629</v>
      </c>
      <c r="G91" s="7">
        <f t="shared" si="5"/>
        <v>11685</v>
      </c>
      <c r="J91" s="38"/>
    </row>
    <row r="92" spans="1:10" x14ac:dyDescent="0.25">
      <c r="A92" s="42" t="s">
        <v>80</v>
      </c>
      <c r="B92" s="43">
        <v>38931</v>
      </c>
      <c r="C92" s="43">
        <v>52400</v>
      </c>
      <c r="D92" s="34">
        <v>53674</v>
      </c>
      <c r="E92" s="34">
        <v>63000</v>
      </c>
      <c r="F92" s="25">
        <f t="shared" si="4"/>
        <v>0.17375265491671946</v>
      </c>
      <c r="G92" s="7">
        <f t="shared" si="5"/>
        <v>9326</v>
      </c>
      <c r="J92" s="38"/>
    </row>
    <row r="93" spans="1:10" x14ac:dyDescent="0.25">
      <c r="A93" s="42" t="s">
        <v>93</v>
      </c>
      <c r="B93" s="43">
        <v>38479</v>
      </c>
      <c r="C93" s="43">
        <v>50100</v>
      </c>
      <c r="D93" s="34">
        <v>53301</v>
      </c>
      <c r="E93" s="34">
        <v>64700</v>
      </c>
      <c r="F93" s="25">
        <f t="shared" si="4"/>
        <v>0.21386090317254836</v>
      </c>
      <c r="G93" s="7">
        <f t="shared" si="5"/>
        <v>11399</v>
      </c>
      <c r="J93" s="38"/>
    </row>
    <row r="94" spans="1:10" x14ac:dyDescent="0.25">
      <c r="A94" s="42" t="s">
        <v>75</v>
      </c>
      <c r="B94" s="43">
        <v>35300</v>
      </c>
      <c r="C94" s="43">
        <v>42600</v>
      </c>
      <c r="D94" s="34">
        <v>44925</v>
      </c>
      <c r="E94" s="34">
        <v>50100</v>
      </c>
      <c r="F94" s="25">
        <f t="shared" si="4"/>
        <v>0.11519198664440734</v>
      </c>
      <c r="G94" s="7">
        <f t="shared" si="5"/>
        <v>5175</v>
      </c>
      <c r="J94" s="38"/>
    </row>
    <row r="95" spans="1:10" x14ac:dyDescent="0.25">
      <c r="A95" s="42" t="s">
        <v>82</v>
      </c>
      <c r="B95" s="43">
        <v>28651</v>
      </c>
      <c r="C95" s="43">
        <v>41200</v>
      </c>
      <c r="D95" s="34">
        <v>49507</v>
      </c>
      <c r="E95" s="34">
        <v>201000</v>
      </c>
      <c r="F95" s="25">
        <f t="shared" si="4"/>
        <v>3.0600319146787323</v>
      </c>
      <c r="G95" s="7">
        <f t="shared" si="5"/>
        <v>151493</v>
      </c>
      <c r="J95" s="38"/>
    </row>
    <row r="96" spans="1:10" x14ac:dyDescent="0.25">
      <c r="A96" s="42" t="s">
        <v>72</v>
      </c>
      <c r="B96" s="43">
        <v>30426</v>
      </c>
      <c r="C96" s="43">
        <v>39400</v>
      </c>
      <c r="D96" s="34">
        <v>42505</v>
      </c>
      <c r="E96" s="34">
        <v>44500</v>
      </c>
      <c r="F96" s="25">
        <f t="shared" si="4"/>
        <v>4.6935654628867195E-2</v>
      </c>
      <c r="G96" s="7">
        <f t="shared" si="5"/>
        <v>1995</v>
      </c>
      <c r="J96" s="38"/>
    </row>
    <row r="97" spans="1:10" x14ac:dyDescent="0.25">
      <c r="A97" s="42" t="s">
        <v>69</v>
      </c>
      <c r="B97" s="43">
        <v>29409</v>
      </c>
      <c r="C97" s="43">
        <v>35200</v>
      </c>
      <c r="D97" s="34">
        <v>35981</v>
      </c>
      <c r="E97" s="34">
        <v>37800</v>
      </c>
      <c r="F97" s="25">
        <f t="shared" si="4"/>
        <v>5.0554459297962817E-2</v>
      </c>
      <c r="G97" s="7">
        <f t="shared" si="5"/>
        <v>1819</v>
      </c>
      <c r="J97" s="38"/>
    </row>
    <row r="98" spans="1:10" x14ac:dyDescent="0.25">
      <c r="A98" s="42" t="s">
        <v>84</v>
      </c>
      <c r="B98" s="43">
        <v>10857</v>
      </c>
      <c r="C98" s="43">
        <v>28200</v>
      </c>
      <c r="D98" s="34">
        <v>30553</v>
      </c>
      <c r="E98" s="34">
        <v>34000</v>
      </c>
      <c r="F98" s="25">
        <f t="shared" si="4"/>
        <v>0.11282034497430694</v>
      </c>
      <c r="G98" s="7">
        <f t="shared" si="5"/>
        <v>3447</v>
      </c>
      <c r="J98" s="38"/>
    </row>
    <row r="99" spans="1:10" x14ac:dyDescent="0.25">
      <c r="A99" s="42" t="s">
        <v>96</v>
      </c>
      <c r="B99" s="56"/>
      <c r="C99" s="43">
        <v>27300</v>
      </c>
      <c r="D99" s="34">
        <v>29363</v>
      </c>
      <c r="E99" s="34">
        <v>69000</v>
      </c>
      <c r="F99" s="25">
        <f t="shared" si="4"/>
        <v>1.3498961277798589</v>
      </c>
      <c r="G99" s="7">
        <f t="shared" si="5"/>
        <v>39637</v>
      </c>
      <c r="J99" s="38"/>
    </row>
    <row r="100" spans="1:10" x14ac:dyDescent="0.25">
      <c r="A100" s="42" t="s">
        <v>76</v>
      </c>
      <c r="B100" s="43">
        <v>26062</v>
      </c>
      <c r="C100" s="43">
        <v>27000</v>
      </c>
      <c r="D100" s="34">
        <v>27156</v>
      </c>
      <c r="E100" s="34">
        <v>27600</v>
      </c>
      <c r="F100" s="25">
        <f t="shared" si="4"/>
        <v>1.6349977905435263E-2</v>
      </c>
      <c r="G100" s="7">
        <f t="shared" si="5"/>
        <v>444</v>
      </c>
      <c r="J100" s="38"/>
    </row>
    <row r="101" spans="1:10" x14ac:dyDescent="0.25">
      <c r="A101" s="42" t="s">
        <v>70</v>
      </c>
      <c r="B101" s="56"/>
      <c r="C101" s="43">
        <v>26600</v>
      </c>
      <c r="D101" s="34">
        <v>26716</v>
      </c>
      <c r="E101" s="34">
        <v>34200</v>
      </c>
      <c r="F101" s="25">
        <f t="shared" si="4"/>
        <v>0.28013175625093578</v>
      </c>
      <c r="G101" s="7">
        <f t="shared" si="5"/>
        <v>7484</v>
      </c>
      <c r="J101" s="38"/>
    </row>
    <row r="102" spans="1:10" x14ac:dyDescent="0.25">
      <c r="A102" s="42" t="s">
        <v>74</v>
      </c>
      <c r="B102" s="43">
        <v>22829</v>
      </c>
      <c r="C102" s="43">
        <v>24600</v>
      </c>
      <c r="D102" s="34">
        <v>25281</v>
      </c>
      <c r="E102" s="34">
        <v>32100</v>
      </c>
      <c r="F102" s="25">
        <f t="shared" si="4"/>
        <v>0.26972825442031567</v>
      </c>
      <c r="G102" s="7">
        <f t="shared" si="5"/>
        <v>6819</v>
      </c>
      <c r="J102" s="38"/>
    </row>
    <row r="103" spans="1:10" x14ac:dyDescent="0.25">
      <c r="A103" s="42" t="s">
        <v>77</v>
      </c>
      <c r="B103" s="43">
        <v>17225</v>
      </c>
      <c r="C103" s="43">
        <v>22800</v>
      </c>
      <c r="D103" s="34">
        <v>25126</v>
      </c>
      <c r="E103" s="34">
        <v>28100</v>
      </c>
      <c r="F103" s="25">
        <f t="shared" si="4"/>
        <v>0.11836344822096632</v>
      </c>
      <c r="G103" s="7">
        <f t="shared" si="5"/>
        <v>2974</v>
      </c>
      <c r="J103" s="38"/>
    </row>
    <row r="104" spans="1:10" x14ac:dyDescent="0.25">
      <c r="A104" s="42" t="s">
        <v>81</v>
      </c>
      <c r="B104" s="43">
        <v>9061</v>
      </c>
      <c r="C104" s="43">
        <v>21300</v>
      </c>
      <c r="D104" s="34">
        <v>23587</v>
      </c>
      <c r="E104" s="34">
        <v>51700</v>
      </c>
      <c r="F104" s="25">
        <f t="shared" si="4"/>
        <v>1.1918853605799804</v>
      </c>
      <c r="G104" s="7">
        <f t="shared" si="5"/>
        <v>28113</v>
      </c>
      <c r="J104" s="38"/>
    </row>
    <row r="105" spans="1:10" x14ac:dyDescent="0.25">
      <c r="A105" s="42" t="s">
        <v>83</v>
      </c>
      <c r="B105" s="43">
        <v>16766</v>
      </c>
      <c r="C105" s="43">
        <v>21000</v>
      </c>
      <c r="D105" s="34">
        <v>23000</v>
      </c>
      <c r="E105" s="34">
        <v>36900</v>
      </c>
      <c r="F105" s="25">
        <f t="shared" si="4"/>
        <v>0.60434782608695647</v>
      </c>
      <c r="G105" s="7">
        <f t="shared" si="5"/>
        <v>13900</v>
      </c>
      <c r="J105" s="38"/>
    </row>
    <row r="106" spans="1:10" x14ac:dyDescent="0.25">
      <c r="A106" s="42" t="s">
        <v>78</v>
      </c>
      <c r="B106" s="43">
        <v>10507</v>
      </c>
      <c r="C106" s="43">
        <v>17400</v>
      </c>
      <c r="D106" s="34">
        <v>18506</v>
      </c>
      <c r="E106" s="34">
        <v>22500</v>
      </c>
      <c r="F106" s="25">
        <f t="shared" si="4"/>
        <v>0.21582189560142656</v>
      </c>
      <c r="G106" s="7">
        <f t="shared" si="5"/>
        <v>3994</v>
      </c>
      <c r="J106" s="38"/>
    </row>
    <row r="107" spans="1:10" x14ac:dyDescent="0.25">
      <c r="A107" s="42" t="s">
        <v>71</v>
      </c>
      <c r="B107" s="43">
        <v>12135</v>
      </c>
      <c r="C107" s="43">
        <v>17100</v>
      </c>
      <c r="D107" s="34">
        <v>17898</v>
      </c>
      <c r="E107" s="34">
        <v>24200</v>
      </c>
      <c r="F107" s="25">
        <f t="shared" si="4"/>
        <v>0.35210638060118449</v>
      </c>
      <c r="G107" s="7">
        <f t="shared" si="5"/>
        <v>6302</v>
      </c>
      <c r="J107" s="38"/>
    </row>
    <row r="108" spans="1:10" x14ac:dyDescent="0.25">
      <c r="A108" s="42" t="s">
        <v>79</v>
      </c>
      <c r="B108" s="43">
        <v>10410</v>
      </c>
      <c r="C108" s="43">
        <v>16900</v>
      </c>
      <c r="D108" s="34">
        <v>17560</v>
      </c>
      <c r="E108" s="34">
        <v>22000</v>
      </c>
      <c r="F108" s="25">
        <f t="shared" si="4"/>
        <v>0.2528473804100228</v>
      </c>
      <c r="G108" s="7">
        <f t="shared" si="5"/>
        <v>4440</v>
      </c>
      <c r="J108" s="38"/>
    </row>
    <row r="109" spans="1:10" x14ac:dyDescent="0.25">
      <c r="A109" s="42" t="s">
        <v>87</v>
      </c>
      <c r="B109" s="43">
        <v>14662</v>
      </c>
      <c r="C109" s="43">
        <v>15300</v>
      </c>
      <c r="D109" s="34">
        <v>15800</v>
      </c>
      <c r="E109" s="34">
        <v>15300</v>
      </c>
      <c r="F109" s="25">
        <f t="shared" si="4"/>
        <v>-3.1645569620253167E-2</v>
      </c>
      <c r="G109" s="7">
        <f t="shared" si="5"/>
        <v>-500</v>
      </c>
      <c r="J109" s="38"/>
    </row>
    <row r="110" spans="1:10" x14ac:dyDescent="0.25">
      <c r="A110" s="42" t="s">
        <v>73</v>
      </c>
      <c r="B110" s="43">
        <v>13929</v>
      </c>
      <c r="C110" s="43">
        <v>14600</v>
      </c>
      <c r="D110" s="34">
        <v>14847</v>
      </c>
      <c r="E110" s="34">
        <v>14200</v>
      </c>
      <c r="F110" s="25">
        <f t="shared" si="4"/>
        <v>-4.357782717047215E-2</v>
      </c>
      <c r="G110" s="7">
        <f t="shared" si="5"/>
        <v>-647</v>
      </c>
      <c r="J110" s="38"/>
    </row>
    <row r="111" spans="1:10" x14ac:dyDescent="0.25">
      <c r="A111" s="42" t="s">
        <v>85</v>
      </c>
      <c r="B111" s="43">
        <v>11557</v>
      </c>
      <c r="C111" s="43">
        <v>14600</v>
      </c>
      <c r="D111" s="34">
        <v>17770</v>
      </c>
      <c r="E111" s="34">
        <v>39300</v>
      </c>
      <c r="F111" s="25">
        <f t="shared" si="4"/>
        <v>1.2115925717501408</v>
      </c>
      <c r="G111" s="7">
        <f t="shared" si="5"/>
        <v>21530</v>
      </c>
      <c r="J111" s="38"/>
    </row>
    <row r="112" spans="1:10" x14ac:dyDescent="0.25">
      <c r="A112" s="42" t="s">
        <v>86</v>
      </c>
      <c r="B112" s="43">
        <v>13389</v>
      </c>
      <c r="C112" s="43">
        <v>13900</v>
      </c>
      <c r="D112" s="34">
        <v>14134</v>
      </c>
      <c r="E112" s="34">
        <v>15800</v>
      </c>
      <c r="F112" s="25">
        <f t="shared" si="4"/>
        <v>0.11787179850007075</v>
      </c>
      <c r="G112" s="7">
        <f t="shared" si="5"/>
        <v>1666</v>
      </c>
      <c r="J112" s="38"/>
    </row>
    <row r="113" spans="1:10" x14ac:dyDescent="0.25">
      <c r="A113" s="42" t="s">
        <v>88</v>
      </c>
      <c r="B113" s="56"/>
      <c r="C113" s="43">
        <v>11600</v>
      </c>
      <c r="D113" s="34">
        <v>11664</v>
      </c>
      <c r="E113" s="34">
        <v>13400</v>
      </c>
      <c r="F113" s="25">
        <f t="shared" si="4"/>
        <v>0.14883401920438957</v>
      </c>
      <c r="G113" s="7">
        <f t="shared" si="5"/>
        <v>1736</v>
      </c>
      <c r="J113" s="44"/>
    </row>
    <row r="114" spans="1:10" x14ac:dyDescent="0.25">
      <c r="A114" s="42" t="s">
        <v>95</v>
      </c>
      <c r="B114" s="43">
        <v>8191</v>
      </c>
      <c r="C114" s="43">
        <v>9269</v>
      </c>
      <c r="D114" s="34">
        <v>9990</v>
      </c>
      <c r="E114" s="34">
        <v>12800</v>
      </c>
      <c r="F114" s="25">
        <f t="shared" si="4"/>
        <v>0.28128128128128127</v>
      </c>
      <c r="G114" s="7">
        <f t="shared" si="5"/>
        <v>2810</v>
      </c>
      <c r="J114" s="44"/>
    </row>
    <row r="115" spans="1:10" x14ac:dyDescent="0.25">
      <c r="A115" s="42" t="s">
        <v>94</v>
      </c>
      <c r="B115" s="43">
        <v>6429</v>
      </c>
      <c r="C115" s="43">
        <v>7663</v>
      </c>
      <c r="D115" s="34">
        <v>8047</v>
      </c>
      <c r="E115" s="34">
        <v>11000</v>
      </c>
      <c r="F115" s="25">
        <f t="shared" si="4"/>
        <v>0.36696905679135083</v>
      </c>
      <c r="G115" s="7">
        <f t="shared" si="5"/>
        <v>2953</v>
      </c>
      <c r="J115" s="44"/>
    </row>
    <row r="116" spans="1:10" x14ac:dyDescent="0.25">
      <c r="A116" s="42" t="s">
        <v>92</v>
      </c>
      <c r="B116" s="56"/>
      <c r="C116" s="43">
        <v>7638</v>
      </c>
      <c r="D116" s="34">
        <v>7945</v>
      </c>
      <c r="E116" s="34">
        <v>11100</v>
      </c>
      <c r="F116" s="25">
        <f t="shared" si="4"/>
        <v>0.39710509754562617</v>
      </c>
      <c r="G116" s="7">
        <f t="shared" si="5"/>
        <v>3155</v>
      </c>
      <c r="J116" s="44"/>
    </row>
    <row r="117" spans="1:10" x14ac:dyDescent="0.25">
      <c r="A117" s="42" t="s">
        <v>91</v>
      </c>
      <c r="B117" s="43">
        <v>5482</v>
      </c>
      <c r="C117" s="43">
        <v>6513</v>
      </c>
      <c r="D117" s="34">
        <v>7351</v>
      </c>
      <c r="E117" s="34">
        <v>11300</v>
      </c>
      <c r="F117" s="25">
        <f t="shared" si="4"/>
        <v>0.53720582233709702</v>
      </c>
      <c r="G117" s="7">
        <f t="shared" si="5"/>
        <v>3949</v>
      </c>
      <c r="J117" s="44"/>
    </row>
    <row r="118" spans="1:10" x14ac:dyDescent="0.25">
      <c r="A118" s="42" t="s">
        <v>90</v>
      </c>
      <c r="B118" s="43">
        <v>1685</v>
      </c>
      <c r="C118" s="43">
        <v>1747</v>
      </c>
      <c r="D118" s="34">
        <v>1773</v>
      </c>
      <c r="E118" s="34">
        <v>1967</v>
      </c>
      <c r="F118" s="25">
        <f t="shared" si="4"/>
        <v>0.10941906373378454</v>
      </c>
      <c r="G118" s="7">
        <f t="shared" si="5"/>
        <v>194</v>
      </c>
    </row>
    <row r="119" spans="1:10" x14ac:dyDescent="0.25">
      <c r="A119" s="6" t="s">
        <v>100</v>
      </c>
      <c r="B119" s="56"/>
      <c r="C119" s="56"/>
      <c r="D119" s="54"/>
      <c r="E119" s="34">
        <v>22900</v>
      </c>
      <c r="F119" s="55"/>
      <c r="G119" s="49"/>
    </row>
    <row r="120" spans="1:10" x14ac:dyDescent="0.25">
      <c r="A120" s="6" t="s">
        <v>99</v>
      </c>
      <c r="B120" s="56"/>
      <c r="C120" s="56"/>
      <c r="D120" s="54"/>
      <c r="E120" s="34">
        <v>8472</v>
      </c>
      <c r="F120" s="55"/>
      <c r="G120" s="49"/>
    </row>
    <row r="121" spans="1:10" x14ac:dyDescent="0.25">
      <c r="A121" s="6" t="s">
        <v>101</v>
      </c>
      <c r="B121" s="56"/>
      <c r="C121" s="56"/>
      <c r="D121" s="54"/>
      <c r="E121" s="34">
        <v>35200</v>
      </c>
      <c r="F121" s="55"/>
      <c r="G121" s="49"/>
    </row>
    <row r="122" spans="1:10" x14ac:dyDescent="0.25">
      <c r="A122" s="6" t="s">
        <v>102</v>
      </c>
      <c r="B122" s="56"/>
      <c r="C122" s="56"/>
      <c r="D122" s="54"/>
      <c r="E122" s="34">
        <v>75100</v>
      </c>
      <c r="F122" s="55"/>
      <c r="G122" s="49"/>
    </row>
    <row r="123" spans="1:10" x14ac:dyDescent="0.25">
      <c r="A123" s="6" t="s">
        <v>103</v>
      </c>
      <c r="B123" s="56"/>
      <c r="C123" s="56"/>
      <c r="D123" s="54"/>
      <c r="E123" s="34">
        <v>3788</v>
      </c>
      <c r="F123" s="55"/>
      <c r="G123" s="49"/>
    </row>
    <row r="124" spans="1:10" x14ac:dyDescent="0.25">
      <c r="A124" s="6" t="s">
        <v>104</v>
      </c>
      <c r="B124" s="56"/>
      <c r="C124" s="56"/>
      <c r="D124" s="54"/>
      <c r="E124" s="34">
        <v>10600</v>
      </c>
      <c r="F124" s="55"/>
      <c r="G124" s="49"/>
    </row>
    <row r="125" spans="1:10" x14ac:dyDescent="0.25">
      <c r="A125" s="6" t="s">
        <v>105</v>
      </c>
      <c r="B125" s="56"/>
      <c r="C125" s="56"/>
      <c r="D125" s="54"/>
      <c r="E125" s="34">
        <v>35400</v>
      </c>
      <c r="F125" s="55"/>
      <c r="G125" s="49"/>
    </row>
    <row r="126" spans="1:10" x14ac:dyDescent="0.25">
      <c r="F126" s="7"/>
    </row>
    <row r="127" spans="1:10" x14ac:dyDescent="0.25">
      <c r="A127" s="45" t="s">
        <v>97</v>
      </c>
      <c r="B127" s="46">
        <v>44621</v>
      </c>
      <c r="C127" s="46">
        <v>44774</v>
      </c>
      <c r="D127" s="46">
        <v>44895</v>
      </c>
      <c r="E127" s="46">
        <v>45383</v>
      </c>
      <c r="G127" s="47" t="s">
        <v>2</v>
      </c>
      <c r="H127" s="41" t="s">
        <v>3</v>
      </c>
    </row>
    <row r="128" spans="1:10" x14ac:dyDescent="0.25">
      <c r="A128" t="s">
        <v>64</v>
      </c>
      <c r="B128" s="8">
        <f>VLOOKUP(Tableau11[[#This Row],[Colonne2]],Tableau812[#All],2,0)+VLOOKUP(Tableau11[[#This Row],[Colonne2]],Tableau913[#All],2,0)+VLOOKUP(Tableau11[[#This Row],[Colonne2]],Tableau1014[#All],2,0)</f>
        <v>365729</v>
      </c>
      <c r="C128" s="8">
        <f>VLOOKUP(Tableau11[[#This Row],[Colonne2]],Tableau812[#All],3,0)+VLOOKUP(Tableau11[[#This Row],[Colonne2]],Tableau913[#All],3,0)+VLOOKUP(Tableau11[[#This Row],[Colonne2]],Tableau1014[#All],3,0)</f>
        <v>397800</v>
      </c>
      <c r="D128" s="8">
        <f>VLOOKUP(Tableau11[[#This Row],[Colonne2]],Tableau812[#All],4,0)+VLOOKUP(Tableau11[[#This Row],[Colonne2]],Tableau913[#All],4,0)+VLOOKUP(Tableau11[[#This Row],[Colonne2]],Tableau1014[#All],4,0)</f>
        <v>431029</v>
      </c>
      <c r="E128" s="8">
        <f>VLOOKUP(Tableau11[[#This Row],[Colonne2]],$A$1:$E$41,5,FALSE)+VLOOKUP(Tableau11[[#This Row],[Colonne2]],$A$43:$E$83,5,FALSE)+VLOOKUP(Tableau11[[#This Row],[Colonne2]],$A$85:$E$125,5,FALSE)</f>
        <v>429600</v>
      </c>
      <c r="G128" s="35">
        <f>(E128-D128)/D128</f>
        <v>-3.3153221708980139E-3</v>
      </c>
      <c r="H128" s="7">
        <f>E128-D128</f>
        <v>-1429</v>
      </c>
    </row>
    <row r="129" spans="1:8" x14ac:dyDescent="0.25">
      <c r="A129" t="s">
        <v>65</v>
      </c>
      <c r="B129" s="8">
        <f>VLOOKUP(Tableau11[[#This Row],[Colonne2]],Tableau812[#All],2,0)+VLOOKUP(Tableau11[[#This Row],[Colonne2]],Tableau913[#All],2,0)+VLOOKUP(Tableau11[[#This Row],[Colonne2]],Tableau1014[#All],2,0)</f>
        <v>317478</v>
      </c>
      <c r="C129" s="8">
        <f>VLOOKUP(Tableau11[[#This Row],[Colonne2]],Tableau812[#All],3,0)+VLOOKUP(Tableau11[[#This Row],[Colonne2]],Tableau913[#All],3,0)+VLOOKUP(Tableau11[[#This Row],[Colonne2]],Tableau1014[#All],3,0)</f>
        <v>317600</v>
      </c>
      <c r="D129" s="8">
        <f>VLOOKUP(Tableau11[[#This Row],[Colonne2]],Tableau812[#All],4,0)+VLOOKUP(Tableau11[[#This Row],[Colonne2]],Tableau913[#All],4,0)+VLOOKUP(Tableau11[[#This Row],[Colonne2]],Tableau1014[#All],4,0)</f>
        <v>316216</v>
      </c>
      <c r="E129" s="8">
        <f>VLOOKUP(Tableau11[[#This Row],[Colonne2]],$A$1:$E$41,5,FALSE)+VLOOKUP(Tableau11[[#This Row],[Colonne2]],$A$43:$E$83,5,FALSE)+VLOOKUP(Tableau11[[#This Row],[Colonne2]],$A$85:$E$125,5,FALSE)</f>
        <v>309100</v>
      </c>
      <c r="G129" s="35">
        <f t="shared" ref="G129:G160" si="6">(E129-D129)/D129</f>
        <v>-2.2503605130670176E-2</v>
      </c>
      <c r="H129" s="7">
        <f t="shared" ref="H129:H160" si="7">E129-D129</f>
        <v>-7116</v>
      </c>
    </row>
    <row r="130" spans="1:8" x14ac:dyDescent="0.25">
      <c r="A130" t="s">
        <v>67</v>
      </c>
      <c r="B130" s="8">
        <f>VLOOKUP(Tableau11[[#This Row],[Colonne2]],Tableau812[#All],2,0)+VLOOKUP(Tableau11[[#This Row],[Colonne2]],Tableau913[#All],2,0)+VLOOKUP(Tableau11[[#This Row],[Colonne2]],Tableau1014[#All],2,0)</f>
        <v>134090</v>
      </c>
      <c r="C130" s="8">
        <f>VLOOKUP(Tableau11[[#This Row],[Colonne2]],Tableau812[#All],3,0)+VLOOKUP(Tableau11[[#This Row],[Colonne2]],Tableau913[#All],3,0)+VLOOKUP(Tableau11[[#This Row],[Colonne2]],Tableau1014[#All],3,0)</f>
        <v>206200</v>
      </c>
      <c r="D130" s="8">
        <f>VLOOKUP(Tableau11[[#This Row],[Colonne2]],Tableau812[#All],4,0)+VLOOKUP(Tableau11[[#This Row],[Colonne2]],Tableau913[#All],4,0)+VLOOKUP(Tableau11[[#This Row],[Colonne2]],Tableau1014[#All],4,0)</f>
        <v>216171</v>
      </c>
      <c r="E130" s="8">
        <f>VLOOKUP(Tableau11[[#This Row],[Colonne2]],$A$1:$E$41,5,FALSE)+VLOOKUP(Tableau11[[#This Row],[Colonne2]],$A$43:$E$83,5,FALSE)+VLOOKUP(Tableau11[[#This Row],[Colonne2]],$A$85:$E$125,5,FALSE)</f>
        <v>221600</v>
      </c>
      <c r="G130" s="35">
        <f t="shared" si="6"/>
        <v>2.5114377044099346E-2</v>
      </c>
      <c r="H130" s="7">
        <f t="shared" si="7"/>
        <v>5429</v>
      </c>
    </row>
    <row r="131" spans="1:8" x14ac:dyDescent="0.25">
      <c r="A131" t="s">
        <v>66</v>
      </c>
      <c r="B131" s="8">
        <f>VLOOKUP(Tableau11[[#This Row],[Colonne2]],Tableau812[#All],2,0)+VLOOKUP(Tableau11[[#This Row],[Colonne2]],Tableau913[#All],2,0)+VLOOKUP(Tableau11[[#This Row],[Colonne2]],Tableau1014[#All],2,0)</f>
        <v>110486</v>
      </c>
      <c r="C131" s="8">
        <f>VLOOKUP(Tableau11[[#This Row],[Colonne2]],Tableau812[#All],3,0)+VLOOKUP(Tableau11[[#This Row],[Colonne2]],Tableau913[#All],3,0)+VLOOKUP(Tableau11[[#This Row],[Colonne2]],Tableau1014[#All],3,0)</f>
        <v>145800</v>
      </c>
      <c r="D131" s="8">
        <f>VLOOKUP(Tableau11[[#This Row],[Colonne2]],Tableau812[#All],4,0)+VLOOKUP(Tableau11[[#This Row],[Colonne2]],Tableau913[#All],4,0)+VLOOKUP(Tableau11[[#This Row],[Colonne2]],Tableau1014[#All],4,0)</f>
        <v>152269</v>
      </c>
      <c r="E131" s="8">
        <f>VLOOKUP(Tableau11[[#This Row],[Colonne2]],$A$1:$E$41,5,FALSE)+VLOOKUP(Tableau11[[#This Row],[Colonne2]],$A$43:$E$83,5,FALSE)+VLOOKUP(Tableau11[[#This Row],[Colonne2]],$A$85:$E$125,5,FALSE)</f>
        <v>232600</v>
      </c>
      <c r="G131" s="35">
        <f t="shared" si="6"/>
        <v>0.52755977907518925</v>
      </c>
      <c r="H131" s="7">
        <f t="shared" si="7"/>
        <v>80331</v>
      </c>
    </row>
    <row r="132" spans="1:8" x14ac:dyDescent="0.25">
      <c r="A132" t="s">
        <v>68</v>
      </c>
      <c r="B132" s="8">
        <f>VLOOKUP(Tableau11[[#This Row],[Colonne2]],Tableau812[#All],2,0)+VLOOKUP(Tableau11[[#This Row],[Colonne2]],Tableau913[#All],2,0)+VLOOKUP(Tableau11[[#This Row],[Colonne2]],Tableau1014[#All],2,0)</f>
        <v>0</v>
      </c>
      <c r="C132" s="8">
        <f>VLOOKUP(Tableau11[[#This Row],[Colonne2]],Tableau812[#All],3,0)+VLOOKUP(Tableau11[[#This Row],[Colonne2]],Tableau913[#All],3,0)+VLOOKUP(Tableau11[[#This Row],[Colonne2]],Tableau1014[#All],3,0)</f>
        <v>109400</v>
      </c>
      <c r="D132" s="8">
        <f>VLOOKUP(Tableau11[[#This Row],[Colonne2]],Tableau812[#All],4,0)+VLOOKUP(Tableau11[[#This Row],[Colonne2]],Tableau913[#All],4,0)+VLOOKUP(Tableau11[[#This Row],[Colonne2]],Tableau1014[#All],4,0)</f>
        <v>112597</v>
      </c>
      <c r="E132" s="8">
        <f>VLOOKUP(Tableau11[[#This Row],[Colonne2]],$A$1:$E$41,5,FALSE)+VLOOKUP(Tableau11[[#This Row],[Colonne2]],$A$43:$E$83,5,FALSE)+VLOOKUP(Tableau11[[#This Row],[Colonne2]],$A$85:$E$125,5,FALSE)</f>
        <v>130600</v>
      </c>
      <c r="G132" s="35">
        <f t="shared" si="6"/>
        <v>0.1598888069842003</v>
      </c>
      <c r="H132" s="7">
        <f t="shared" si="7"/>
        <v>18003</v>
      </c>
    </row>
    <row r="133" spans="1:8" x14ac:dyDescent="0.25">
      <c r="A133" t="s">
        <v>69</v>
      </c>
      <c r="B133" s="8">
        <f>VLOOKUP(Tableau11[[#This Row],[Colonne2]],Tableau812[#All],2,0)+VLOOKUP(Tableau11[[#This Row],[Colonne2]],Tableau913[#All],2,0)+VLOOKUP(Tableau11[[#This Row],[Colonne2]],Tableau1014[#All],2,0)</f>
        <v>79868</v>
      </c>
      <c r="C133" s="8">
        <f>VLOOKUP(Tableau11[[#This Row],[Colonne2]],Tableau812[#All],3,0)+VLOOKUP(Tableau11[[#This Row],[Colonne2]],Tableau913[#All],3,0)+VLOOKUP(Tableau11[[#This Row],[Colonne2]],Tableau1014[#All],3,0)</f>
        <v>89100</v>
      </c>
      <c r="D133" s="8">
        <f>VLOOKUP(Tableau11[[#This Row],[Colonne2]],Tableau812[#All],4,0)+VLOOKUP(Tableau11[[#This Row],[Colonne2]],Tableau913[#All],4,0)+VLOOKUP(Tableau11[[#This Row],[Colonne2]],Tableau1014[#All],4,0)</f>
        <v>91553</v>
      </c>
      <c r="E133" s="8">
        <f>VLOOKUP(Tableau11[[#This Row],[Colonne2]],$A$1:$E$41,5,FALSE)+VLOOKUP(Tableau11[[#This Row],[Colonne2]],$A$43:$E$83,5,FALSE)+VLOOKUP(Tableau11[[#This Row],[Colonne2]],$A$85:$E$125,5,FALSE)</f>
        <v>96400</v>
      </c>
      <c r="G133" s="35">
        <f t="shared" si="6"/>
        <v>5.2942011730909962E-2</v>
      </c>
      <c r="H133" s="7">
        <f t="shared" si="7"/>
        <v>4847</v>
      </c>
    </row>
    <row r="134" spans="1:8" x14ac:dyDescent="0.25">
      <c r="A134" t="s">
        <v>89</v>
      </c>
      <c r="B134" s="8">
        <f>VLOOKUP(Tableau11[[#This Row],[Colonne2]],Tableau812[#All],2,0)+VLOOKUP(Tableau11[[#This Row],[Colonne2]],Tableau913[#All],2,0)+VLOOKUP(Tableau11[[#This Row],[Colonne2]],Tableau1014[#All],2,0)</f>
        <v>55159</v>
      </c>
      <c r="C134" s="8">
        <f>VLOOKUP(Tableau11[[#This Row],[Colonne2]],Tableau812[#All],3,0)+VLOOKUP(Tableau11[[#This Row],[Colonne2]],Tableau913[#All],3,0)+VLOOKUP(Tableau11[[#This Row],[Colonne2]],Tableau1014[#All],3,0)</f>
        <v>79125</v>
      </c>
      <c r="D134" s="8">
        <f>VLOOKUP(Tableau11[[#This Row],[Colonne2]],Tableau812[#All],4,0)+VLOOKUP(Tableau11[[#This Row],[Colonne2]],Tableau913[#All],4,0)+VLOOKUP(Tableau11[[#This Row],[Colonne2]],Tableau1014[#All],4,0)</f>
        <v>88546</v>
      </c>
      <c r="E134" s="8">
        <f>VLOOKUP(Tableau11[[#This Row],[Colonne2]],$A$1:$E$41,5,FALSE)+VLOOKUP(Tableau11[[#This Row],[Colonne2]],$A$43:$E$83,5,FALSE)+VLOOKUP(Tableau11[[#This Row],[Colonne2]],$A$85:$E$125,5,FALSE)</f>
        <v>231724</v>
      </c>
      <c r="G134" s="35">
        <f t="shared" si="6"/>
        <v>1.6169900390757346</v>
      </c>
      <c r="H134" s="7">
        <f t="shared" si="7"/>
        <v>143178</v>
      </c>
    </row>
    <row r="135" spans="1:8" x14ac:dyDescent="0.25">
      <c r="A135" t="s">
        <v>80</v>
      </c>
      <c r="B135" s="8">
        <f>VLOOKUP(Tableau11[[#This Row],[Colonne2]],Tableau812[#All],2,0)+VLOOKUP(Tableau11[[#This Row],[Colonne2]],Tableau913[#All],2,0)+VLOOKUP(Tableau11[[#This Row],[Colonne2]],Tableau1014[#All],2,0)</f>
        <v>58484</v>
      </c>
      <c r="C135" s="8">
        <f>VLOOKUP(Tableau11[[#This Row],[Colonne2]],Tableau812[#All],3,0)+VLOOKUP(Tableau11[[#This Row],[Colonne2]],Tableau913[#All],3,0)+VLOOKUP(Tableau11[[#This Row],[Colonne2]],Tableau1014[#All],3,0)</f>
        <v>75333</v>
      </c>
      <c r="D135" s="8">
        <f>VLOOKUP(Tableau11[[#This Row],[Colonne2]],Tableau812[#All],4,0)+VLOOKUP(Tableau11[[#This Row],[Colonne2]],Tableau913[#All],4,0)+VLOOKUP(Tableau11[[#This Row],[Colonne2]],Tableau1014[#All],4,0)</f>
        <v>77153</v>
      </c>
      <c r="E135" s="8">
        <f>VLOOKUP(Tableau11[[#This Row],[Colonne2]],$A$1:$E$41,5,FALSE)+VLOOKUP(Tableau11[[#This Row],[Colonne2]],$A$43:$E$83,5,FALSE)+VLOOKUP(Tableau11[[#This Row],[Colonne2]],$A$85:$E$125,5,FALSE)</f>
        <v>88200</v>
      </c>
      <c r="G135" s="35">
        <f t="shared" si="6"/>
        <v>0.14318302593547885</v>
      </c>
      <c r="H135" s="7">
        <f t="shared" si="7"/>
        <v>11047</v>
      </c>
    </row>
    <row r="136" spans="1:8" x14ac:dyDescent="0.25">
      <c r="A136" t="s">
        <v>77</v>
      </c>
      <c r="B136" s="8">
        <f>VLOOKUP(Tableau11[[#This Row],[Colonne2]],Tableau812[#All],2,0)+VLOOKUP(Tableau11[[#This Row],[Colonne2]],Tableau913[#All],2,0)+VLOOKUP(Tableau11[[#This Row],[Colonne2]],Tableau1014[#All],2,0)</f>
        <v>50970</v>
      </c>
      <c r="C136" s="8">
        <f>VLOOKUP(Tableau11[[#This Row],[Colonne2]],Tableau812[#All],3,0)+VLOOKUP(Tableau11[[#This Row],[Colonne2]],Tableau913[#All],3,0)+VLOOKUP(Tableau11[[#This Row],[Colonne2]],Tableau1014[#All],3,0)</f>
        <v>63100</v>
      </c>
      <c r="D136" s="8">
        <f>VLOOKUP(Tableau11[[#This Row],[Colonne2]],Tableau812[#All],4,0)+VLOOKUP(Tableau11[[#This Row],[Colonne2]],Tableau913[#All],4,0)+VLOOKUP(Tableau11[[#This Row],[Colonne2]],Tableau1014[#All],4,0)</f>
        <v>66822</v>
      </c>
      <c r="E136" s="8">
        <f>VLOOKUP(Tableau11[[#This Row],[Colonne2]],$A$1:$E$41,5,FALSE)+VLOOKUP(Tableau11[[#This Row],[Colonne2]],$A$43:$E$83,5,FALSE)+VLOOKUP(Tableau11[[#This Row],[Colonne2]],$A$85:$E$125,5,FALSE)</f>
        <v>70800</v>
      </c>
      <c r="G136" s="35">
        <f t="shared" si="6"/>
        <v>5.9531292089431621E-2</v>
      </c>
      <c r="H136" s="7">
        <f t="shared" si="7"/>
        <v>3978</v>
      </c>
    </row>
    <row r="137" spans="1:8" x14ac:dyDescent="0.25">
      <c r="A137" t="s">
        <v>72</v>
      </c>
      <c r="B137" s="8">
        <f>VLOOKUP(Tableau11[[#This Row],[Colonne2]],Tableau812[#All],2,0)+VLOOKUP(Tableau11[[#This Row],[Colonne2]],Tableau913[#All],2,0)+VLOOKUP(Tableau11[[#This Row],[Colonne2]],Tableau1014[#All],2,0)</f>
        <v>48217</v>
      </c>
      <c r="C137" s="8">
        <f>VLOOKUP(Tableau11[[#This Row],[Colonne2]],Tableau812[#All],3,0)+VLOOKUP(Tableau11[[#This Row],[Colonne2]],Tableau913[#All],3,0)+VLOOKUP(Tableau11[[#This Row],[Colonne2]],Tableau1014[#All],3,0)</f>
        <v>59563</v>
      </c>
      <c r="D137" s="8">
        <f>VLOOKUP(Tableau11[[#This Row],[Colonne2]],Tableau812[#All],4,0)+VLOOKUP(Tableau11[[#This Row],[Colonne2]],Tableau913[#All],4,0)+VLOOKUP(Tableau11[[#This Row],[Colonne2]],Tableau1014[#All],4,0)</f>
        <v>63504</v>
      </c>
      <c r="E137" s="8">
        <f>VLOOKUP(Tableau11[[#This Row],[Colonne2]],$A$1:$E$41,5,FALSE)+VLOOKUP(Tableau11[[#This Row],[Colonne2]],$A$43:$E$83,5,FALSE)+VLOOKUP(Tableau11[[#This Row],[Colonne2]],$A$85:$E$125,5,FALSE)</f>
        <v>66194</v>
      </c>
      <c r="G137" s="35">
        <f t="shared" si="6"/>
        <v>4.2359536407155451E-2</v>
      </c>
      <c r="H137" s="7">
        <f t="shared" si="7"/>
        <v>2690</v>
      </c>
    </row>
    <row r="138" spans="1:8" x14ac:dyDescent="0.25">
      <c r="A138" t="s">
        <v>93</v>
      </c>
      <c r="B138" s="8">
        <f>VLOOKUP(Tableau11[[#This Row],[Colonne2]],Tableau812[#All],2,0)+VLOOKUP(Tableau11[[#This Row],[Colonne2]],Tableau913[#All],2,0)+VLOOKUP(Tableau11[[#This Row],[Colonne2]],Tableau1014[#All],2,0)</f>
        <v>41592</v>
      </c>
      <c r="C138" s="8">
        <f>VLOOKUP(Tableau11[[#This Row],[Colonne2]],Tableau812[#All],3,0)+VLOOKUP(Tableau11[[#This Row],[Colonne2]],Tableau913[#All],3,0)+VLOOKUP(Tableau11[[#This Row],[Colonne2]],Tableau1014[#All],3,0)</f>
        <v>54649</v>
      </c>
      <c r="D138" s="8">
        <f>VLOOKUP(Tableau11[[#This Row],[Colonne2]],Tableau812[#All],4,0)+VLOOKUP(Tableau11[[#This Row],[Colonne2]],Tableau913[#All],4,0)+VLOOKUP(Tableau11[[#This Row],[Colonne2]],Tableau1014[#All],4,0)</f>
        <v>58274</v>
      </c>
      <c r="E138" s="8">
        <f>VLOOKUP(Tableau11[[#This Row],[Colonne2]],$A$1:$E$41,5,FALSE)+VLOOKUP(Tableau11[[#This Row],[Colonne2]],$A$43:$E$83,5,FALSE)+VLOOKUP(Tableau11[[#This Row],[Colonne2]],$A$85:$E$125,5,FALSE)</f>
        <v>70845</v>
      </c>
      <c r="G138" s="35">
        <f t="shared" si="6"/>
        <v>0.2157222775165597</v>
      </c>
      <c r="H138" s="7">
        <f t="shared" si="7"/>
        <v>12571</v>
      </c>
    </row>
    <row r="139" spans="1:8" x14ac:dyDescent="0.25">
      <c r="A139" t="s">
        <v>75</v>
      </c>
      <c r="B139" s="8">
        <f>VLOOKUP(Tableau11[[#This Row],[Colonne2]],Tableau812[#All],2,0)+VLOOKUP(Tableau11[[#This Row],[Colonne2]],Tableau913[#All],2,0)+VLOOKUP(Tableau11[[#This Row],[Colonne2]],Tableau1014[#All],2,0)</f>
        <v>43785</v>
      </c>
      <c r="C139" s="8">
        <f>VLOOKUP(Tableau11[[#This Row],[Colonne2]],Tableau812[#All],3,0)+VLOOKUP(Tableau11[[#This Row],[Colonne2]],Tableau913[#All],3,0)+VLOOKUP(Tableau11[[#This Row],[Colonne2]],Tableau1014[#All],3,0)</f>
        <v>54305</v>
      </c>
      <c r="D139" s="8">
        <f>VLOOKUP(Tableau11[[#This Row],[Colonne2]],Tableau812[#All],4,0)+VLOOKUP(Tableau11[[#This Row],[Colonne2]],Tableau913[#All],4,0)+VLOOKUP(Tableau11[[#This Row],[Colonne2]],Tableau1014[#All],4,0)</f>
        <v>62694</v>
      </c>
      <c r="E139" s="8">
        <f>VLOOKUP(Tableau11[[#This Row],[Colonne2]],$A$1:$E$41,5,FALSE)+VLOOKUP(Tableau11[[#This Row],[Colonne2]],$A$43:$E$83,5,FALSE)+VLOOKUP(Tableau11[[#This Row],[Colonne2]],$A$85:$E$125,5,FALSE)</f>
        <v>74114</v>
      </c>
      <c r="G139" s="35">
        <f t="shared" si="6"/>
        <v>0.18215459214597887</v>
      </c>
      <c r="H139" s="7">
        <f t="shared" si="7"/>
        <v>11420</v>
      </c>
    </row>
    <row r="140" spans="1:8" x14ac:dyDescent="0.25">
      <c r="A140" t="s">
        <v>82</v>
      </c>
      <c r="B140" s="8">
        <f>VLOOKUP(Tableau11[[#This Row],[Colonne2]],Tableau812[#All],2,0)+VLOOKUP(Tableau11[[#This Row],[Colonne2]],Tableau913[#All],2,0)+VLOOKUP(Tableau11[[#This Row],[Colonne2]],Tableau1014[#All],2,0)</f>
        <v>38401</v>
      </c>
      <c r="C140" s="8">
        <f>VLOOKUP(Tableau11[[#This Row],[Colonne2]],Tableau812[#All],3,0)+VLOOKUP(Tableau11[[#This Row],[Colonne2]],Tableau913[#All],3,0)+VLOOKUP(Tableau11[[#This Row],[Colonne2]],Tableau1014[#All],3,0)</f>
        <v>53697</v>
      </c>
      <c r="D140" s="8">
        <f>VLOOKUP(Tableau11[[#This Row],[Colonne2]],Tableau812[#All],4,0)+VLOOKUP(Tableau11[[#This Row],[Colonne2]],Tableau913[#All],4,0)+VLOOKUP(Tableau11[[#This Row],[Colonne2]],Tableau1014[#All],4,0)</f>
        <v>63222</v>
      </c>
      <c r="E140" s="8">
        <f>VLOOKUP(Tableau11[[#This Row],[Colonne2]],$A$1:$E$41,5,FALSE)+VLOOKUP(Tableau11[[#This Row],[Colonne2]],$A$43:$E$83,5,FALSE)+VLOOKUP(Tableau11[[#This Row],[Colonne2]],$A$85:$E$125,5,FALSE)</f>
        <v>227100</v>
      </c>
      <c r="G140" s="35">
        <f t="shared" si="6"/>
        <v>2.5921040144253582</v>
      </c>
      <c r="H140" s="7">
        <f t="shared" si="7"/>
        <v>163878</v>
      </c>
    </row>
    <row r="141" spans="1:8" x14ac:dyDescent="0.25">
      <c r="A141" t="s">
        <v>74</v>
      </c>
      <c r="B141" s="8">
        <f>VLOOKUP(Tableau11[[#This Row],[Colonne2]],Tableau812[#All],2,0)+VLOOKUP(Tableau11[[#This Row],[Colonne2]],Tableau913[#All],2,0)+VLOOKUP(Tableau11[[#This Row],[Colonne2]],Tableau1014[#All],2,0)</f>
        <v>47998</v>
      </c>
      <c r="C141" s="8">
        <f>VLOOKUP(Tableau11[[#This Row],[Colonne2]],Tableau812[#All],3,0)+VLOOKUP(Tableau11[[#This Row],[Colonne2]],Tableau913[#All],3,0)+VLOOKUP(Tableau11[[#This Row],[Colonne2]],Tableau1014[#All],3,0)</f>
        <v>51200</v>
      </c>
      <c r="D141" s="8">
        <f>VLOOKUP(Tableau11[[#This Row],[Colonne2]],Tableau812[#All],4,0)+VLOOKUP(Tableau11[[#This Row],[Colonne2]],Tableau913[#All],4,0)+VLOOKUP(Tableau11[[#This Row],[Colonne2]],Tableau1014[#All],4,0)</f>
        <v>52907</v>
      </c>
      <c r="E141" s="8">
        <f>VLOOKUP(Tableau11[[#This Row],[Colonne2]],$A$1:$E$41,5,FALSE)+VLOOKUP(Tableau11[[#This Row],[Colonne2]],$A$43:$E$83,5,FALSE)+VLOOKUP(Tableau11[[#This Row],[Colonne2]],$A$85:$E$125,5,FALSE)</f>
        <v>64600</v>
      </c>
      <c r="G141" s="35">
        <f t="shared" si="6"/>
        <v>0.22101045230309788</v>
      </c>
      <c r="H141" s="7">
        <f t="shared" si="7"/>
        <v>11693</v>
      </c>
    </row>
    <row r="142" spans="1:8" x14ac:dyDescent="0.25">
      <c r="A142" t="s">
        <v>70</v>
      </c>
      <c r="B142" s="8">
        <f>VLOOKUP(Tableau11[[#This Row],[Colonne2]],Tableau812[#All],2,0)+VLOOKUP(Tableau11[[#This Row],[Colonne2]],Tableau913[#All],2,0)+VLOOKUP(Tableau11[[#This Row],[Colonne2]],Tableau1014[#All],2,0)</f>
        <v>0</v>
      </c>
      <c r="C142" s="8">
        <f>VLOOKUP(Tableau11[[#This Row],[Colonne2]],Tableau812[#All],3,0)+VLOOKUP(Tableau11[[#This Row],[Colonne2]],Tableau913[#All],3,0)+VLOOKUP(Tableau11[[#This Row],[Colonne2]],Tableau1014[#All],3,0)</f>
        <v>51063</v>
      </c>
      <c r="D142" s="8">
        <f>VLOOKUP(Tableau11[[#This Row],[Colonne2]],Tableau812[#All],4,0)+VLOOKUP(Tableau11[[#This Row],[Colonne2]],Tableau913[#All],4,0)+VLOOKUP(Tableau11[[#This Row],[Colonne2]],Tableau1014[#All],4,0)</f>
        <v>51217</v>
      </c>
      <c r="E142" s="8">
        <f>VLOOKUP(Tableau11[[#This Row],[Colonne2]],$A$1:$E$41,5,FALSE)+VLOOKUP(Tableau11[[#This Row],[Colonne2]],$A$43:$E$83,5,FALSE)+VLOOKUP(Tableau11[[#This Row],[Colonne2]],$A$85:$E$125,5,FALSE)</f>
        <v>63867</v>
      </c>
      <c r="G142" s="35">
        <f t="shared" si="6"/>
        <v>0.24698830466446689</v>
      </c>
      <c r="H142" s="7">
        <f t="shared" si="7"/>
        <v>12650</v>
      </c>
    </row>
    <row r="143" spans="1:8" x14ac:dyDescent="0.25">
      <c r="A143" t="s">
        <v>76</v>
      </c>
      <c r="B143" s="8">
        <f>VLOOKUP(Tableau11[[#This Row],[Colonne2]],Tableau812[#All],2,0)+VLOOKUP(Tableau11[[#This Row],[Colonne2]],Tableau913[#All],2,0)+VLOOKUP(Tableau11[[#This Row],[Colonne2]],Tableau1014[#All],2,0)</f>
        <v>39935</v>
      </c>
      <c r="C143" s="8">
        <f>VLOOKUP(Tableau11[[#This Row],[Colonne2]],Tableau812[#All],3,0)+VLOOKUP(Tableau11[[#This Row],[Colonne2]],Tableau913[#All],3,0)+VLOOKUP(Tableau11[[#This Row],[Colonne2]],Tableau1014[#All],3,0)</f>
        <v>41404</v>
      </c>
      <c r="D143" s="8">
        <f>VLOOKUP(Tableau11[[#This Row],[Colonne2]],Tableau812[#All],4,0)+VLOOKUP(Tableau11[[#This Row],[Colonne2]],Tableau913[#All],4,0)+VLOOKUP(Tableau11[[#This Row],[Colonne2]],Tableau1014[#All],4,0)</f>
        <v>41769</v>
      </c>
      <c r="E143" s="8">
        <f>VLOOKUP(Tableau11[[#This Row],[Colonne2]],$A$1:$E$41,5,FALSE)+VLOOKUP(Tableau11[[#This Row],[Colonne2]],$A$43:$E$83,5,FALSE)+VLOOKUP(Tableau11[[#This Row],[Colonne2]],$A$85:$E$125,5,FALSE)</f>
        <v>43099</v>
      </c>
      <c r="G143" s="35">
        <f t="shared" si="6"/>
        <v>3.1841796547678901E-2</v>
      </c>
      <c r="H143" s="7">
        <f t="shared" si="7"/>
        <v>1330</v>
      </c>
    </row>
    <row r="144" spans="1:8" x14ac:dyDescent="0.25">
      <c r="A144" t="s">
        <v>71</v>
      </c>
      <c r="B144" s="8">
        <f>VLOOKUP(Tableau11[[#This Row],[Colonne2]],Tableau812[#All],2,0)+VLOOKUP(Tableau11[[#This Row],[Colonne2]],Tableau913[#All],2,0)+VLOOKUP(Tableau11[[#This Row],[Colonne2]],Tableau1014[#All],2,0)</f>
        <v>25630</v>
      </c>
      <c r="C144" s="8">
        <f>VLOOKUP(Tableau11[[#This Row],[Colonne2]],Tableau812[#All],3,0)+VLOOKUP(Tableau11[[#This Row],[Colonne2]],Tableau913[#All],3,0)+VLOOKUP(Tableau11[[#This Row],[Colonne2]],Tableau1014[#All],3,0)</f>
        <v>37649</v>
      </c>
      <c r="D144" s="8">
        <f>VLOOKUP(Tableau11[[#This Row],[Colonne2]],Tableau812[#All],4,0)+VLOOKUP(Tableau11[[#This Row],[Colonne2]],Tableau913[#All],4,0)+VLOOKUP(Tableau11[[#This Row],[Colonne2]],Tableau1014[#All],4,0)</f>
        <v>44639</v>
      </c>
      <c r="E144" s="8">
        <f>VLOOKUP(Tableau11[[#This Row],[Colonne2]],$A$1:$E$41,5,FALSE)+VLOOKUP(Tableau11[[#This Row],[Colonne2]],$A$43:$E$83,5,FALSE)+VLOOKUP(Tableau11[[#This Row],[Colonne2]],$A$85:$E$125,5,FALSE)</f>
        <v>55518</v>
      </c>
      <c r="G144" s="35">
        <f t="shared" si="6"/>
        <v>0.2437106566007303</v>
      </c>
      <c r="H144" s="7">
        <f t="shared" si="7"/>
        <v>10879</v>
      </c>
    </row>
    <row r="145" spans="1:8" x14ac:dyDescent="0.25">
      <c r="A145" t="s">
        <v>84</v>
      </c>
      <c r="B145" s="8">
        <f>VLOOKUP(Tableau11[[#This Row],[Colonne2]],Tableau812[#All],2,0)+VLOOKUP(Tableau11[[#This Row],[Colonne2]],Tableau913[#All],2,0)+VLOOKUP(Tableau11[[#This Row],[Colonne2]],Tableau1014[#All],2,0)</f>
        <v>13347</v>
      </c>
      <c r="C145" s="8">
        <f>VLOOKUP(Tableau11[[#This Row],[Colonne2]],Tableau812[#All],3,0)+VLOOKUP(Tableau11[[#This Row],[Colonne2]],Tableau913[#All],3,0)+VLOOKUP(Tableau11[[#This Row],[Colonne2]],Tableau1014[#All],3,0)</f>
        <v>33236</v>
      </c>
      <c r="D145" s="8">
        <f>VLOOKUP(Tableau11[[#This Row],[Colonne2]],Tableau812[#All],4,0)+VLOOKUP(Tableau11[[#This Row],[Colonne2]],Tableau913[#All],4,0)+VLOOKUP(Tableau11[[#This Row],[Colonne2]],Tableau1014[#All],4,0)</f>
        <v>37294</v>
      </c>
      <c r="E145" s="8">
        <f>VLOOKUP(Tableau11[[#This Row],[Colonne2]],$A$1:$E$41,5,FALSE)+VLOOKUP(Tableau11[[#This Row],[Colonne2]],$A$43:$E$83,5,FALSE)+VLOOKUP(Tableau11[[#This Row],[Colonne2]],$A$85:$E$125,5,FALSE)</f>
        <v>44231</v>
      </c>
      <c r="G145" s="35">
        <f t="shared" si="6"/>
        <v>0.18600847321284925</v>
      </c>
      <c r="H145" s="7">
        <f t="shared" si="7"/>
        <v>6937</v>
      </c>
    </row>
    <row r="146" spans="1:8" x14ac:dyDescent="0.25">
      <c r="A146" t="s">
        <v>73</v>
      </c>
      <c r="B146" s="8">
        <f>VLOOKUP(Tableau11[[#This Row],[Colonne2]],Tableau812[#All],2,0)+VLOOKUP(Tableau11[[#This Row],[Colonne2]],Tableau913[#All],2,0)+VLOOKUP(Tableau11[[#This Row],[Colonne2]],Tableau1014[#All],2,0)</f>
        <v>31571</v>
      </c>
      <c r="C146" s="8">
        <f>VLOOKUP(Tableau11[[#This Row],[Colonne2]],Tableau812[#All],3,0)+VLOOKUP(Tableau11[[#This Row],[Colonne2]],Tableau913[#All],3,0)+VLOOKUP(Tableau11[[#This Row],[Colonne2]],Tableau1014[#All],3,0)</f>
        <v>32470</v>
      </c>
      <c r="D146" s="8">
        <f>VLOOKUP(Tableau11[[#This Row],[Colonne2]],Tableau812[#All],4,0)+VLOOKUP(Tableau11[[#This Row],[Colonne2]],Tableau913[#All],4,0)+VLOOKUP(Tableau11[[#This Row],[Colonne2]],Tableau1014[#All],4,0)</f>
        <v>32672</v>
      </c>
      <c r="E146" s="8">
        <f>VLOOKUP(Tableau11[[#This Row],[Colonne2]],$A$1:$E$41,5,FALSE)+VLOOKUP(Tableau11[[#This Row],[Colonne2]],$A$43:$E$83,5,FALSE)+VLOOKUP(Tableau11[[#This Row],[Colonne2]],$A$85:$E$125,5,FALSE)</f>
        <v>31745</v>
      </c>
      <c r="G146" s="35">
        <f t="shared" si="6"/>
        <v>-2.8372918707149853E-2</v>
      </c>
      <c r="H146" s="7">
        <f t="shared" si="7"/>
        <v>-927</v>
      </c>
    </row>
    <row r="147" spans="1:8" x14ac:dyDescent="0.25">
      <c r="A147" t="s">
        <v>96</v>
      </c>
      <c r="B147" s="12">
        <f>VLOOKUP(Tableau11[[#This Row],[Colonne2]],Tableau812[#All],2,0)+VLOOKUP(Tableau11[[#This Row],[Colonne2]],Tableau913[#All],2,0)+VLOOKUP(Tableau11[[#This Row],[Colonne2]],Tableau1014[#All],2,0)</f>
        <v>0</v>
      </c>
      <c r="C147" s="8">
        <f>VLOOKUP(Tableau11[[#This Row],[Colonne2]],Tableau812[#All],3,0)+VLOOKUP(Tableau11[[#This Row],[Colonne2]],Tableau913[#All],3,0)+VLOOKUP(Tableau11[[#This Row],[Colonne2]],Tableau1014[#All],3,0)</f>
        <v>28492</v>
      </c>
      <c r="D147" s="8">
        <f>VLOOKUP(Tableau11[[#This Row],[Colonne2]],Tableau812[#All],4,0)+VLOOKUP(Tableau11[[#This Row],[Colonne2]],Tableau913[#All],4,0)+VLOOKUP(Tableau11[[#This Row],[Colonne2]],Tableau1014[#All],4,0)</f>
        <v>30781</v>
      </c>
      <c r="E147" s="8">
        <f>VLOOKUP(Tableau11[[#This Row],[Colonne2]],$A$1:$E$41,5,FALSE)+VLOOKUP(Tableau11[[#This Row],[Colonne2]],$A$43:$E$83,5,FALSE)+VLOOKUP(Tableau11[[#This Row],[Colonne2]],$A$85:$E$125,5,FALSE)</f>
        <v>72048</v>
      </c>
      <c r="G147" s="35">
        <f t="shared" si="6"/>
        <v>1.3406646957538741</v>
      </c>
      <c r="H147" s="7">
        <f t="shared" si="7"/>
        <v>41267</v>
      </c>
    </row>
    <row r="148" spans="1:8" x14ac:dyDescent="0.25">
      <c r="A148" t="s">
        <v>83</v>
      </c>
      <c r="B148" s="8">
        <f>VLOOKUP(Tableau11[[#This Row],[Colonne2]],Tableau812[#All],2,0)+VLOOKUP(Tableau11[[#This Row],[Colonne2]],Tableau913[#All],2,0)+VLOOKUP(Tableau11[[#This Row],[Colonne2]],Tableau1014[#All],2,0)</f>
        <v>22149</v>
      </c>
      <c r="C148" s="8">
        <f>VLOOKUP(Tableau11[[#This Row],[Colonne2]],Tableau812[#All],3,0)+VLOOKUP(Tableau11[[#This Row],[Colonne2]],Tableau913[#All],3,0)+VLOOKUP(Tableau11[[#This Row],[Colonne2]],Tableau1014[#All],3,0)</f>
        <v>28104</v>
      </c>
      <c r="D148" s="8">
        <f>VLOOKUP(Tableau11[[#This Row],[Colonne2]],Tableau812[#All],4,0)+VLOOKUP(Tableau11[[#This Row],[Colonne2]],Tableau913[#All],4,0)+VLOOKUP(Tableau11[[#This Row],[Colonne2]],Tableau1014[#All],4,0)</f>
        <v>30287</v>
      </c>
      <c r="E148" s="8">
        <f>VLOOKUP(Tableau11[[#This Row],[Colonne2]],$A$1:$E$41,5,FALSE)+VLOOKUP(Tableau11[[#This Row],[Colonne2]],$A$43:$E$83,5,FALSE)+VLOOKUP(Tableau11[[#This Row],[Colonne2]],$A$85:$E$125,5,FALSE)</f>
        <v>45440</v>
      </c>
      <c r="G148" s="35">
        <f t="shared" si="6"/>
        <v>0.50031366592927662</v>
      </c>
      <c r="H148" s="7">
        <f t="shared" si="7"/>
        <v>15153</v>
      </c>
    </row>
    <row r="149" spans="1:8" x14ac:dyDescent="0.25">
      <c r="A149" t="s">
        <v>81</v>
      </c>
      <c r="B149" s="8">
        <f>VLOOKUP(Tableau11[[#This Row],[Colonne2]],Tableau812[#All],2,0)+VLOOKUP(Tableau11[[#This Row],[Colonne2]],Tableau913[#All],2,0)+VLOOKUP(Tableau11[[#This Row],[Colonne2]],Tableau1014[#All],2,0)</f>
        <v>12786</v>
      </c>
      <c r="C149" s="8">
        <f>VLOOKUP(Tableau11[[#This Row],[Colonne2]],Tableau812[#All],3,0)+VLOOKUP(Tableau11[[#This Row],[Colonne2]],Tableau913[#All],3,0)+VLOOKUP(Tableau11[[#This Row],[Colonne2]],Tableau1014[#All],3,0)</f>
        <v>28002</v>
      </c>
      <c r="D149" s="8">
        <f>VLOOKUP(Tableau11[[#This Row],[Colonne2]],Tableau812[#All],4,0)+VLOOKUP(Tableau11[[#This Row],[Colonne2]],Tableau913[#All],4,0)+VLOOKUP(Tableau11[[#This Row],[Colonne2]],Tableau1014[#All],4,0)</f>
        <v>31290</v>
      </c>
      <c r="E149" s="8">
        <f>VLOOKUP(Tableau11[[#This Row],[Colonne2]],$A$1:$E$41,5,FALSE)+VLOOKUP(Tableau11[[#This Row],[Colonne2]],$A$43:$E$83,5,FALSE)+VLOOKUP(Tableau11[[#This Row],[Colonne2]],$A$85:$E$125,5,FALSE)</f>
        <v>64324</v>
      </c>
      <c r="G149" s="35">
        <f t="shared" si="6"/>
        <v>1.055736657078939</v>
      </c>
      <c r="H149" s="7">
        <f t="shared" si="7"/>
        <v>33034</v>
      </c>
    </row>
    <row r="150" spans="1:8" x14ac:dyDescent="0.25">
      <c r="A150" t="s">
        <v>78</v>
      </c>
      <c r="B150" s="8">
        <f>VLOOKUP(Tableau11[[#This Row],[Colonne2]],Tableau812[#All],2,0)+VLOOKUP(Tableau11[[#This Row],[Colonne2]],Tableau913[#All],2,0)+VLOOKUP(Tableau11[[#This Row],[Colonne2]],Tableau1014[#All],2,0)</f>
        <v>15550</v>
      </c>
      <c r="C150" s="8">
        <f>VLOOKUP(Tableau11[[#This Row],[Colonne2]],Tableau812[#All],3,0)+VLOOKUP(Tableau11[[#This Row],[Colonne2]],Tableau913[#All],3,0)+VLOOKUP(Tableau11[[#This Row],[Colonne2]],Tableau1014[#All],3,0)</f>
        <v>26076</v>
      </c>
      <c r="D150" s="8">
        <f>VLOOKUP(Tableau11[[#This Row],[Colonne2]],Tableau812[#All],4,0)+VLOOKUP(Tableau11[[#This Row],[Colonne2]],Tableau913[#All],4,0)+VLOOKUP(Tableau11[[#This Row],[Colonne2]],Tableau1014[#All],4,0)</f>
        <v>28600</v>
      </c>
      <c r="E150" s="8">
        <f>VLOOKUP(Tableau11[[#This Row],[Colonne2]],$A$1:$E$41,5,FALSE)+VLOOKUP(Tableau11[[#This Row],[Colonne2]],$A$43:$E$83,5,FALSE)+VLOOKUP(Tableau11[[#This Row],[Colonne2]],$A$85:$E$125,5,FALSE)</f>
        <v>37753</v>
      </c>
      <c r="G150" s="35">
        <f t="shared" si="6"/>
        <v>0.32003496503496504</v>
      </c>
      <c r="H150" s="7">
        <f t="shared" si="7"/>
        <v>9153</v>
      </c>
    </row>
    <row r="151" spans="1:8" x14ac:dyDescent="0.25">
      <c r="A151" t="s">
        <v>79</v>
      </c>
      <c r="B151" s="8">
        <f>VLOOKUP(Tableau11[[#This Row],[Colonne2]],Tableau812[#All],2,0)+VLOOKUP(Tableau11[[#This Row],[Colonne2]],Tableau913[#All],2,0)+VLOOKUP(Tableau11[[#This Row],[Colonne2]],Tableau1014[#All],2,0)</f>
        <v>16621</v>
      </c>
      <c r="C151" s="8">
        <f>VLOOKUP(Tableau11[[#This Row],[Colonne2]],Tableau812[#All],3,0)+VLOOKUP(Tableau11[[#This Row],[Colonne2]],Tableau913[#All],3,0)+VLOOKUP(Tableau11[[#This Row],[Colonne2]],Tableau1014[#All],3,0)</f>
        <v>25396</v>
      </c>
      <c r="D151" s="8">
        <f>VLOOKUP(Tableau11[[#This Row],[Colonne2]],Tableau812[#All],4,0)+VLOOKUP(Tableau11[[#This Row],[Colonne2]],Tableau913[#All],4,0)+VLOOKUP(Tableau11[[#This Row],[Colonne2]],Tableau1014[#All],4,0)</f>
        <v>26486</v>
      </c>
      <c r="E151" s="8">
        <f>VLOOKUP(Tableau11[[#This Row],[Colonne2]],$A$1:$E$41,5,FALSE)+VLOOKUP(Tableau11[[#This Row],[Colonne2]],$A$43:$E$83,5,FALSE)+VLOOKUP(Tableau11[[#This Row],[Colonne2]],$A$85:$E$125,5,FALSE)</f>
        <v>31889</v>
      </c>
      <c r="G151" s="35">
        <f t="shared" si="6"/>
        <v>0.2039945631654459</v>
      </c>
      <c r="H151" s="7">
        <f t="shared" si="7"/>
        <v>5403</v>
      </c>
    </row>
    <row r="152" spans="1:8" x14ac:dyDescent="0.25">
      <c r="A152" t="s">
        <v>86</v>
      </c>
      <c r="B152" s="8">
        <f>VLOOKUP(Tableau11[[#This Row],[Colonne2]],Tableau812[#All],2,0)+VLOOKUP(Tableau11[[#This Row],[Colonne2]],Tableau913[#All],2,0)+VLOOKUP(Tableau11[[#This Row],[Colonne2]],Tableau1014[#All],2,0)</f>
        <v>23382</v>
      </c>
      <c r="C152" s="8">
        <f>VLOOKUP(Tableau11[[#This Row],[Colonne2]],Tableau812[#All],3,0)+VLOOKUP(Tableau11[[#This Row],[Colonne2]],Tableau913[#All],3,0)+VLOOKUP(Tableau11[[#This Row],[Colonne2]],Tableau1014[#All],3,0)</f>
        <v>24590</v>
      </c>
      <c r="D152" s="8">
        <f>VLOOKUP(Tableau11[[#This Row],[Colonne2]],Tableau812[#All],4,0)+VLOOKUP(Tableau11[[#This Row],[Colonne2]],Tableau913[#All],4,0)+VLOOKUP(Tableau11[[#This Row],[Colonne2]],Tableau1014[#All],4,0)</f>
        <v>25223</v>
      </c>
      <c r="E152" s="8">
        <f>VLOOKUP(Tableau11[[#This Row],[Colonne2]],$A$1:$E$41,5,FALSE)+VLOOKUP(Tableau11[[#This Row],[Colonne2]],$A$43:$E$83,5,FALSE)+VLOOKUP(Tableau11[[#This Row],[Colonne2]],$A$85:$E$125,5,FALSE)</f>
        <v>27266</v>
      </c>
      <c r="G152" s="35">
        <f t="shared" si="6"/>
        <v>8.0997502279665387E-2</v>
      </c>
      <c r="H152" s="7">
        <f t="shared" si="7"/>
        <v>2043</v>
      </c>
    </row>
    <row r="153" spans="1:8" x14ac:dyDescent="0.25">
      <c r="A153" t="s">
        <v>87</v>
      </c>
      <c r="B153" s="8">
        <f>VLOOKUP(Tableau11[[#This Row],[Colonne2]],Tableau812[#All],2,0)+VLOOKUP(Tableau11[[#This Row],[Colonne2]],Tableau913[#All],2,0)+VLOOKUP(Tableau11[[#This Row],[Colonne2]],Tableau1014[#All],2,0)</f>
        <v>21406</v>
      </c>
      <c r="C153" s="8">
        <f>VLOOKUP(Tableau11[[#This Row],[Colonne2]],Tableau812[#All],3,0)+VLOOKUP(Tableau11[[#This Row],[Colonne2]],Tableau913[#All],3,0)+VLOOKUP(Tableau11[[#This Row],[Colonne2]],Tableau1014[#All],3,0)</f>
        <v>22690</v>
      </c>
      <c r="D153" s="8">
        <f>VLOOKUP(Tableau11[[#This Row],[Colonne2]],Tableau812[#All],4,0)+VLOOKUP(Tableau11[[#This Row],[Colonne2]],Tableau913[#All],4,0)+VLOOKUP(Tableau11[[#This Row],[Colonne2]],Tableau1014[#All],4,0)</f>
        <v>23442</v>
      </c>
      <c r="E153" s="8">
        <f>VLOOKUP(Tableau11[[#This Row],[Colonne2]],$A$1:$E$41,5,FALSE)+VLOOKUP(Tableau11[[#This Row],[Colonne2]],$A$43:$E$83,5,FALSE)+VLOOKUP(Tableau11[[#This Row],[Colonne2]],$A$85:$E$125,5,FALSE)</f>
        <v>24016</v>
      </c>
      <c r="G153" s="35">
        <f t="shared" si="6"/>
        <v>2.4485965361317294E-2</v>
      </c>
      <c r="H153" s="7">
        <f t="shared" si="7"/>
        <v>574</v>
      </c>
    </row>
    <row r="154" spans="1:8" x14ac:dyDescent="0.25">
      <c r="A154" t="s">
        <v>85</v>
      </c>
      <c r="B154" s="8">
        <f>VLOOKUP(Tableau11[[#This Row],[Colonne2]],Tableau812[#All],2,0)+VLOOKUP(Tableau11[[#This Row],[Colonne2]],Tableau913[#All],2,0)+VLOOKUP(Tableau11[[#This Row],[Colonne2]],Tableau1014[#All],2,0)</f>
        <v>13403</v>
      </c>
      <c r="C154" s="8">
        <f>VLOOKUP(Tableau11[[#This Row],[Colonne2]],Tableau812[#All],3,0)+VLOOKUP(Tableau11[[#This Row],[Colonne2]],Tableau913[#All],3,0)+VLOOKUP(Tableau11[[#This Row],[Colonne2]],Tableau1014[#All],3,0)</f>
        <v>16638</v>
      </c>
      <c r="D154" s="8">
        <f>VLOOKUP(Tableau11[[#This Row],[Colonne2]],Tableau812[#All],4,0)+VLOOKUP(Tableau11[[#This Row],[Colonne2]],Tableau913[#All],4,0)+VLOOKUP(Tableau11[[#This Row],[Colonne2]],Tableau1014[#All],4,0)</f>
        <v>19870</v>
      </c>
      <c r="E154" s="8">
        <f>VLOOKUP(Tableau11[[#This Row],[Colonne2]],$A$1:$E$41,5,FALSE)+VLOOKUP(Tableau11[[#This Row],[Colonne2]],$A$43:$E$83,5,FALSE)+VLOOKUP(Tableau11[[#This Row],[Colonne2]],$A$85:$E$125,5,FALSE)</f>
        <v>42100</v>
      </c>
      <c r="G154" s="35">
        <f t="shared" si="6"/>
        <v>1.1187720181177654</v>
      </c>
      <c r="H154" s="7">
        <f t="shared" si="7"/>
        <v>22230</v>
      </c>
    </row>
    <row r="155" spans="1:8" x14ac:dyDescent="0.25">
      <c r="A155" t="s">
        <v>88</v>
      </c>
      <c r="B155" s="12">
        <f>VLOOKUP(Tableau11[[#This Row],[Colonne2]],Tableau812[#All],2,0)+VLOOKUP(Tableau11[[#This Row],[Colonne2]],Tableau913[#All],2,0)+VLOOKUP(Tableau11[[#This Row],[Colonne2]],Tableau1014[#All],2,0)</f>
        <v>0</v>
      </c>
      <c r="C155" s="8">
        <f>VLOOKUP(Tableau11[[#This Row],[Colonne2]],Tableau812[#All],3,0)+VLOOKUP(Tableau11[[#This Row],[Colonne2]],Tableau913[#All],3,0)+VLOOKUP(Tableau11[[#This Row],[Colonne2]],Tableau1014[#All],3,0)</f>
        <v>15688</v>
      </c>
      <c r="D155" s="8">
        <f>VLOOKUP(Tableau11[[#This Row],[Colonne2]],Tableau812[#All],4,0)+VLOOKUP(Tableau11[[#This Row],[Colonne2]],Tableau913[#All],4,0)+VLOOKUP(Tableau11[[#This Row],[Colonne2]],Tableau1014[#All],4,0)</f>
        <v>15851</v>
      </c>
      <c r="E155" s="8">
        <f>VLOOKUP(Tableau11[[#This Row],[Colonne2]],$A$1:$E$41,5,FALSE)+VLOOKUP(Tableau11[[#This Row],[Colonne2]],$A$43:$E$83,5,FALSE)+VLOOKUP(Tableau11[[#This Row],[Colonne2]],$A$85:$E$125,5,FALSE)</f>
        <v>17852</v>
      </c>
      <c r="G155" s="35">
        <f t="shared" si="6"/>
        <v>0.12623809223392846</v>
      </c>
      <c r="H155" s="7">
        <f t="shared" si="7"/>
        <v>2001</v>
      </c>
    </row>
    <row r="156" spans="1:8" x14ac:dyDescent="0.25">
      <c r="A156" t="s">
        <v>95</v>
      </c>
      <c r="B156" s="8">
        <f>VLOOKUP(Tableau11[[#This Row],[Colonne2]],Tableau812[#All],2,0)+VLOOKUP(Tableau11[[#This Row],[Colonne2]],Tableau913[#All],2,0)+VLOOKUP(Tableau11[[#This Row],[Colonne2]],Tableau1014[#All],2,0)</f>
        <v>10463</v>
      </c>
      <c r="C156" s="8">
        <f>VLOOKUP(Tableau11[[#This Row],[Colonne2]],Tableau812[#All],3,0)+VLOOKUP(Tableau11[[#This Row],[Colonne2]],Tableau913[#All],3,0)+VLOOKUP(Tableau11[[#This Row],[Colonne2]],Tableau1014[#All],3,0)</f>
        <v>12242</v>
      </c>
      <c r="D156" s="8">
        <f>VLOOKUP(Tableau11[[#This Row],[Colonne2]],Tableau812[#All],4,0)+VLOOKUP(Tableau11[[#This Row],[Colonne2]],Tableau913[#All],4,0)+VLOOKUP(Tableau11[[#This Row],[Colonne2]],Tableau1014[#All],4,0)</f>
        <v>13128</v>
      </c>
      <c r="E156" s="8">
        <f>VLOOKUP(Tableau11[[#This Row],[Colonne2]],$A$1:$E$41,5,FALSE)+VLOOKUP(Tableau11[[#This Row],[Colonne2]],$A$43:$E$83,5,FALSE)+VLOOKUP(Tableau11[[#This Row],[Colonne2]],$A$85:$E$125,5,FALSE)</f>
        <v>16298</v>
      </c>
      <c r="G156" s="35">
        <f t="shared" si="6"/>
        <v>0.2414686166971359</v>
      </c>
      <c r="H156" s="7">
        <f t="shared" si="7"/>
        <v>3170</v>
      </c>
    </row>
    <row r="157" spans="1:8" x14ac:dyDescent="0.25">
      <c r="A157" t="s">
        <v>92</v>
      </c>
      <c r="B157" s="12">
        <f>VLOOKUP(Tableau11[[#This Row],[Colonne2]],Tableau812[#All],2,0)+VLOOKUP(Tableau11[[#This Row],[Colonne2]],Tableau913[#All],2,0)+VLOOKUP(Tableau11[[#This Row],[Colonne2]],Tableau1014[#All],2,0)</f>
        <v>0</v>
      </c>
      <c r="C157" s="8">
        <f>VLOOKUP(Tableau11[[#This Row],[Colonne2]],Tableau812[#All],3,0)+VLOOKUP(Tableau11[[#This Row],[Colonne2]],Tableau913[#All],3,0)+VLOOKUP(Tableau11[[#This Row],[Colonne2]],Tableau1014[#All],3,0)</f>
        <v>10165</v>
      </c>
      <c r="D157" s="8">
        <f>VLOOKUP(Tableau11[[#This Row],[Colonne2]],Tableau812[#All],4,0)+VLOOKUP(Tableau11[[#This Row],[Colonne2]],Tableau913[#All],4,0)+VLOOKUP(Tableau11[[#This Row],[Colonne2]],Tableau1014[#All],4,0)</f>
        <v>10519</v>
      </c>
      <c r="E157" s="8">
        <f>VLOOKUP(Tableau11[[#This Row],[Colonne2]],$A$1:$E$41,5,FALSE)+VLOOKUP(Tableau11[[#This Row],[Colonne2]],$A$43:$E$83,5,FALSE)+VLOOKUP(Tableau11[[#This Row],[Colonne2]],$A$85:$E$125,5,FALSE)</f>
        <v>15154</v>
      </c>
      <c r="G157" s="35">
        <f t="shared" si="6"/>
        <v>0.44063123871090409</v>
      </c>
      <c r="H157" s="7">
        <f t="shared" si="7"/>
        <v>4635</v>
      </c>
    </row>
    <row r="158" spans="1:8" x14ac:dyDescent="0.25">
      <c r="A158" t="s">
        <v>91</v>
      </c>
      <c r="B158" s="8">
        <f>VLOOKUP(Tableau11[[#This Row],[Colonne2]],Tableau812[#All],2,0)+VLOOKUP(Tableau11[[#This Row],[Colonne2]],Tableau913[#All],2,0)+VLOOKUP(Tableau11[[#This Row],[Colonne2]],Tableau1014[#All],2,0)</f>
        <v>7207</v>
      </c>
      <c r="C158" s="8">
        <f>VLOOKUP(Tableau11[[#This Row],[Colonne2]],Tableau812[#All],3,0)+VLOOKUP(Tableau11[[#This Row],[Colonne2]],Tableau913[#All],3,0)+VLOOKUP(Tableau11[[#This Row],[Colonne2]],Tableau1014[#All],3,0)</f>
        <v>8368</v>
      </c>
      <c r="D158" s="8">
        <f>VLOOKUP(Tableau11[[#This Row],[Colonne2]],Tableau812[#All],4,0)+VLOOKUP(Tableau11[[#This Row],[Colonne2]],Tableau913[#All],4,0)+VLOOKUP(Tableau11[[#This Row],[Colonne2]],Tableau1014[#All],4,0)</f>
        <v>9328</v>
      </c>
      <c r="E158" s="8">
        <f>VLOOKUP(Tableau11[[#This Row],[Colonne2]],$A$1:$E$41,5,FALSE)+VLOOKUP(Tableau11[[#This Row],[Colonne2]],$A$43:$E$83,5,FALSE)+VLOOKUP(Tableau11[[#This Row],[Colonne2]],$A$85:$E$125,5,FALSE)</f>
        <v>13765</v>
      </c>
      <c r="G158" s="35">
        <f t="shared" si="6"/>
        <v>0.47566466552315612</v>
      </c>
      <c r="H158" s="7">
        <f t="shared" si="7"/>
        <v>4437</v>
      </c>
    </row>
    <row r="159" spans="1:8" x14ac:dyDescent="0.25">
      <c r="A159" t="s">
        <v>94</v>
      </c>
      <c r="B159" s="8">
        <f>VLOOKUP(Tableau11[[#This Row],[Colonne2]],Tableau812[#All],2,0)+VLOOKUP(Tableau11[[#This Row],[Colonne2]],Tableau913[#All],2,0)+VLOOKUP(Tableau11[[#This Row],[Colonne2]],Tableau1014[#All],2,0)</f>
        <v>6597</v>
      </c>
      <c r="C159" s="8">
        <f>VLOOKUP(Tableau11[[#This Row],[Colonne2]],Tableau812[#All],3,0)+VLOOKUP(Tableau11[[#This Row],[Colonne2]],Tableau913[#All],3,0)+VLOOKUP(Tableau11[[#This Row],[Colonne2]],Tableau1014[#All],3,0)</f>
        <v>8146</v>
      </c>
      <c r="D159" s="8">
        <f>VLOOKUP(Tableau11[[#This Row],[Colonne2]],Tableau812[#All],4,0)+VLOOKUP(Tableau11[[#This Row],[Colonne2]],Tableau913[#All],4,0)+VLOOKUP(Tableau11[[#This Row],[Colonne2]],Tableau1014[#All],4,0)</f>
        <v>8605</v>
      </c>
      <c r="E159" s="8">
        <f>VLOOKUP(Tableau11[[#This Row],[Colonne2]],$A$1:$E$41,5,FALSE)+VLOOKUP(Tableau11[[#This Row],[Colonne2]],$A$43:$E$83,5,FALSE)+VLOOKUP(Tableau11[[#This Row],[Colonne2]],$A$85:$E$125,5,FALSE)</f>
        <v>11989</v>
      </c>
      <c r="G159" s="35">
        <f t="shared" si="6"/>
        <v>0.39325973271353865</v>
      </c>
      <c r="H159" s="7">
        <f t="shared" si="7"/>
        <v>3384</v>
      </c>
    </row>
    <row r="160" spans="1:8" x14ac:dyDescent="0.25">
      <c r="A160" t="s">
        <v>90</v>
      </c>
      <c r="B160" s="8">
        <f>VLOOKUP(Tableau11[[#This Row],[Colonne2]],Tableau812[#All],2,0)+VLOOKUP(Tableau11[[#This Row],[Colonne2]],Tableau913[#All],2,0)+VLOOKUP(Tableau11[[#This Row],[Colonne2]],Tableau1014[#All],2,0)</f>
        <v>4224</v>
      </c>
      <c r="C160" s="8">
        <f>VLOOKUP(Tableau11[[#This Row],[Colonne2]],Tableau812[#All],3,0)+VLOOKUP(Tableau11[[#This Row],[Colonne2]],Tableau913[#All],3,0)+VLOOKUP(Tableau11[[#This Row],[Colonne2]],Tableau1014[#All],3,0)</f>
        <v>4332</v>
      </c>
      <c r="D160" s="8">
        <f>VLOOKUP(Tableau11[[#This Row],[Colonne2]],Tableau812[#All],4,0)+VLOOKUP(Tableau11[[#This Row],[Colonne2]],Tableau913[#All],4,0)+VLOOKUP(Tableau11[[#This Row],[Colonne2]],Tableau1014[#All],4,0)</f>
        <v>4364</v>
      </c>
      <c r="E160" s="8">
        <f>VLOOKUP(Tableau11[[#This Row],[Colonne2]],$A$1:$E$41,5,FALSE)+VLOOKUP(Tableau11[[#This Row],[Colonne2]],$A$43:$E$83,5,FALSE)+VLOOKUP(Tableau11[[#This Row],[Colonne2]],$A$85:$E$125,5,FALSE)</f>
        <v>4760</v>
      </c>
      <c r="G160" s="35">
        <f t="shared" si="6"/>
        <v>9.0742438130155825E-2</v>
      </c>
      <c r="H160" s="7">
        <f t="shared" si="7"/>
        <v>396</v>
      </c>
    </row>
    <row r="161" spans="1:8" x14ac:dyDescent="0.25">
      <c r="A161" t="s">
        <v>100</v>
      </c>
      <c r="B161" s="12">
        <f>VLOOKUP(Tableau11[[#This Row],[Colonne2]],Tableau812[#All],2,0)+VLOOKUP(Tableau11[[#This Row],[Colonne2]],Tableau913[#All],2,0)+VLOOKUP(Tableau11[[#This Row],[Colonne2]],Tableau1014[#All],2,0)</f>
        <v>0</v>
      </c>
      <c r="C161" s="12">
        <f>VLOOKUP(Tableau11[[#This Row],[Colonne2]],Tableau812[#All],3,0)+VLOOKUP(Tableau11[[#This Row],[Colonne2]],Tableau913[#All],3,0)+VLOOKUP(Tableau11[[#This Row],[Colonne2]],Tableau1014[#All],3,0)</f>
        <v>0</v>
      </c>
      <c r="D161" s="12">
        <f>VLOOKUP(Tableau11[[#This Row],[Colonne2]],Tableau812[#All],4,0)+VLOOKUP(Tableau11[[#This Row],[Colonne2]],Tableau913[#All],4,0)+VLOOKUP(Tableau11[[#This Row],[Colonne2]],Tableau1014[#All],4,0)</f>
        <v>0</v>
      </c>
      <c r="E161" s="8">
        <f>VLOOKUP(Tableau11[[#This Row],[Colonne2]],$A$1:$E$41,5,FALSE)+VLOOKUP(Tableau11[[#This Row],[Colonne2]],$A$43:$E$83,5,FALSE)+VLOOKUP(Tableau11[[#This Row],[Colonne2]],$A$85:$E$125,5,FALSE)</f>
        <v>26714</v>
      </c>
      <c r="G161" s="35" t="e">
        <f t="shared" ref="G161:G167" si="8">(E161-D161)/D161</f>
        <v>#DIV/0!</v>
      </c>
      <c r="H161" s="7">
        <f t="shared" ref="H161:H167" si="9">E161-D161</f>
        <v>26714</v>
      </c>
    </row>
    <row r="162" spans="1:8" x14ac:dyDescent="0.25">
      <c r="A162" t="s">
        <v>99</v>
      </c>
      <c r="B162" s="12">
        <f>VLOOKUP(Tableau11[[#This Row],[Colonne2]],Tableau812[#All],2,0)+VLOOKUP(Tableau11[[#This Row],[Colonne2]],Tableau913[#All],2,0)+VLOOKUP(Tableau11[[#This Row],[Colonne2]],Tableau1014[#All],2,0)</f>
        <v>0</v>
      </c>
      <c r="C162" s="12">
        <f>VLOOKUP(Tableau11[[#This Row],[Colonne2]],Tableau812[#All],3,0)+VLOOKUP(Tableau11[[#This Row],[Colonne2]],Tableau913[#All],3,0)+VLOOKUP(Tableau11[[#This Row],[Colonne2]],Tableau1014[#All],3,0)</f>
        <v>0</v>
      </c>
      <c r="D162" s="12">
        <f>VLOOKUP(Tableau11[[#This Row],[Colonne2]],Tableau812[#All],4,0)+VLOOKUP(Tableau11[[#This Row],[Colonne2]],Tableau913[#All],4,0)+VLOOKUP(Tableau11[[#This Row],[Colonne2]],Tableau1014[#All],4,0)</f>
        <v>0</v>
      </c>
      <c r="E162" s="8">
        <f>VLOOKUP(Tableau11[[#This Row],[Colonne2]],$A$1:$E$41,5,FALSE)+VLOOKUP(Tableau11[[#This Row],[Colonne2]],$A$43:$E$83,5,FALSE)+VLOOKUP(Tableau11[[#This Row],[Colonne2]],$A$85:$E$125,5,FALSE)</f>
        <v>9846</v>
      </c>
      <c r="G162" s="35" t="e">
        <f t="shared" si="8"/>
        <v>#DIV/0!</v>
      </c>
      <c r="H162" s="7">
        <f t="shared" si="9"/>
        <v>9846</v>
      </c>
    </row>
    <row r="163" spans="1:8" x14ac:dyDescent="0.25">
      <c r="A163" t="s">
        <v>101</v>
      </c>
      <c r="B163" s="12">
        <f>VLOOKUP(Tableau11[[#This Row],[Colonne2]],Tableau812[#All],2,0)+VLOOKUP(Tableau11[[#This Row],[Colonne2]],Tableau913[#All],2,0)+VLOOKUP(Tableau11[[#This Row],[Colonne2]],Tableau1014[#All],2,0)</f>
        <v>0</v>
      </c>
      <c r="C163" s="12">
        <f>VLOOKUP(Tableau11[[#This Row],[Colonne2]],Tableau812[#All],3,0)+VLOOKUP(Tableau11[[#This Row],[Colonne2]],Tableau913[#All],3,0)+VLOOKUP(Tableau11[[#This Row],[Colonne2]],Tableau1014[#All],3,0)</f>
        <v>0</v>
      </c>
      <c r="D163" s="12">
        <f>VLOOKUP(Tableau11[[#This Row],[Colonne2]],Tableau812[#All],4,0)+VLOOKUP(Tableau11[[#This Row],[Colonne2]],Tableau913[#All],4,0)+VLOOKUP(Tableau11[[#This Row],[Colonne2]],Tableau1014[#All],4,0)</f>
        <v>0</v>
      </c>
      <c r="E163" s="8">
        <f>VLOOKUP(Tableau11[[#This Row],[Colonne2]],$A$1:$E$41,5,FALSE)+VLOOKUP(Tableau11[[#This Row],[Colonne2]],$A$43:$E$83,5,FALSE)+VLOOKUP(Tableau11[[#This Row],[Colonne2]],$A$85:$E$125,5,FALSE)</f>
        <v>46968</v>
      </c>
      <c r="G163" s="35" t="e">
        <f t="shared" si="8"/>
        <v>#DIV/0!</v>
      </c>
      <c r="H163" s="7">
        <f t="shared" si="9"/>
        <v>46968</v>
      </c>
    </row>
    <row r="164" spans="1:8" x14ac:dyDescent="0.25">
      <c r="A164" t="s">
        <v>102</v>
      </c>
      <c r="B164" s="12">
        <f>VLOOKUP(Tableau11[[#This Row],[Colonne2]],Tableau812[#All],2,0)+VLOOKUP(Tableau11[[#This Row],[Colonne2]],Tableau913[#All],2,0)+VLOOKUP(Tableau11[[#This Row],[Colonne2]],Tableau1014[#All],2,0)</f>
        <v>0</v>
      </c>
      <c r="C164" s="12">
        <f>VLOOKUP(Tableau11[[#This Row],[Colonne2]],Tableau812[#All],3,0)+VLOOKUP(Tableau11[[#This Row],[Colonne2]],Tableau913[#All],3,0)+VLOOKUP(Tableau11[[#This Row],[Colonne2]],Tableau1014[#All],3,0)</f>
        <v>0</v>
      </c>
      <c r="D164" s="12">
        <f>VLOOKUP(Tableau11[[#This Row],[Colonne2]],Tableau812[#All],4,0)+VLOOKUP(Tableau11[[#This Row],[Colonne2]],Tableau913[#All],4,0)+VLOOKUP(Tableau11[[#This Row],[Colonne2]],Tableau1014[#All],4,0)</f>
        <v>0</v>
      </c>
      <c r="E164" s="8">
        <f>VLOOKUP(Tableau11[[#This Row],[Colonne2]],$A$1:$E$41,5,FALSE)+VLOOKUP(Tableau11[[#This Row],[Colonne2]],$A$43:$E$83,5,FALSE)+VLOOKUP(Tableau11[[#This Row],[Colonne2]],$A$85:$E$125,5,FALSE)</f>
        <v>101100</v>
      </c>
      <c r="G164" s="35" t="e">
        <f t="shared" si="8"/>
        <v>#DIV/0!</v>
      </c>
      <c r="H164" s="7">
        <f t="shared" si="9"/>
        <v>101100</v>
      </c>
    </row>
    <row r="165" spans="1:8" x14ac:dyDescent="0.25">
      <c r="A165" t="s">
        <v>103</v>
      </c>
      <c r="B165" s="12">
        <f>VLOOKUP(Tableau11[[#This Row],[Colonne2]],Tableau812[#All],2,0)+VLOOKUP(Tableau11[[#This Row],[Colonne2]],Tableau913[#All],2,0)+VLOOKUP(Tableau11[[#This Row],[Colonne2]],Tableau1014[#All],2,0)</f>
        <v>0</v>
      </c>
      <c r="C165" s="12">
        <f>VLOOKUP(Tableau11[[#This Row],[Colonne2]],Tableau812[#All],3,0)+VLOOKUP(Tableau11[[#This Row],[Colonne2]],Tableau913[#All],3,0)+VLOOKUP(Tableau11[[#This Row],[Colonne2]],Tableau1014[#All],3,0)</f>
        <v>0</v>
      </c>
      <c r="D165" s="12">
        <f>VLOOKUP(Tableau11[[#This Row],[Colonne2]],Tableau812[#All],4,0)+VLOOKUP(Tableau11[[#This Row],[Colonne2]],Tableau913[#All],4,0)+VLOOKUP(Tableau11[[#This Row],[Colonne2]],Tableau1014[#All],4,0)</f>
        <v>0</v>
      </c>
      <c r="E165" s="8">
        <f>VLOOKUP(Tableau11[[#This Row],[Colonne2]],$A$1:$E$41,5,FALSE)+VLOOKUP(Tableau11[[#This Row],[Colonne2]],$A$43:$E$83,5,FALSE)+VLOOKUP(Tableau11[[#This Row],[Colonne2]],$A$85:$E$125,5,FALSE)</f>
        <v>5588</v>
      </c>
      <c r="G165" s="35" t="e">
        <f t="shared" si="8"/>
        <v>#DIV/0!</v>
      </c>
      <c r="H165" s="7">
        <f t="shared" si="9"/>
        <v>5588</v>
      </c>
    </row>
    <row r="166" spans="1:8" x14ac:dyDescent="0.25">
      <c r="A166" t="s">
        <v>104</v>
      </c>
      <c r="B166" s="12">
        <f>VLOOKUP(Tableau11[[#This Row],[Colonne2]],Tableau812[#All],2,0)+VLOOKUP(Tableau11[[#This Row],[Colonne2]],Tableau913[#All],2,0)+VLOOKUP(Tableau11[[#This Row],[Colonne2]],Tableau1014[#All],2,0)</f>
        <v>0</v>
      </c>
      <c r="C166" s="12">
        <f>VLOOKUP(Tableau11[[#This Row],[Colonne2]],Tableau812[#All],3,0)+VLOOKUP(Tableau11[[#This Row],[Colonne2]],Tableau913[#All],3,0)+VLOOKUP(Tableau11[[#This Row],[Colonne2]],Tableau1014[#All],3,0)</f>
        <v>0</v>
      </c>
      <c r="D166" s="12">
        <f>VLOOKUP(Tableau11[[#This Row],[Colonne2]],Tableau812[#All],4,0)+VLOOKUP(Tableau11[[#This Row],[Colonne2]],Tableau913[#All],4,0)+VLOOKUP(Tableau11[[#This Row],[Colonne2]],Tableau1014[#All],4,0)</f>
        <v>0</v>
      </c>
      <c r="E166" s="8">
        <f>VLOOKUP(Tableau11[[#This Row],[Colonne2]],$A$1:$E$41,5,FALSE)+VLOOKUP(Tableau11[[#This Row],[Colonne2]],$A$43:$E$83,5,FALSE)+VLOOKUP(Tableau11[[#This Row],[Colonne2]],$A$85:$E$125,5,FALSE)</f>
        <v>10879</v>
      </c>
      <c r="G166" s="35" t="e">
        <f t="shared" si="8"/>
        <v>#DIV/0!</v>
      </c>
      <c r="H166" s="7">
        <f t="shared" si="9"/>
        <v>10879</v>
      </c>
    </row>
    <row r="167" spans="1:8" x14ac:dyDescent="0.25">
      <c r="A167" t="s">
        <v>105</v>
      </c>
      <c r="B167" s="12">
        <f>VLOOKUP(Tableau11[[#This Row],[Colonne2]],Tableau812[#All],2,0)+VLOOKUP(Tableau11[[#This Row],[Colonne2]],Tableau913[#All],2,0)+VLOOKUP(Tableau11[[#This Row],[Colonne2]],Tableau1014[#All],2,0)</f>
        <v>0</v>
      </c>
      <c r="C167" s="12">
        <f>VLOOKUP(Tableau11[[#This Row],[Colonne2]],Tableau812[#All],3,0)+VLOOKUP(Tableau11[[#This Row],[Colonne2]],Tableau913[#All],3,0)+VLOOKUP(Tableau11[[#This Row],[Colonne2]],Tableau1014[#All],3,0)</f>
        <v>0</v>
      </c>
      <c r="D167" s="12">
        <f>VLOOKUP(Tableau11[[#This Row],[Colonne2]],Tableau812[#All],4,0)+VLOOKUP(Tableau11[[#This Row],[Colonne2]],Tableau913[#All],4,0)+VLOOKUP(Tableau11[[#This Row],[Colonne2]],Tableau1014[#All],4,0)</f>
        <v>0</v>
      </c>
      <c r="E167" s="8">
        <f>VLOOKUP(Tableau11[[#This Row],[Colonne2]],$A$1:$E$41,5,FALSE)+VLOOKUP(Tableau11[[#This Row],[Colonne2]],$A$43:$E$83,5,FALSE)+VLOOKUP(Tableau11[[#This Row],[Colonne2]],$A$85:$E$125,5,FALSE)</f>
        <v>39904</v>
      </c>
      <c r="G167" s="35" t="e">
        <f t="shared" si="8"/>
        <v>#DIV/0!</v>
      </c>
      <c r="H167" s="7">
        <f t="shared" si="9"/>
        <v>39904</v>
      </c>
    </row>
  </sheetData>
  <conditionalFormatting sqref="G128:G167 D161">
    <cfRule type="colorScale" priority="10">
      <colorScale>
        <cfvo type="min"/>
        <cfvo type="max"/>
        <color rgb="FFFCFCFF"/>
        <color rgb="FF63BE7B"/>
      </colorScale>
    </cfRule>
  </conditionalFormatting>
  <conditionalFormatting sqref="D81:E81 D82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">
    <cfRule type="colorScale" priority="13">
      <colorScale>
        <cfvo type="min"/>
        <cfvo type="max"/>
        <color rgb="FFFCFCFF"/>
        <color rgb="FF63BE7B"/>
      </colorScale>
    </cfRule>
  </conditionalFormatting>
  <conditionalFormatting sqref="F84 G85">
    <cfRule type="colorScale" priority="24">
      <colorScale>
        <cfvo type="min"/>
        <cfvo type="max"/>
        <color rgb="FFFCFCFF"/>
        <color rgb="FF63BE7B"/>
      </colorScale>
    </cfRule>
  </conditionalFormatting>
  <conditionalFormatting sqref="H127:H167 F126">
    <cfRule type="colorScale" priority="53">
      <colorScale>
        <cfvo type="min"/>
        <cfvo type="max"/>
        <color rgb="FFFCFCFF"/>
        <color rgb="FF63BE7B"/>
      </colorScale>
    </cfRule>
  </conditionalFormatting>
  <conditionalFormatting sqref="F2:F41">
    <cfRule type="colorScale" priority="56">
      <colorScale>
        <cfvo type="min"/>
        <cfvo type="max"/>
        <color rgb="FFFCFCFF"/>
        <color rgb="FF63BE7B"/>
      </colorScale>
    </cfRule>
  </conditionalFormatting>
  <conditionalFormatting sqref="G2:G41">
    <cfRule type="colorScale" priority="58">
      <colorScale>
        <cfvo type="min"/>
        <cfvo type="max"/>
        <color rgb="FFFCFCFF"/>
        <color rgb="FF63BE7B"/>
      </colorScale>
    </cfRule>
  </conditionalFormatting>
  <conditionalFormatting sqref="F44:F83">
    <cfRule type="colorScale" priority="61">
      <colorScale>
        <cfvo type="min"/>
        <cfvo type="max"/>
        <color rgb="FFFCFCFF"/>
        <color rgb="FF63BE7B"/>
      </colorScale>
    </cfRule>
  </conditionalFormatting>
  <conditionalFormatting sqref="G44:G83">
    <cfRule type="colorScale" priority="63">
      <colorScale>
        <cfvo type="min"/>
        <cfvo type="max"/>
        <color rgb="FFFCFCFF"/>
        <color rgb="FF63BE7B"/>
      </colorScale>
    </cfRule>
  </conditionalFormatting>
  <conditionalFormatting sqref="F86:F125">
    <cfRule type="colorScale" priority="65">
      <colorScale>
        <cfvo type="min"/>
        <cfvo type="max"/>
        <color rgb="FFFCFCFF"/>
        <color rgb="FF63BE7B"/>
      </colorScale>
    </cfRule>
  </conditionalFormatting>
  <conditionalFormatting sqref="G86:G125">
    <cfRule type="colorScale" priority="67">
      <colorScale>
        <cfvo type="min"/>
        <cfvo type="max"/>
        <color rgb="FFFCFCFF"/>
        <color rgb="FF63BE7B"/>
      </colorScale>
    </cfRule>
  </conditionalFormatting>
  <hyperlinks>
    <hyperlink ref="A27" r:id="rId1" xr:uid="{BB853ADD-0419-4FCC-A408-F0675C9996AB}"/>
    <hyperlink ref="A2" r:id="rId2" xr:uid="{29996D8B-36DD-4E73-A5C6-B0A5A5EEF793}"/>
    <hyperlink ref="A20" r:id="rId3" xr:uid="{1D5ED832-7B96-4FC7-8089-3D99067955BE}"/>
    <hyperlink ref="A19" r:id="rId4" xr:uid="{A547519E-A204-4ED4-B855-412935119FD2}"/>
    <hyperlink ref="A23" r:id="rId5" xr:uid="{C4067B68-8D67-408D-8589-E5C86A2AFEA4}"/>
    <hyperlink ref="A5" r:id="rId6" xr:uid="{9202A52B-8161-494A-8B17-03B1C499C749}"/>
    <hyperlink ref="A4" r:id="rId7" xr:uid="{883E2FA3-3810-4F95-BE1D-13206F5746DC}"/>
    <hyperlink ref="A58" r:id="rId8" xr:uid="{3E908C5B-E372-4848-81F0-941ED564388E}"/>
    <hyperlink ref="A61" r:id="rId9" xr:uid="{E2F71BB9-C467-4324-BD10-9C93970FECB3}"/>
    <hyperlink ref="A45" r:id="rId10" xr:uid="{9D19D7F6-F5F2-435C-8D73-B0B17915658C}"/>
    <hyperlink ref="A53" r:id="rId11" xr:uid="{31760C5D-6C72-4A0B-8D38-218A2D183FC9}"/>
    <hyperlink ref="A65" r:id="rId12" xr:uid="{AFC8125F-A104-47E1-9B05-8C0A9CF88EAB}"/>
    <hyperlink ref="A47" r:id="rId13" xr:uid="{0439D25B-D3C8-49D4-8D19-75DB1A4816DD}"/>
    <hyperlink ref="A52" r:id="rId14" xr:uid="{670BB6DA-51EE-4F79-B7D8-B3461767B826}"/>
    <hyperlink ref="A12" r:id="rId15" xr:uid="{2CC47F73-5193-415A-9E1D-4262B695A4FE}"/>
    <hyperlink ref="A51" r:id="rId16" xr:uid="{6D434633-8942-4558-B074-AA727D7B5947}"/>
    <hyperlink ref="A21" r:id="rId17" xr:uid="{A11E4D1B-BA9B-483C-B95C-46AAC49DA583}"/>
    <hyperlink ref="A63" r:id="rId18" xr:uid="{29DE9CFA-0337-4A94-A90C-883696D3B184}"/>
    <hyperlink ref="A14" r:id="rId19" xr:uid="{70DE7D23-6297-40AC-9014-CFAA5BAB78E2}"/>
    <hyperlink ref="A59" r:id="rId20" xr:uid="{ADFC3232-0E0B-4745-BADB-92DA40ABBCF8}"/>
    <hyperlink ref="A15" r:id="rId21" xr:uid="{186AD515-DB26-4C5A-A22F-9CA83AE9CDB5}"/>
    <hyperlink ref="A46" r:id="rId22" xr:uid="{B2273755-58F4-4363-B77F-DB63BAFB0493}"/>
    <hyperlink ref="A3" r:id="rId23" xr:uid="{8621F82E-79A0-4513-9EBB-E99DE51BAAEC}"/>
    <hyperlink ref="A115" r:id="rId24" xr:uid="{F2F41D84-1A12-4CF0-A79E-5F529197221E}"/>
    <hyperlink ref="A44" r:id="rId25" xr:uid="{0F724492-F6D9-447A-9F78-9C9DC55D3DD5}"/>
    <hyperlink ref="A57" r:id="rId26" display="Lisa Brenneaur" xr:uid="{39E38B3E-C0F0-4BEB-8537-6688A14E1A7C}"/>
    <hyperlink ref="A22" r:id="rId27" xr:uid="{83B63B13-59FA-4EA2-A2D6-FB12367ACD38}"/>
    <hyperlink ref="A67" r:id="rId28" xr:uid="{62005461-E766-41F7-A334-9CFD5AD38C35}"/>
    <hyperlink ref="A13" r:id="rId29" xr:uid="{BA5F9817-342D-4F09-ADEF-20ACC99047F6}"/>
    <hyperlink ref="A72" r:id="rId30" xr:uid="{EAC871D9-7388-4319-AAF5-4B4A594743FC}"/>
    <hyperlink ref="A10" r:id="rId31" xr:uid="{6CDAB3DE-73D9-4BD3-8A0E-7734626D1E1F}"/>
    <hyperlink ref="A56" r:id="rId32" xr:uid="{888CF893-E240-4CC5-BF4B-1401DB2DF64E}"/>
    <hyperlink ref="A9" r:id="rId33" xr:uid="{054E9464-DFAC-47BE-982F-BC3F59C9373C}"/>
    <hyperlink ref="A60" r:id="rId34" xr:uid="{FC70FE3C-9A7B-44EF-9026-43631BA0DE5A}"/>
    <hyperlink ref="A114" r:id="rId35" xr:uid="{1D7384DA-87F6-4874-B12D-4239C6E476FC}"/>
    <hyperlink ref="A66" r:id="rId36" xr:uid="{04380904-3F4C-4429-B279-BDB6EA1EA489}"/>
    <hyperlink ref="A11" r:id="rId37" xr:uid="{2F700F6D-6388-47B5-BB3D-31263F738A50}"/>
    <hyperlink ref="A55" r:id="rId38" xr:uid="{4B22EBD7-0FB3-42D2-A04C-A2224C857835}"/>
    <hyperlink ref="A29" r:id="rId39" xr:uid="{1050850F-8630-4E0F-92D6-783B49216479}"/>
    <hyperlink ref="A74" r:id="rId40" xr:uid="{85ABC528-24D9-47FC-9F7C-4FB453CC5A30}"/>
    <hyperlink ref="A117" r:id="rId41" xr:uid="{8BBBC22A-1362-42D2-A47D-497968D7991C}"/>
    <hyperlink ref="A17" r:id="rId42" xr:uid="{F2C2B778-FF6D-4149-877C-2B9EDB831659}"/>
    <hyperlink ref="A64" r:id="rId43" xr:uid="{1A30EC88-15F3-4B25-981E-474D1E7339C9}"/>
    <hyperlink ref="A54" r:id="rId44" xr:uid="{ADA27534-25FD-47BE-8517-A0E2A15BEB6D}"/>
    <hyperlink ref="A7" r:id="rId45" xr:uid="{2AD62AA4-5813-490B-845E-4444088D9031}"/>
    <hyperlink ref="A49" r:id="rId46" xr:uid="{8549962A-7A68-45F9-A216-4E2E9F260F01}"/>
    <hyperlink ref="A28" r:id="rId47" xr:uid="{F4178B38-1095-48DA-87BF-C3D7B0F42038}"/>
    <hyperlink ref="A71" r:id="rId48" xr:uid="{61268E9B-8A98-4390-A1D0-86A59082CF27}"/>
    <hyperlink ref="A118" r:id="rId49" xr:uid="{C677D9FF-A0A1-470B-89B6-814A79B8785E}"/>
    <hyperlink ref="A16" r:id="rId50" xr:uid="{8A1CD7B6-0607-4DA6-968A-158014174FFA}"/>
    <hyperlink ref="A70" r:id="rId51" xr:uid="{37102E8F-7E3D-4ED9-A7A1-BBF9A0D11FB6}"/>
    <hyperlink ref="A75" r:id="rId52" xr:uid="{040D8824-7F6B-4013-96B4-9CB651751CB5}"/>
    <hyperlink ref="A18" r:id="rId53" xr:uid="{95FECD62-9ABC-4FDF-9CF5-0B2D23E65C4E}"/>
    <hyperlink ref="A25" r:id="rId54" xr:uid="{D5D9B129-AF65-4838-BF93-2652317B9DD8}"/>
    <hyperlink ref="A24" r:id="rId55" xr:uid="{4F62998F-EC4F-4FF8-8D43-D55E3E645998}"/>
    <hyperlink ref="A48" r:id="rId56" xr:uid="{F9D25310-A8FF-4902-91E9-F565001869C3}"/>
    <hyperlink ref="A116" r:id="rId57" xr:uid="{5EF8E6F9-FD30-472B-85FD-54383D2A51FB}"/>
    <hyperlink ref="A69" r:id="rId58" xr:uid="{E04CAC95-091B-4538-922B-218F3D240C12}"/>
    <hyperlink ref="A30" r:id="rId59" xr:uid="{0F69320F-2725-4E92-A2B8-DC1A11EF78D9}"/>
    <hyperlink ref="A73" r:id="rId60" xr:uid="{E49D4D11-47C4-4387-B563-DABCE542AFCF}"/>
    <hyperlink ref="A68" r:id="rId61" xr:uid="{E13D3328-CC0C-4DCF-90C5-C30A89B2DA84}"/>
    <hyperlink ref="A26" r:id="rId62" xr:uid="{8680D3F7-AF50-405F-9145-7BEE5D2CF786}"/>
    <hyperlink ref="A8" r:id="rId63" xr:uid="{54F57623-9047-4FB3-9B71-46A8CB7BCFF2}"/>
    <hyperlink ref="A62" r:id="rId64" xr:uid="{5E14E077-5903-45A9-B08D-81BF2B6287FB}"/>
    <hyperlink ref="A6" r:id="rId65" xr:uid="{E529034A-CB27-4C50-A1C2-FAC58F64D2A0}"/>
    <hyperlink ref="A50" r:id="rId66" xr:uid="{8A5B968B-3E36-4EC6-BE2C-4C3E51540673}"/>
    <hyperlink ref="A91" r:id="rId67" xr:uid="{AEC8E4D3-D61B-45CD-82A7-AD774297222E}"/>
    <hyperlink ref="A101" r:id="rId68" xr:uid="{FF0167DF-C794-4251-B6FD-EF3C7F77B582}"/>
    <hyperlink ref="A113" r:id="rId69" xr:uid="{BE23D621-DF3E-4335-A4C3-819888B75C54}"/>
    <hyperlink ref="A99" r:id="rId70" xr:uid="{8A46A264-2ED3-49EB-8D7B-631ADFF3C5B6}"/>
    <hyperlink ref="A106" r:id="rId71" xr:uid="{1A125DA7-E5CC-498A-97F3-7FA53EFC4E5B}"/>
    <hyperlink ref="A97" r:id="rId72" xr:uid="{571536B2-2F7F-4A07-A27A-A38A0F1418F6}"/>
    <hyperlink ref="A112" r:id="rId73" xr:uid="{E6BE3DD1-E194-4A52-B846-F6C0029AEA4B}"/>
    <hyperlink ref="A108" r:id="rId74" xr:uid="{BF7C4C88-E214-40BF-9777-EE5E21AE9497}"/>
    <hyperlink ref="A110" r:id="rId75" xr:uid="{31633DAE-9A20-4E93-818A-FEE3BBCAA9C7}"/>
    <hyperlink ref="A107" r:id="rId76" xr:uid="{19D6F024-8F60-4732-978F-F050337E5FC1}"/>
    <hyperlink ref="A96" r:id="rId77" xr:uid="{0741D50A-250C-4B6D-8293-D9A5B90EB60D}"/>
    <hyperlink ref="A94" r:id="rId78" xr:uid="{B7B94D53-3852-48B7-915B-C889F55DB8BA}"/>
    <hyperlink ref="A98" r:id="rId79" xr:uid="{9B161145-0E5F-4470-9ADC-BD46B586DFAE}"/>
    <hyperlink ref="A109" r:id="rId80" display="Lisa Brennaueu" xr:uid="{5C9CADF7-89CC-4557-93A8-1CDB0B8F9316}"/>
    <hyperlink ref="A88" r:id="rId81" xr:uid="{4CB61ACC-89CB-4768-98CC-EA21B5A813FB}"/>
    <hyperlink ref="A103" r:id="rId82" xr:uid="{18306802-B5DE-4F48-B697-2A40F80C5E06}"/>
    <hyperlink ref="A100" r:id="rId83" xr:uid="{5F944F94-8755-44CE-A925-6934319DB5F3}"/>
    <hyperlink ref="A105" r:id="rId84" xr:uid="{E588B979-EE2B-48D1-9FAB-F63114034179}"/>
    <hyperlink ref="A102" r:id="rId85" xr:uid="{72C70941-76B9-4C52-8B8C-B2F94AAB03EE}"/>
    <hyperlink ref="A89" r:id="rId86" xr:uid="{0A2B7159-9726-426F-8C0E-A8F87BD452C0}"/>
    <hyperlink ref="A87" r:id="rId87" xr:uid="{AB3A6964-D222-4497-BE07-A91D3AA8E903}"/>
    <hyperlink ref="A111" r:id="rId88" xr:uid="{F1167019-D42E-4752-9658-323C202ED828}"/>
    <hyperlink ref="A104" r:id="rId89" xr:uid="{EE889290-AB7A-47BE-ACE9-02ADDDB6F860}"/>
    <hyperlink ref="A95" r:id="rId90" xr:uid="{5EE51CAF-F975-43D2-8592-B5957EFF9254}"/>
    <hyperlink ref="A92" r:id="rId91" xr:uid="{ECDE224B-CF84-477E-B107-6DA2F3264965}"/>
    <hyperlink ref="A86" r:id="rId92" xr:uid="{10EC4219-9172-4584-BCAE-AFA92332F6D3}"/>
    <hyperlink ref="A93" r:id="rId93" xr:uid="{CA91385D-1431-42AB-BBC7-6F271FA3CCA2}"/>
    <hyperlink ref="A90" r:id="rId94" xr:uid="{D2AFE4CD-EAB5-452A-858A-187ADBBC0D1C}"/>
    <hyperlink ref="A77" r:id="rId95" xr:uid="{1C37193A-1177-4916-81A1-C28617DD3033}"/>
    <hyperlink ref="A120" r:id="rId96" xr:uid="{935D3841-14EB-495B-832A-26F0E5C79911}"/>
    <hyperlink ref="A35" r:id="rId97" xr:uid="{0CB0A35B-DDD6-4FBA-B376-DFDC8EBC54DF}"/>
    <hyperlink ref="A76" r:id="rId98" xr:uid="{2EF92591-5EA1-441D-95B5-F1E9040BE45D}"/>
    <hyperlink ref="A119" r:id="rId99" xr:uid="{DEE713F7-1AB4-4374-BECF-BF7DBED9FDBA}"/>
    <hyperlink ref="A37" r:id="rId100" xr:uid="{E561D08E-396D-4115-83AB-197C1E9A0597}"/>
    <hyperlink ref="A78" r:id="rId101" xr:uid="{00CD2A09-43E4-4731-82AE-A06F8E9F09EC}"/>
    <hyperlink ref="A121" r:id="rId102" xr:uid="{90208A25-1A50-49D5-A76C-C0D92E5A982E}"/>
    <hyperlink ref="A38" r:id="rId103" xr:uid="{E2001BB3-5E4A-4A9C-9DE9-57EB813135D4}"/>
    <hyperlink ref="A79" r:id="rId104" xr:uid="{9C5944C7-811F-4A0D-A63E-D5EA93535850}"/>
    <hyperlink ref="A122" r:id="rId105" xr:uid="{14CD1D3F-4013-42FE-976B-805AAE0901E9}"/>
    <hyperlink ref="A39" r:id="rId106" xr:uid="{DE873383-7FAF-40D9-A3D0-59BBB4C9CA19}"/>
    <hyperlink ref="A123" r:id="rId107" xr:uid="{52F29C44-43C9-4F89-9354-F205B8B5E44A}"/>
    <hyperlink ref="A124" r:id="rId108" xr:uid="{3EA1042C-9B46-46E8-A395-EDC778E06B64}"/>
    <hyperlink ref="A41" r:id="rId109" xr:uid="{A84E8806-2E8D-4298-AFE7-6100421D1884}"/>
    <hyperlink ref="A83" r:id="rId110" xr:uid="{B94DD087-4C0C-4FFB-828D-3C39A081D487}"/>
    <hyperlink ref="A125" r:id="rId111" xr:uid="{65916C21-E0B1-4569-AEE9-AAC7C610AD92}"/>
  </hyperlinks>
  <pageMargins left="0.7" right="0.7" top="0.75" bottom="0.75" header="0.3" footer="0.3"/>
  <pageSetup paperSize="9" orientation="portrait" r:id="rId112"/>
  <tableParts count="4">
    <tablePart r:id="rId113"/>
    <tablePart r:id="rId114"/>
    <tablePart r:id="rId115"/>
    <tablePart r:id="rId1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Courses Femmes WT</vt:lpstr>
      <vt:lpstr>Équipes Femmes WT</vt:lpstr>
      <vt:lpstr>Réseaux Sociaux Coureuses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Nans BEBIN</dc:creator>
  <cp:lastModifiedBy>Nans BEBIN</cp:lastModifiedBy>
  <dcterms:created xsi:type="dcterms:W3CDTF">2024-04-24T12:01:13Z</dcterms:created>
  <dcterms:modified xsi:type="dcterms:W3CDTF">2024-04-25T11:42:47Z</dcterms:modified>
</cp:coreProperties>
</file>